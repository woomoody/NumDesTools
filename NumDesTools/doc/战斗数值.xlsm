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\ExcelToolsAlbum\ExcelDna-Pro\NumDesTools\NumDesTools\doc\"/>
    </mc:Choice>
  </mc:AlternateContent>
  <xr:revisionPtr revIDLastSave="0" documentId="13_ncr:1_{FEDCCD72-0F6D-408E-8393-48E25146D2C9}" xr6:coauthVersionLast="47" xr6:coauthVersionMax="47" xr10:uidLastSave="{00000000-0000-0000-0000-000000000000}"/>
  <bookViews>
    <workbookView xWindow="7935" yWindow="2835" windowWidth="20295" windowHeight="12585" activeTab="9" xr2:uid="{2E0BB1D1-6406-4149-80A4-465E20523C8B}"/>
  </bookViews>
  <sheets>
    <sheet name="基础模型(废）" sheetId="2" r:id="rId1"/>
    <sheet name="基础模型" sheetId="3" r:id="rId2"/>
    <sheet name="战斗公式" sheetId="1" r:id="rId3"/>
    <sheet name="角色设定" sheetId="4" r:id="rId4"/>
    <sheet name="角色成长" sheetId="5" r:id="rId5"/>
    <sheet name="角色品星" sheetId="6" r:id="rId6"/>
    <sheet name="角色升级" sheetId="7" r:id="rId7"/>
    <sheet name="技能模板" sheetId="8" r:id="rId8"/>
    <sheet name="角色技能" sheetId="10" r:id="rId9"/>
    <sheet name="怪物设定" sheetId="11" r:id="rId10"/>
    <sheet name="战斗模拟" sheetId="9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9" l="1"/>
  <c r="J34" i="9"/>
  <c r="K360" i="11"/>
  <c r="F364" i="11"/>
  <c r="F365" i="11"/>
  <c r="F366" i="11"/>
  <c r="G366" i="11"/>
  <c r="P366" i="11" s="1"/>
  <c r="E367" i="11"/>
  <c r="F367" i="11"/>
  <c r="G367" i="11"/>
  <c r="P367" i="11" s="1"/>
  <c r="AA367" i="11" s="1"/>
  <c r="E368" i="11"/>
  <c r="F368" i="11"/>
  <c r="G368" i="11"/>
  <c r="P368" i="11" s="1"/>
  <c r="AA368" i="11" s="1"/>
  <c r="E369" i="11"/>
  <c r="F369" i="11"/>
  <c r="G369" i="11"/>
  <c r="P369" i="11" s="1"/>
  <c r="AA369" i="11" s="1"/>
  <c r="E370" i="11"/>
  <c r="E371" i="11"/>
  <c r="E372" i="11"/>
  <c r="E373" i="11"/>
  <c r="F373" i="11"/>
  <c r="G373" i="11"/>
  <c r="P373" i="11" s="1"/>
  <c r="E374" i="11"/>
  <c r="F374" i="11"/>
  <c r="G374" i="11"/>
  <c r="P374" i="11" s="1"/>
  <c r="AA374" i="11" s="1"/>
  <c r="E375" i="11"/>
  <c r="F375" i="11"/>
  <c r="G375" i="11"/>
  <c r="P375" i="11" s="1"/>
  <c r="AA375" i="11" s="1"/>
  <c r="E376" i="11"/>
  <c r="F376" i="11"/>
  <c r="G376" i="11"/>
  <c r="P376" i="11" s="1"/>
  <c r="AA376" i="11" s="1"/>
  <c r="G378" i="11"/>
  <c r="P378" i="11" s="1"/>
  <c r="AA378" i="11" s="1"/>
  <c r="F379" i="11"/>
  <c r="E380" i="11"/>
  <c r="F380" i="11"/>
  <c r="G380" i="11"/>
  <c r="E381" i="11"/>
  <c r="F381" i="11"/>
  <c r="G381" i="11"/>
  <c r="P381" i="11" s="1"/>
  <c r="AA381" i="11" s="1"/>
  <c r="E382" i="11"/>
  <c r="F382" i="11"/>
  <c r="G382" i="11"/>
  <c r="P382" i="11" s="1"/>
  <c r="AA382" i="11" s="1"/>
  <c r="E383" i="11"/>
  <c r="F383" i="11"/>
  <c r="F384" i="11"/>
  <c r="F385" i="11"/>
  <c r="F386" i="11"/>
  <c r="G386" i="11"/>
  <c r="P386" i="11" s="1"/>
  <c r="E387" i="11"/>
  <c r="F387" i="11"/>
  <c r="G387" i="11"/>
  <c r="P387" i="11" s="1"/>
  <c r="AA387" i="11" s="1"/>
  <c r="E388" i="11"/>
  <c r="F388" i="11"/>
  <c r="G388" i="11"/>
  <c r="P388" i="11" s="1"/>
  <c r="AA388" i="11" s="1"/>
  <c r="E389" i="11"/>
  <c r="F389" i="11"/>
  <c r="G389" i="11"/>
  <c r="P389" i="11" s="1"/>
  <c r="AA389" i="11" s="1"/>
  <c r="E390" i="11"/>
  <c r="E391" i="11"/>
  <c r="E392" i="11"/>
  <c r="F392" i="11"/>
  <c r="E393" i="11"/>
  <c r="F393" i="11"/>
  <c r="G393" i="11"/>
  <c r="P393" i="11" s="1"/>
  <c r="E394" i="11"/>
  <c r="F394" i="11"/>
  <c r="G394" i="11"/>
  <c r="P394" i="11" s="1"/>
  <c r="AA394" i="11" s="1"/>
  <c r="E395" i="11"/>
  <c r="F395" i="11"/>
  <c r="G395" i="11"/>
  <c r="P395" i="11" s="1"/>
  <c r="AA395" i="11" s="1"/>
  <c r="E396" i="11"/>
  <c r="F396" i="11"/>
  <c r="G396" i="11"/>
  <c r="P396" i="11" s="1"/>
  <c r="AA396" i="11" s="1"/>
  <c r="G398" i="11"/>
  <c r="P398" i="11" s="1"/>
  <c r="AA398" i="11" s="1"/>
  <c r="F399" i="11"/>
  <c r="E400" i="11"/>
  <c r="F400" i="11"/>
  <c r="G400" i="11"/>
  <c r="P400" i="11" s="1"/>
  <c r="AA400" i="11" s="1"/>
  <c r="E401" i="11"/>
  <c r="F401" i="11"/>
  <c r="G401" i="11"/>
  <c r="P401" i="11" s="1"/>
  <c r="AA401" i="11" s="1"/>
  <c r="E402" i="11"/>
  <c r="F402" i="11"/>
  <c r="G402" i="11"/>
  <c r="P402" i="11" s="1"/>
  <c r="AA402" i="11" s="1"/>
  <c r="E403" i="11"/>
  <c r="F403" i="11"/>
  <c r="F404" i="11"/>
  <c r="F405" i="11"/>
  <c r="F406" i="11"/>
  <c r="G406" i="11"/>
  <c r="P406" i="11" s="1"/>
  <c r="AA406" i="11" s="1"/>
  <c r="E407" i="11"/>
  <c r="F407" i="11"/>
  <c r="G407" i="11"/>
  <c r="P407" i="11" s="1"/>
  <c r="AA407" i="11" s="1"/>
  <c r="E408" i="11"/>
  <c r="F408" i="11"/>
  <c r="G408" i="11"/>
  <c r="P408" i="11" s="1"/>
  <c r="AA408" i="11" s="1"/>
  <c r="E409" i="11"/>
  <c r="F409" i="11"/>
  <c r="G409" i="11"/>
  <c r="P409" i="11" s="1"/>
  <c r="AA409" i="11" s="1"/>
  <c r="E410" i="11"/>
  <c r="E411" i="11"/>
  <c r="F411" i="11"/>
  <c r="E412" i="11"/>
  <c r="F412" i="11"/>
  <c r="E413" i="11"/>
  <c r="F413" i="11"/>
  <c r="G413" i="11"/>
  <c r="P413" i="11" s="1"/>
  <c r="AA413" i="11" s="1"/>
  <c r="E414" i="11"/>
  <c r="F414" i="11"/>
  <c r="G414" i="11"/>
  <c r="P414" i="11" s="1"/>
  <c r="AA414" i="11" s="1"/>
  <c r="E415" i="11"/>
  <c r="F415" i="11"/>
  <c r="G415" i="11"/>
  <c r="P415" i="11" s="1"/>
  <c r="AA415" i="11" s="1"/>
  <c r="E416" i="11"/>
  <c r="F416" i="11"/>
  <c r="G416" i="11"/>
  <c r="P416" i="11" s="1"/>
  <c r="AA416" i="11" s="1"/>
  <c r="G418" i="11"/>
  <c r="P418" i="11" s="1"/>
  <c r="AA418" i="11" s="1"/>
  <c r="F419" i="11"/>
  <c r="E420" i="11"/>
  <c r="F420" i="11"/>
  <c r="G420" i="11"/>
  <c r="P420" i="11" s="1"/>
  <c r="AA420" i="11" s="1"/>
  <c r="E421" i="11"/>
  <c r="F421" i="11"/>
  <c r="G421" i="11"/>
  <c r="P421" i="11" s="1"/>
  <c r="AA421" i="11" s="1"/>
  <c r="E422" i="11"/>
  <c r="F422" i="11"/>
  <c r="G422" i="11"/>
  <c r="P422" i="11" s="1"/>
  <c r="AA422" i="11" s="1"/>
  <c r="E423" i="11"/>
  <c r="F423" i="11"/>
  <c r="F424" i="11"/>
  <c r="F425" i="11"/>
  <c r="F426" i="11"/>
  <c r="G426" i="11"/>
  <c r="P426" i="11" s="1"/>
  <c r="E427" i="11"/>
  <c r="F427" i="11"/>
  <c r="G427" i="11"/>
  <c r="P427" i="11" s="1"/>
  <c r="AA427" i="11" s="1"/>
  <c r="E428" i="11"/>
  <c r="F428" i="11"/>
  <c r="G428" i="11"/>
  <c r="P428" i="11" s="1"/>
  <c r="AA428" i="11" s="1"/>
  <c r="E429" i="11"/>
  <c r="F429" i="11"/>
  <c r="G429" i="11"/>
  <c r="P429" i="11" s="1"/>
  <c r="AA429" i="11" s="1"/>
  <c r="E430" i="11"/>
  <c r="E431" i="11"/>
  <c r="F431" i="11"/>
  <c r="E432" i="11"/>
  <c r="F432" i="11"/>
  <c r="E433" i="11"/>
  <c r="F433" i="11"/>
  <c r="G433" i="11"/>
  <c r="P433" i="11" s="1"/>
  <c r="E434" i="11"/>
  <c r="F434" i="11"/>
  <c r="G434" i="11"/>
  <c r="P434" i="11" s="1"/>
  <c r="AA434" i="11" s="1"/>
  <c r="E435" i="11"/>
  <c r="F435" i="11"/>
  <c r="G435" i="11"/>
  <c r="P435" i="11" s="1"/>
  <c r="AA435" i="11" s="1"/>
  <c r="E436" i="11"/>
  <c r="F436" i="11"/>
  <c r="G436" i="11"/>
  <c r="P436" i="11" s="1"/>
  <c r="AA436" i="11" s="1"/>
  <c r="G438" i="11"/>
  <c r="P438" i="11" s="1"/>
  <c r="AA438" i="11" s="1"/>
  <c r="F439" i="11"/>
  <c r="E440" i="11"/>
  <c r="F440" i="11"/>
  <c r="G440" i="11"/>
  <c r="P440" i="11" s="1"/>
  <c r="AA440" i="11" s="1"/>
  <c r="E441" i="11"/>
  <c r="F441" i="11"/>
  <c r="G441" i="11"/>
  <c r="P441" i="11" s="1"/>
  <c r="AA441" i="11" s="1"/>
  <c r="E442" i="11"/>
  <c r="F442" i="11"/>
  <c r="G442" i="11"/>
  <c r="P442" i="11" s="1"/>
  <c r="AA442" i="11" s="1"/>
  <c r="E443" i="11"/>
  <c r="F443" i="11"/>
  <c r="F444" i="11"/>
  <c r="F445" i="11"/>
  <c r="E446" i="11"/>
  <c r="F446" i="11"/>
  <c r="G446" i="11"/>
  <c r="P446" i="11" s="1"/>
  <c r="AA446" i="11" s="1"/>
  <c r="E447" i="11"/>
  <c r="F447" i="11"/>
  <c r="G447" i="11"/>
  <c r="P447" i="11" s="1"/>
  <c r="AA447" i="11" s="1"/>
  <c r="E448" i="11"/>
  <c r="F448" i="11"/>
  <c r="G448" i="11"/>
  <c r="P448" i="11" s="1"/>
  <c r="AA448" i="11" s="1"/>
  <c r="E449" i="11"/>
  <c r="F449" i="11"/>
  <c r="G449" i="11"/>
  <c r="P449" i="11" s="1"/>
  <c r="E450" i="11"/>
  <c r="E451" i="11"/>
  <c r="F451" i="11"/>
  <c r="E452" i="11"/>
  <c r="F452" i="11"/>
  <c r="E453" i="11"/>
  <c r="F453" i="11"/>
  <c r="G453" i="11"/>
  <c r="P453" i="11" s="1"/>
  <c r="AA453" i="11" s="1"/>
  <c r="E454" i="11"/>
  <c r="F454" i="11"/>
  <c r="G454" i="11"/>
  <c r="P454" i="11" s="1"/>
  <c r="AA454" i="11" s="1"/>
  <c r="E455" i="11"/>
  <c r="F455" i="11"/>
  <c r="G455" i="11"/>
  <c r="P455" i="11" s="1"/>
  <c r="AA455" i="11" s="1"/>
  <c r="E456" i="11"/>
  <c r="F456" i="11"/>
  <c r="G456" i="11"/>
  <c r="P456" i="11" s="1"/>
  <c r="AA456" i="11" s="1"/>
  <c r="G458" i="11"/>
  <c r="P458" i="11" s="1"/>
  <c r="AA458" i="11" s="1"/>
  <c r="F459" i="11"/>
  <c r="E460" i="11"/>
  <c r="F460" i="11"/>
  <c r="G460" i="11"/>
  <c r="P460" i="11" s="1"/>
  <c r="AA460" i="11" s="1"/>
  <c r="E461" i="11"/>
  <c r="F461" i="11"/>
  <c r="G461" i="11"/>
  <c r="P461" i="11" s="1"/>
  <c r="AA461" i="11" s="1"/>
  <c r="E462" i="11"/>
  <c r="F462" i="11"/>
  <c r="G462" i="11"/>
  <c r="P462" i="11" s="1"/>
  <c r="AA462" i="11" s="1"/>
  <c r="F363" i="11"/>
  <c r="G363" i="11"/>
  <c r="P363" i="11" s="1"/>
  <c r="F361" i="11"/>
  <c r="F370" i="11" s="1"/>
  <c r="G361" i="11"/>
  <c r="G383" i="11" s="1"/>
  <c r="P383" i="11" s="1"/>
  <c r="E361" i="11"/>
  <c r="E377" i="11" s="1"/>
  <c r="K247" i="11"/>
  <c r="E251" i="11"/>
  <c r="E252" i="11"/>
  <c r="G252" i="11"/>
  <c r="E253" i="11"/>
  <c r="F253" i="11"/>
  <c r="G253" i="11"/>
  <c r="P253" i="11" s="1"/>
  <c r="AA253" i="11" s="1"/>
  <c r="E254" i="11"/>
  <c r="F254" i="11"/>
  <c r="G254" i="11"/>
  <c r="P254" i="11" s="1"/>
  <c r="AA254" i="11" s="1"/>
  <c r="E255" i="11"/>
  <c r="F255" i="11"/>
  <c r="G255" i="11"/>
  <c r="P255" i="11" s="1"/>
  <c r="AA255" i="11" s="1"/>
  <c r="G256" i="11"/>
  <c r="P256" i="11" s="1"/>
  <c r="AA256" i="11" s="1"/>
  <c r="G257" i="11"/>
  <c r="G258" i="11"/>
  <c r="E259" i="11"/>
  <c r="F259" i="11"/>
  <c r="G259" i="11"/>
  <c r="P259" i="11" s="1"/>
  <c r="AA259" i="11" s="1"/>
  <c r="E260" i="11"/>
  <c r="F260" i="11"/>
  <c r="G260" i="11"/>
  <c r="E261" i="11"/>
  <c r="F261" i="11"/>
  <c r="G261" i="11"/>
  <c r="P261" i="11" s="1"/>
  <c r="AA261" i="11" s="1"/>
  <c r="E262" i="11"/>
  <c r="F262" i="11"/>
  <c r="G265" i="11"/>
  <c r="E266" i="11"/>
  <c r="F266" i="11"/>
  <c r="G266" i="11"/>
  <c r="P266" i="11" s="1"/>
  <c r="AA266" i="11" s="1"/>
  <c r="E267" i="11"/>
  <c r="F267" i="11"/>
  <c r="G267" i="11"/>
  <c r="P267" i="11" s="1"/>
  <c r="AA267" i="11" s="1"/>
  <c r="E268" i="11"/>
  <c r="F268" i="11"/>
  <c r="G268" i="11"/>
  <c r="P268" i="11" s="1"/>
  <c r="AA268" i="11" s="1"/>
  <c r="E269" i="11"/>
  <c r="E270" i="11"/>
  <c r="E271" i="11"/>
  <c r="E272" i="11"/>
  <c r="G272" i="11"/>
  <c r="P272" i="11" s="1"/>
  <c r="E273" i="11"/>
  <c r="F273" i="11"/>
  <c r="G273" i="11"/>
  <c r="P273" i="11" s="1"/>
  <c r="AA273" i="11" s="1"/>
  <c r="E274" i="11"/>
  <c r="F274" i="11"/>
  <c r="G274" i="11"/>
  <c r="P274" i="11" s="1"/>
  <c r="AA274" i="11" s="1"/>
  <c r="E275" i="11"/>
  <c r="F275" i="11"/>
  <c r="G275" i="11"/>
  <c r="P275" i="11" s="1"/>
  <c r="AA275" i="11" s="1"/>
  <c r="G276" i="11"/>
  <c r="P276" i="11" s="1"/>
  <c r="AA276" i="11" s="1"/>
  <c r="G277" i="11"/>
  <c r="P277" i="11" s="1"/>
  <c r="AA277" i="11" s="1"/>
  <c r="G278" i="11"/>
  <c r="E279" i="11"/>
  <c r="F279" i="11"/>
  <c r="G279" i="11"/>
  <c r="P279" i="11" s="1"/>
  <c r="AA279" i="11" s="1"/>
  <c r="E280" i="11"/>
  <c r="F280" i="11"/>
  <c r="G280" i="11"/>
  <c r="P280" i="11" s="1"/>
  <c r="E281" i="11"/>
  <c r="F281" i="11"/>
  <c r="G281" i="11"/>
  <c r="P281" i="11" s="1"/>
  <c r="AA281" i="11" s="1"/>
  <c r="E282" i="11"/>
  <c r="F282" i="11"/>
  <c r="G285" i="11"/>
  <c r="P285" i="11" s="1"/>
  <c r="AA285" i="11" s="1"/>
  <c r="E286" i="11"/>
  <c r="F286" i="11"/>
  <c r="G286" i="11"/>
  <c r="P286" i="11" s="1"/>
  <c r="AA286" i="11" s="1"/>
  <c r="E287" i="11"/>
  <c r="F287" i="11"/>
  <c r="G287" i="11"/>
  <c r="E288" i="11"/>
  <c r="F288" i="11"/>
  <c r="G288" i="11"/>
  <c r="P288" i="11" s="1"/>
  <c r="AA288" i="11" s="1"/>
  <c r="E289" i="11"/>
  <c r="E290" i="11"/>
  <c r="E291" i="11"/>
  <c r="G291" i="11"/>
  <c r="E292" i="11"/>
  <c r="G292" i="11"/>
  <c r="E293" i="11"/>
  <c r="F293" i="11"/>
  <c r="G293" i="11"/>
  <c r="P293" i="11" s="1"/>
  <c r="AA293" i="11" s="1"/>
  <c r="E294" i="11"/>
  <c r="F294" i="11"/>
  <c r="G294" i="11"/>
  <c r="P294" i="11" s="1"/>
  <c r="AA294" i="11" s="1"/>
  <c r="E295" i="11"/>
  <c r="F295" i="11"/>
  <c r="G295" i="11"/>
  <c r="P295" i="11" s="1"/>
  <c r="AA295" i="11" s="1"/>
  <c r="G296" i="11"/>
  <c r="P296" i="11" s="1"/>
  <c r="AA296" i="11" s="1"/>
  <c r="G297" i="11"/>
  <c r="G298" i="11"/>
  <c r="E299" i="11"/>
  <c r="F299" i="11"/>
  <c r="G299" i="11"/>
  <c r="P299" i="11" s="1"/>
  <c r="AA299" i="11" s="1"/>
  <c r="E300" i="11"/>
  <c r="F300" i="11"/>
  <c r="G300" i="11"/>
  <c r="E301" i="11"/>
  <c r="F301" i="11"/>
  <c r="G301" i="11"/>
  <c r="P301" i="11" s="1"/>
  <c r="AA301" i="11" s="1"/>
  <c r="E302" i="11"/>
  <c r="F302" i="11"/>
  <c r="G305" i="11"/>
  <c r="P305" i="11" s="1"/>
  <c r="AA305" i="11" s="1"/>
  <c r="E306" i="11"/>
  <c r="F306" i="11"/>
  <c r="G306" i="11"/>
  <c r="P306" i="11" s="1"/>
  <c r="AA306" i="11" s="1"/>
  <c r="E307" i="11"/>
  <c r="F307" i="11"/>
  <c r="G307" i="11"/>
  <c r="P307" i="11" s="1"/>
  <c r="AA307" i="11" s="1"/>
  <c r="E308" i="11"/>
  <c r="F308" i="11"/>
  <c r="G308" i="11"/>
  <c r="P308" i="11" s="1"/>
  <c r="AA308" i="11" s="1"/>
  <c r="E309" i="11"/>
  <c r="E310" i="11"/>
  <c r="E311" i="11"/>
  <c r="G311" i="11"/>
  <c r="E312" i="11"/>
  <c r="G312" i="11"/>
  <c r="P312" i="11" s="1"/>
  <c r="E313" i="11"/>
  <c r="F313" i="11"/>
  <c r="G313" i="11"/>
  <c r="P313" i="11" s="1"/>
  <c r="AA313" i="11" s="1"/>
  <c r="E314" i="11"/>
  <c r="F314" i="11"/>
  <c r="G314" i="11"/>
  <c r="P314" i="11" s="1"/>
  <c r="AA314" i="11" s="1"/>
  <c r="E315" i="11"/>
  <c r="F315" i="11"/>
  <c r="G315" i="11"/>
  <c r="P315" i="11" s="1"/>
  <c r="AA315" i="11" s="1"/>
  <c r="G316" i="11"/>
  <c r="P316" i="11" s="1"/>
  <c r="AA316" i="11" s="1"/>
  <c r="G317" i="11"/>
  <c r="P317" i="11" s="1"/>
  <c r="AA317" i="11" s="1"/>
  <c r="G318" i="11"/>
  <c r="E319" i="11"/>
  <c r="F319" i="11"/>
  <c r="G319" i="11"/>
  <c r="P319" i="11" s="1"/>
  <c r="AA319" i="11" s="1"/>
  <c r="E320" i="11"/>
  <c r="F320" i="11"/>
  <c r="G320" i="11"/>
  <c r="P320" i="11" s="1"/>
  <c r="AA320" i="11" s="1"/>
  <c r="E321" i="11"/>
  <c r="F321" i="11"/>
  <c r="G321" i="11"/>
  <c r="P321" i="11" s="1"/>
  <c r="AA321" i="11" s="1"/>
  <c r="E322" i="11"/>
  <c r="F322" i="11"/>
  <c r="G323" i="11"/>
  <c r="P323" i="11" s="1"/>
  <c r="AA323" i="11" s="1"/>
  <c r="G325" i="11"/>
  <c r="P325" i="11" s="1"/>
  <c r="AA325" i="11" s="1"/>
  <c r="E326" i="11"/>
  <c r="F326" i="11"/>
  <c r="G326" i="11"/>
  <c r="P326" i="11" s="1"/>
  <c r="AA326" i="11" s="1"/>
  <c r="E327" i="11"/>
  <c r="F327" i="11"/>
  <c r="G327" i="11"/>
  <c r="P327" i="11" s="1"/>
  <c r="AA327" i="11" s="1"/>
  <c r="E328" i="11"/>
  <c r="F328" i="11"/>
  <c r="G328" i="11"/>
  <c r="P328" i="11" s="1"/>
  <c r="AA328" i="11" s="1"/>
  <c r="E329" i="11"/>
  <c r="E330" i="11"/>
  <c r="E331" i="11"/>
  <c r="G331" i="11"/>
  <c r="E332" i="11"/>
  <c r="G332" i="11"/>
  <c r="E333" i="11"/>
  <c r="F333" i="11"/>
  <c r="G333" i="11"/>
  <c r="P333" i="11" s="1"/>
  <c r="AA333" i="11" s="1"/>
  <c r="E334" i="11"/>
  <c r="F334" i="11"/>
  <c r="G334" i="11"/>
  <c r="P334" i="11" s="1"/>
  <c r="AA334" i="11" s="1"/>
  <c r="E335" i="11"/>
  <c r="F335" i="11"/>
  <c r="G335" i="11"/>
  <c r="P335" i="11" s="1"/>
  <c r="AA335" i="11" s="1"/>
  <c r="G336" i="11"/>
  <c r="P336" i="11" s="1"/>
  <c r="AA336" i="11" s="1"/>
  <c r="G337" i="11"/>
  <c r="G338" i="11"/>
  <c r="E339" i="11"/>
  <c r="F339" i="11"/>
  <c r="G339" i="11"/>
  <c r="P339" i="11" s="1"/>
  <c r="AA339" i="11" s="1"/>
  <c r="E340" i="11"/>
  <c r="F340" i="11"/>
  <c r="G340" i="11"/>
  <c r="E341" i="11"/>
  <c r="F341" i="11"/>
  <c r="G341" i="11"/>
  <c r="P341" i="11" s="1"/>
  <c r="AA341" i="11" s="1"/>
  <c r="E342" i="11"/>
  <c r="F342" i="11"/>
  <c r="G343" i="11"/>
  <c r="P343" i="11" s="1"/>
  <c r="AA343" i="11" s="1"/>
  <c r="G345" i="11"/>
  <c r="P345" i="11" s="1"/>
  <c r="AA345" i="11" s="1"/>
  <c r="E346" i="11"/>
  <c r="F346" i="11"/>
  <c r="G346" i="11"/>
  <c r="E347" i="11"/>
  <c r="F347" i="11"/>
  <c r="G347" i="11"/>
  <c r="P347" i="11" s="1"/>
  <c r="AA347" i="11" s="1"/>
  <c r="E348" i="11"/>
  <c r="F348" i="11"/>
  <c r="G348" i="11"/>
  <c r="P348" i="11" s="1"/>
  <c r="E349" i="11"/>
  <c r="G250" i="11"/>
  <c r="P250" i="11" s="1"/>
  <c r="F248" i="11"/>
  <c r="F269" i="11" s="1"/>
  <c r="G248" i="11"/>
  <c r="G262" i="11" s="1"/>
  <c r="P262" i="11" s="1"/>
  <c r="AA262" i="11" s="1"/>
  <c r="E248" i="11"/>
  <c r="E256" i="11" s="1"/>
  <c r="J354" i="11"/>
  <c r="G357" i="11"/>
  <c r="G354" i="11"/>
  <c r="G355" i="11" s="1"/>
  <c r="G356" i="11" s="1"/>
  <c r="F357" i="11"/>
  <c r="F356" i="11"/>
  <c r="F355" i="11"/>
  <c r="F354" i="11"/>
  <c r="E357" i="11"/>
  <c r="E356" i="11"/>
  <c r="E355" i="11"/>
  <c r="E354" i="11"/>
  <c r="J241" i="11"/>
  <c r="J242" i="11" s="1"/>
  <c r="G244" i="11"/>
  <c r="G243" i="11"/>
  <c r="G242" i="11"/>
  <c r="G241" i="11"/>
  <c r="F244" i="11"/>
  <c r="F243" i="11"/>
  <c r="F242" i="11"/>
  <c r="F241" i="11"/>
  <c r="E244" i="11"/>
  <c r="E243" i="11"/>
  <c r="E242" i="11"/>
  <c r="E241" i="11"/>
  <c r="K134" i="11"/>
  <c r="G144" i="11"/>
  <c r="P144" i="11" s="1"/>
  <c r="AA144" i="11" s="1"/>
  <c r="E145" i="11"/>
  <c r="F171" i="11"/>
  <c r="E172" i="11"/>
  <c r="E194" i="11"/>
  <c r="F194" i="11"/>
  <c r="G214" i="11"/>
  <c r="P214" i="11" s="1"/>
  <c r="AA214" i="11" s="1"/>
  <c r="E215" i="11"/>
  <c r="G135" i="11"/>
  <c r="G137" i="11" s="1"/>
  <c r="P137" i="11" s="1"/>
  <c r="AA137" i="11" s="1"/>
  <c r="F135" i="11"/>
  <c r="F155" i="11" s="1"/>
  <c r="E135" i="11"/>
  <c r="E142" i="11" s="1"/>
  <c r="E24" i="11"/>
  <c r="F134" i="11"/>
  <c r="E134" i="11"/>
  <c r="J128" i="11"/>
  <c r="J129" i="11" s="1"/>
  <c r="J15" i="11"/>
  <c r="J16" i="11" s="1"/>
  <c r="J17" i="11" s="1"/>
  <c r="J18" i="11" s="1"/>
  <c r="H18" i="11" s="1"/>
  <c r="K18" i="11" s="1"/>
  <c r="F131" i="11"/>
  <c r="F130" i="11"/>
  <c r="F129" i="11"/>
  <c r="F15" i="11"/>
  <c r="F14" i="11"/>
  <c r="F128" i="11"/>
  <c r="G131" i="11"/>
  <c r="G130" i="11"/>
  <c r="G129" i="11"/>
  <c r="G128" i="11"/>
  <c r="G15" i="11"/>
  <c r="G14" i="11"/>
  <c r="E131" i="11"/>
  <c r="E130" i="11"/>
  <c r="E129" i="11"/>
  <c r="E128" i="11"/>
  <c r="AE462" i="11"/>
  <c r="AD462" i="11"/>
  <c r="AC462" i="11"/>
  <c r="AB462" i="11"/>
  <c r="AE461" i="11"/>
  <c r="AD461" i="11"/>
  <c r="AC461" i="11"/>
  <c r="AB461" i="11"/>
  <c r="AE460" i="11"/>
  <c r="AD460" i="11"/>
  <c r="AC460" i="11"/>
  <c r="AB460" i="11"/>
  <c r="AE459" i="11"/>
  <c r="AD459" i="11"/>
  <c r="AC459" i="11"/>
  <c r="AB459" i="11"/>
  <c r="AE458" i="11"/>
  <c r="AD458" i="11"/>
  <c r="AC458" i="11"/>
  <c r="AB458" i="11"/>
  <c r="AE457" i="11"/>
  <c r="AD457" i="11"/>
  <c r="AC457" i="11"/>
  <c r="AB457" i="11"/>
  <c r="AE456" i="11"/>
  <c r="AD456" i="11"/>
  <c r="AC456" i="11"/>
  <c r="AB456" i="11"/>
  <c r="AE455" i="11"/>
  <c r="AD455" i="11"/>
  <c r="AC455" i="11"/>
  <c r="AB455" i="11"/>
  <c r="AE454" i="11"/>
  <c r="AD454" i="11"/>
  <c r="AC454" i="11"/>
  <c r="AB454" i="11"/>
  <c r="AE453" i="11"/>
  <c r="AD453" i="11"/>
  <c r="AC453" i="11"/>
  <c r="AB453" i="11"/>
  <c r="AE452" i="11"/>
  <c r="AD452" i="11"/>
  <c r="AC452" i="11"/>
  <c r="AB452" i="11"/>
  <c r="AE451" i="11"/>
  <c r="AD451" i="11"/>
  <c r="AC451" i="11"/>
  <c r="AB451" i="11"/>
  <c r="AE450" i="11"/>
  <c r="AD450" i="11"/>
  <c r="AC450" i="11"/>
  <c r="AB450" i="11"/>
  <c r="AE449" i="11"/>
  <c r="AD449" i="11"/>
  <c r="AC449" i="11"/>
  <c r="AB449" i="11"/>
  <c r="AE448" i="11"/>
  <c r="AD448" i="11"/>
  <c r="AC448" i="11"/>
  <c r="AB448" i="11"/>
  <c r="AE447" i="11"/>
  <c r="AD447" i="11"/>
  <c r="AC447" i="11"/>
  <c r="AB447" i="11"/>
  <c r="AE446" i="11"/>
  <c r="AD446" i="11"/>
  <c r="AC446" i="11"/>
  <c r="AB446" i="11"/>
  <c r="AE445" i="11"/>
  <c r="AD445" i="11"/>
  <c r="AC445" i="11"/>
  <c r="AB445" i="11"/>
  <c r="AE444" i="11"/>
  <c r="AD444" i="11"/>
  <c r="AC444" i="11"/>
  <c r="AB444" i="11"/>
  <c r="AE443" i="11"/>
  <c r="AD443" i="11"/>
  <c r="AC443" i="11"/>
  <c r="AB443" i="11"/>
  <c r="AE442" i="11"/>
  <c r="AD442" i="11"/>
  <c r="AC442" i="11"/>
  <c r="AB442" i="11"/>
  <c r="AE441" i="11"/>
  <c r="AD441" i="11"/>
  <c r="AC441" i="11"/>
  <c r="AB441" i="11"/>
  <c r="AE440" i="11"/>
  <c r="AD440" i="11"/>
  <c r="AC440" i="11"/>
  <c r="AB440" i="11"/>
  <c r="AE439" i="11"/>
  <c r="AD439" i="11"/>
  <c r="AC439" i="11"/>
  <c r="AB439" i="11"/>
  <c r="AE438" i="11"/>
  <c r="AD438" i="11"/>
  <c r="AC438" i="11"/>
  <c r="AB438" i="11"/>
  <c r="AE437" i="11"/>
  <c r="AD437" i="11"/>
  <c r="AC437" i="11"/>
  <c r="AB437" i="11"/>
  <c r="AE436" i="11"/>
  <c r="AD436" i="11"/>
  <c r="AC436" i="11"/>
  <c r="AB436" i="11"/>
  <c r="AE435" i="11"/>
  <c r="AD435" i="11"/>
  <c r="AC435" i="11"/>
  <c r="AB435" i="11"/>
  <c r="AE434" i="11"/>
  <c r="AD434" i="11"/>
  <c r="AC434" i="11"/>
  <c r="AB434" i="11"/>
  <c r="AE433" i="11"/>
  <c r="AD433" i="11"/>
  <c r="AC433" i="11"/>
  <c r="AB433" i="11"/>
  <c r="AE432" i="11"/>
  <c r="AD432" i="11"/>
  <c r="AC432" i="11"/>
  <c r="AB432" i="11"/>
  <c r="AE431" i="11"/>
  <c r="AD431" i="11"/>
  <c r="AC431" i="11"/>
  <c r="AB431" i="11"/>
  <c r="AE430" i="11"/>
  <c r="AD430" i="11"/>
  <c r="AC430" i="11"/>
  <c r="AB430" i="11"/>
  <c r="AE429" i="11"/>
  <c r="AD429" i="11"/>
  <c r="AC429" i="11"/>
  <c r="AB429" i="11"/>
  <c r="AE428" i="11"/>
  <c r="AD428" i="11"/>
  <c r="AC428" i="11"/>
  <c r="AB428" i="11"/>
  <c r="AE427" i="11"/>
  <c r="AD427" i="11"/>
  <c r="AC427" i="11"/>
  <c r="AB427" i="11"/>
  <c r="AE426" i="11"/>
  <c r="AD426" i="11"/>
  <c r="AC426" i="11"/>
  <c r="AB426" i="11"/>
  <c r="AE425" i="11"/>
  <c r="AD425" i="11"/>
  <c r="AC425" i="11"/>
  <c r="AB425" i="11"/>
  <c r="AE424" i="11"/>
  <c r="AD424" i="11"/>
  <c r="AC424" i="11"/>
  <c r="AB424" i="11"/>
  <c r="AE423" i="11"/>
  <c r="AD423" i="11"/>
  <c r="AC423" i="11"/>
  <c r="AB423" i="11"/>
  <c r="AE422" i="11"/>
  <c r="AD422" i="11"/>
  <c r="AC422" i="11"/>
  <c r="AB422" i="11"/>
  <c r="AE421" i="11"/>
  <c r="AD421" i="11"/>
  <c r="AC421" i="11"/>
  <c r="AB421" i="11"/>
  <c r="AE420" i="11"/>
  <c r="AD420" i="11"/>
  <c r="AC420" i="11"/>
  <c r="AB420" i="11"/>
  <c r="AE419" i="11"/>
  <c r="AD419" i="11"/>
  <c r="AC419" i="11"/>
  <c r="AB419" i="11"/>
  <c r="AE418" i="11"/>
  <c r="AD418" i="11"/>
  <c r="AC418" i="11"/>
  <c r="AB418" i="11"/>
  <c r="AE417" i="11"/>
  <c r="AD417" i="11"/>
  <c r="AC417" i="11"/>
  <c r="AB417" i="11"/>
  <c r="AE416" i="11"/>
  <c r="AD416" i="11"/>
  <c r="AC416" i="11"/>
  <c r="AB416" i="11"/>
  <c r="AE415" i="11"/>
  <c r="AD415" i="11"/>
  <c r="AC415" i="11"/>
  <c r="AB415" i="11"/>
  <c r="AE414" i="11"/>
  <c r="AD414" i="11"/>
  <c r="AC414" i="11"/>
  <c r="AB414" i="11"/>
  <c r="AE413" i="11"/>
  <c r="AD413" i="11"/>
  <c r="AC413" i="11"/>
  <c r="AB413" i="11"/>
  <c r="AE412" i="11"/>
  <c r="AD412" i="11"/>
  <c r="AC412" i="11"/>
  <c r="AB412" i="11"/>
  <c r="AE411" i="11"/>
  <c r="AD411" i="11"/>
  <c r="AC411" i="11"/>
  <c r="AB411" i="11"/>
  <c r="AE410" i="11"/>
  <c r="AD410" i="11"/>
  <c r="AC410" i="11"/>
  <c r="AB410" i="11"/>
  <c r="AE409" i="11"/>
  <c r="AD409" i="11"/>
  <c r="AC409" i="11"/>
  <c r="AB409" i="11"/>
  <c r="AE408" i="11"/>
  <c r="AD408" i="11"/>
  <c r="AC408" i="11"/>
  <c r="AB408" i="11"/>
  <c r="AE407" i="11"/>
  <c r="AD407" i="11"/>
  <c r="AC407" i="11"/>
  <c r="AB407" i="11"/>
  <c r="AE406" i="11"/>
  <c r="AD406" i="11"/>
  <c r="AC406" i="11"/>
  <c r="AB406" i="11"/>
  <c r="AE405" i="11"/>
  <c r="AD405" i="11"/>
  <c r="AC405" i="11"/>
  <c r="AB405" i="11"/>
  <c r="AE404" i="11"/>
  <c r="AD404" i="11"/>
  <c r="AC404" i="11"/>
  <c r="AB404" i="11"/>
  <c r="AE403" i="11"/>
  <c r="AD403" i="11"/>
  <c r="AC403" i="11"/>
  <c r="AB403" i="11"/>
  <c r="AE402" i="11"/>
  <c r="AD402" i="11"/>
  <c r="AC402" i="11"/>
  <c r="AB402" i="11"/>
  <c r="AE401" i="11"/>
  <c r="AD401" i="11"/>
  <c r="AC401" i="11"/>
  <c r="AB401" i="11"/>
  <c r="AE400" i="11"/>
  <c r="AD400" i="11"/>
  <c r="AC400" i="11"/>
  <c r="AB400" i="11"/>
  <c r="AE399" i="11"/>
  <c r="AD399" i="11"/>
  <c r="AC399" i="11"/>
  <c r="AB399" i="11"/>
  <c r="AE398" i="11"/>
  <c r="AD398" i="11"/>
  <c r="AC398" i="11"/>
  <c r="AB398" i="11"/>
  <c r="AE397" i="11"/>
  <c r="AD397" i="11"/>
  <c r="AC397" i="11"/>
  <c r="AB397" i="11"/>
  <c r="AE396" i="11"/>
  <c r="AD396" i="11"/>
  <c r="AC396" i="11"/>
  <c r="AB396" i="11"/>
  <c r="AE395" i="11"/>
  <c r="AD395" i="11"/>
  <c r="AC395" i="11"/>
  <c r="AB395" i="11"/>
  <c r="AE394" i="11"/>
  <c r="AD394" i="11"/>
  <c r="AC394" i="11"/>
  <c r="AB394" i="11"/>
  <c r="AE393" i="11"/>
  <c r="AD393" i="11"/>
  <c r="AC393" i="11"/>
  <c r="AB393" i="11"/>
  <c r="AE392" i="11"/>
  <c r="AD392" i="11"/>
  <c r="AC392" i="11"/>
  <c r="AB392" i="11"/>
  <c r="AE391" i="11"/>
  <c r="AD391" i="11"/>
  <c r="AC391" i="11"/>
  <c r="AB391" i="11"/>
  <c r="AE390" i="11"/>
  <c r="AD390" i="11"/>
  <c r="AC390" i="11"/>
  <c r="AB390" i="11"/>
  <c r="AE389" i="11"/>
  <c r="AD389" i="11"/>
  <c r="AC389" i="11"/>
  <c r="AB389" i="11"/>
  <c r="AE388" i="11"/>
  <c r="AD388" i="11"/>
  <c r="AC388" i="11"/>
  <c r="AB388" i="11"/>
  <c r="AE387" i="11"/>
  <c r="AD387" i="11"/>
  <c r="AC387" i="11"/>
  <c r="AB387" i="11"/>
  <c r="AE386" i="11"/>
  <c r="AD386" i="11"/>
  <c r="AC386" i="11"/>
  <c r="AB386" i="11"/>
  <c r="AE385" i="11"/>
  <c r="AD385" i="11"/>
  <c r="AC385" i="11"/>
  <c r="AB385" i="11"/>
  <c r="AE384" i="11"/>
  <c r="AD384" i="11"/>
  <c r="AC384" i="11"/>
  <c r="AB384" i="11"/>
  <c r="AE383" i="11"/>
  <c r="AD383" i="11"/>
  <c r="AC383" i="11"/>
  <c r="AB383" i="11"/>
  <c r="AE382" i="11"/>
  <c r="AD382" i="11"/>
  <c r="AC382" i="11"/>
  <c r="AB382" i="11"/>
  <c r="AE381" i="11"/>
  <c r="AD381" i="11"/>
  <c r="AC381" i="11"/>
  <c r="AB381" i="11"/>
  <c r="AE380" i="11"/>
  <c r="AD380" i="11"/>
  <c r="AC380" i="11"/>
  <c r="AB380" i="11"/>
  <c r="P380" i="11"/>
  <c r="AA380" i="11" s="1"/>
  <c r="AE379" i="11"/>
  <c r="AD379" i="11"/>
  <c r="AC379" i="11"/>
  <c r="AB379" i="11"/>
  <c r="AE378" i="11"/>
  <c r="AD378" i="11"/>
  <c r="AC378" i="11"/>
  <c r="AB378" i="11"/>
  <c r="AE377" i="11"/>
  <c r="AD377" i="11"/>
  <c r="AC377" i="11"/>
  <c r="AB377" i="11"/>
  <c r="AE376" i="11"/>
  <c r="AD376" i="11"/>
  <c r="AC376" i="11"/>
  <c r="AB376" i="11"/>
  <c r="AE375" i="11"/>
  <c r="AD375" i="11"/>
  <c r="AC375" i="11"/>
  <c r="AB375" i="11"/>
  <c r="AE374" i="11"/>
  <c r="AD374" i="11"/>
  <c r="AC374" i="11"/>
  <c r="AB374" i="11"/>
  <c r="AE373" i="11"/>
  <c r="AD373" i="11"/>
  <c r="AC373" i="11"/>
  <c r="AB373" i="11"/>
  <c r="AE372" i="11"/>
  <c r="AD372" i="11"/>
  <c r="AC372" i="11"/>
  <c r="AB372" i="11"/>
  <c r="AE371" i="11"/>
  <c r="AD371" i="11"/>
  <c r="AC371" i="11"/>
  <c r="AB371" i="11"/>
  <c r="AE370" i="11"/>
  <c r="AD370" i="11"/>
  <c r="AC370" i="11"/>
  <c r="AB370" i="11"/>
  <c r="AE369" i="11"/>
  <c r="AD369" i="11"/>
  <c r="AC369" i="11"/>
  <c r="AB369" i="11"/>
  <c r="AE368" i="11"/>
  <c r="AD368" i="11"/>
  <c r="AC368" i="11"/>
  <c r="AB368" i="11"/>
  <c r="AE367" i="11"/>
  <c r="AD367" i="11"/>
  <c r="AC367" i="11"/>
  <c r="AB367" i="11"/>
  <c r="AE366" i="11"/>
  <c r="AD366" i="11"/>
  <c r="AC366" i="11"/>
  <c r="AB366" i="11"/>
  <c r="AE365" i="11"/>
  <c r="AD365" i="11"/>
  <c r="AC365" i="11"/>
  <c r="AB365" i="11"/>
  <c r="AE364" i="11"/>
  <c r="AD364" i="11"/>
  <c r="AC364" i="11"/>
  <c r="AB364" i="11"/>
  <c r="AE363" i="11"/>
  <c r="AD363" i="11"/>
  <c r="AC363" i="11"/>
  <c r="AB363" i="11"/>
  <c r="P361" i="11"/>
  <c r="AE349" i="11"/>
  <c r="AD349" i="11"/>
  <c r="AC349" i="11"/>
  <c r="AB349" i="11"/>
  <c r="AE348" i="11"/>
  <c r="AD348" i="11"/>
  <c r="AC348" i="11"/>
  <c r="AB348" i="11"/>
  <c r="AE347" i="11"/>
  <c r="AD347" i="11"/>
  <c r="AC347" i="11"/>
  <c r="AB347" i="11"/>
  <c r="AE346" i="11"/>
  <c r="AD346" i="11"/>
  <c r="AC346" i="11"/>
  <c r="AB346" i="11"/>
  <c r="P346" i="11"/>
  <c r="AA346" i="11" s="1"/>
  <c r="AE345" i="11"/>
  <c r="AD345" i="11"/>
  <c r="AC345" i="11"/>
  <c r="AB345" i="11"/>
  <c r="AE344" i="11"/>
  <c r="AD344" i="11"/>
  <c r="AC344" i="11"/>
  <c r="AB344" i="11"/>
  <c r="AE343" i="11"/>
  <c r="AD343" i="11"/>
  <c r="AC343" i="11"/>
  <c r="AB343" i="11"/>
  <c r="AE342" i="11"/>
  <c r="AD342" i="11"/>
  <c r="AC342" i="11"/>
  <c r="AB342" i="11"/>
  <c r="AE341" i="11"/>
  <c r="AD341" i="11"/>
  <c r="AC341" i="11"/>
  <c r="AB341" i="11"/>
  <c r="AE340" i="11"/>
  <c r="AD340" i="11"/>
  <c r="AC340" i="11"/>
  <c r="AB340" i="11"/>
  <c r="P340" i="11"/>
  <c r="AA340" i="11" s="1"/>
  <c r="AE339" i="11"/>
  <c r="AD339" i="11"/>
  <c r="AC339" i="11"/>
  <c r="AB339" i="11"/>
  <c r="AE338" i="11"/>
  <c r="AD338" i="11"/>
  <c r="AC338" i="11"/>
  <c r="AB338" i="11"/>
  <c r="P338" i="11"/>
  <c r="AA338" i="11" s="1"/>
  <c r="AE337" i="11"/>
  <c r="AD337" i="11"/>
  <c r="AC337" i="11"/>
  <c r="AB337" i="11"/>
  <c r="P337" i="11"/>
  <c r="AA337" i="11" s="1"/>
  <c r="AE336" i="11"/>
  <c r="AD336" i="11"/>
  <c r="AC336" i="11"/>
  <c r="AB336" i="11"/>
  <c r="AE335" i="11"/>
  <c r="AD335" i="11"/>
  <c r="AC335" i="11"/>
  <c r="AB335" i="11"/>
  <c r="AE334" i="11"/>
  <c r="AD334" i="11"/>
  <c r="AC334" i="11"/>
  <c r="AB334" i="11"/>
  <c r="AE333" i="11"/>
  <c r="AD333" i="11"/>
  <c r="AC333" i="11"/>
  <c r="AB333" i="11"/>
  <c r="AE332" i="11"/>
  <c r="AD332" i="11"/>
  <c r="AC332" i="11"/>
  <c r="AB332" i="11"/>
  <c r="P332" i="11"/>
  <c r="AA332" i="11" s="1"/>
  <c r="AE331" i="11"/>
  <c r="AD331" i="11"/>
  <c r="AC331" i="11"/>
  <c r="AB331" i="11"/>
  <c r="P331" i="11"/>
  <c r="AA331" i="11" s="1"/>
  <c r="AE330" i="11"/>
  <c r="AD330" i="11"/>
  <c r="AC330" i="11"/>
  <c r="AB330" i="11"/>
  <c r="AE329" i="11"/>
  <c r="AD329" i="11"/>
  <c r="AC329" i="11"/>
  <c r="AB329" i="11"/>
  <c r="AE328" i="11"/>
  <c r="AD328" i="11"/>
  <c r="AC328" i="11"/>
  <c r="AB328" i="11"/>
  <c r="AE327" i="11"/>
  <c r="AD327" i="11"/>
  <c r="AC327" i="11"/>
  <c r="AB327" i="11"/>
  <c r="AE326" i="11"/>
  <c r="AD326" i="11"/>
  <c r="AC326" i="11"/>
  <c r="AB326" i="11"/>
  <c r="AE325" i="11"/>
  <c r="AD325" i="11"/>
  <c r="AC325" i="11"/>
  <c r="AB325" i="11"/>
  <c r="AE324" i="11"/>
  <c r="AD324" i="11"/>
  <c r="AC324" i="11"/>
  <c r="AB324" i="11"/>
  <c r="AE323" i="11"/>
  <c r="AD323" i="11"/>
  <c r="AC323" i="11"/>
  <c r="AB323" i="11"/>
  <c r="AE322" i="11"/>
  <c r="AD322" i="11"/>
  <c r="AC322" i="11"/>
  <c r="AB322" i="11"/>
  <c r="AE321" i="11"/>
  <c r="AD321" i="11"/>
  <c r="AC321" i="11"/>
  <c r="AB321" i="11"/>
  <c r="AE320" i="11"/>
  <c r="AD320" i="11"/>
  <c r="AC320" i="11"/>
  <c r="AB320" i="11"/>
  <c r="AE319" i="11"/>
  <c r="AD319" i="11"/>
  <c r="AC319" i="11"/>
  <c r="AB319" i="11"/>
  <c r="AE318" i="11"/>
  <c r="AD318" i="11"/>
  <c r="AC318" i="11"/>
  <c r="AB318" i="11"/>
  <c r="P318" i="11"/>
  <c r="AE317" i="11"/>
  <c r="AD317" i="11"/>
  <c r="AC317" i="11"/>
  <c r="AB317" i="11"/>
  <c r="AE316" i="11"/>
  <c r="AD316" i="11"/>
  <c r="AC316" i="11"/>
  <c r="AB316" i="11"/>
  <c r="AE315" i="11"/>
  <c r="AD315" i="11"/>
  <c r="AC315" i="11"/>
  <c r="AB315" i="11"/>
  <c r="AE314" i="11"/>
  <c r="AD314" i="11"/>
  <c r="AC314" i="11"/>
  <c r="AB314" i="11"/>
  <c r="AE313" i="11"/>
  <c r="AD313" i="11"/>
  <c r="AC313" i="11"/>
  <c r="AB313" i="11"/>
  <c r="AE312" i="11"/>
  <c r="AD312" i="11"/>
  <c r="AC312" i="11"/>
  <c r="AB312" i="11"/>
  <c r="AE311" i="11"/>
  <c r="AD311" i="11"/>
  <c r="AC311" i="11"/>
  <c r="AB311" i="11"/>
  <c r="P311" i="11"/>
  <c r="AA311" i="11" s="1"/>
  <c r="AE310" i="11"/>
  <c r="AD310" i="11"/>
  <c r="AC310" i="11"/>
  <c r="AB310" i="11"/>
  <c r="AE309" i="11"/>
  <c r="AD309" i="11"/>
  <c r="AC309" i="11"/>
  <c r="AB309" i="11"/>
  <c r="AE308" i="11"/>
  <c r="AD308" i="11"/>
  <c r="AC308" i="11"/>
  <c r="AB308" i="11"/>
  <c r="AE307" i="11"/>
  <c r="AD307" i="11"/>
  <c r="AC307" i="11"/>
  <c r="AB307" i="11"/>
  <c r="AE306" i="11"/>
  <c r="AD306" i="11"/>
  <c r="AC306" i="11"/>
  <c r="AB306" i="11"/>
  <c r="AE305" i="11"/>
  <c r="AD305" i="11"/>
  <c r="AC305" i="11"/>
  <c r="AB305" i="11"/>
  <c r="AE304" i="11"/>
  <c r="AD304" i="11"/>
  <c r="AC304" i="11"/>
  <c r="AB304" i="11"/>
  <c r="AE303" i="11"/>
  <c r="AD303" i="11"/>
  <c r="AC303" i="11"/>
  <c r="AB303" i="11"/>
  <c r="AE302" i="11"/>
  <c r="AD302" i="11"/>
  <c r="AC302" i="11"/>
  <c r="AB302" i="11"/>
  <c r="AE301" i="11"/>
  <c r="AD301" i="11"/>
  <c r="AC301" i="11"/>
  <c r="AB301" i="11"/>
  <c r="AE300" i="11"/>
  <c r="AD300" i="11"/>
  <c r="AC300" i="11"/>
  <c r="AB300" i="11"/>
  <c r="P300" i="11"/>
  <c r="AA300" i="11" s="1"/>
  <c r="AE299" i="11"/>
  <c r="AD299" i="11"/>
  <c r="AC299" i="11"/>
  <c r="AB299" i="11"/>
  <c r="AE298" i="11"/>
  <c r="AD298" i="11"/>
  <c r="AC298" i="11"/>
  <c r="AB298" i="11"/>
  <c r="P298" i="11"/>
  <c r="AE297" i="11"/>
  <c r="AD297" i="11"/>
  <c r="AC297" i="11"/>
  <c r="AB297" i="11"/>
  <c r="P297" i="11"/>
  <c r="AA297" i="11" s="1"/>
  <c r="AE296" i="11"/>
  <c r="AD296" i="11"/>
  <c r="AC296" i="11"/>
  <c r="AB296" i="11"/>
  <c r="AE295" i="11"/>
  <c r="AD295" i="11"/>
  <c r="AC295" i="11"/>
  <c r="AB295" i="11"/>
  <c r="AE294" i="11"/>
  <c r="AD294" i="11"/>
  <c r="AC294" i="11"/>
  <c r="AB294" i="11"/>
  <c r="AE293" i="11"/>
  <c r="AD293" i="11"/>
  <c r="AC293" i="11"/>
  <c r="AB293" i="11"/>
  <c r="AE292" i="11"/>
  <c r="AD292" i="11"/>
  <c r="AC292" i="11"/>
  <c r="AB292" i="11"/>
  <c r="P292" i="11"/>
  <c r="AA292" i="11" s="1"/>
  <c r="AE291" i="11"/>
  <c r="AD291" i="11"/>
  <c r="AC291" i="11"/>
  <c r="AB291" i="11"/>
  <c r="P291" i="11"/>
  <c r="AA291" i="11" s="1"/>
  <c r="AE290" i="11"/>
  <c r="AD290" i="11"/>
  <c r="AC290" i="11"/>
  <c r="AB290" i="11"/>
  <c r="AE289" i="11"/>
  <c r="AD289" i="11"/>
  <c r="AC289" i="11"/>
  <c r="AB289" i="11"/>
  <c r="AE288" i="11"/>
  <c r="AD288" i="11"/>
  <c r="AC288" i="11"/>
  <c r="AB288" i="11"/>
  <c r="AE287" i="11"/>
  <c r="AD287" i="11"/>
  <c r="AC287" i="11"/>
  <c r="AB287" i="11"/>
  <c r="P287" i="11"/>
  <c r="AA287" i="11" s="1"/>
  <c r="AE286" i="11"/>
  <c r="AD286" i="11"/>
  <c r="AC286" i="11"/>
  <c r="AB286" i="11"/>
  <c r="AE285" i="11"/>
  <c r="AD285" i="11"/>
  <c r="AC285" i="11"/>
  <c r="AB285" i="11"/>
  <c r="AE284" i="11"/>
  <c r="AD284" i="11"/>
  <c r="AC284" i="11"/>
  <c r="AB284" i="11"/>
  <c r="AE283" i="11"/>
  <c r="AD283" i="11"/>
  <c r="AC283" i="11"/>
  <c r="AB283" i="11"/>
  <c r="AE282" i="11"/>
  <c r="AD282" i="11"/>
  <c r="AC282" i="11"/>
  <c r="AB282" i="11"/>
  <c r="AE281" i="11"/>
  <c r="AD281" i="11"/>
  <c r="AC281" i="11"/>
  <c r="AB281" i="11"/>
  <c r="AE280" i="11"/>
  <c r="AD280" i="11"/>
  <c r="AC280" i="11"/>
  <c r="AB280" i="11"/>
  <c r="AE279" i="11"/>
  <c r="AD279" i="11"/>
  <c r="AC279" i="11"/>
  <c r="AB279" i="11"/>
  <c r="AE278" i="11"/>
  <c r="AD278" i="11"/>
  <c r="AC278" i="11"/>
  <c r="AB278" i="11"/>
  <c r="P278" i="11"/>
  <c r="AA278" i="11" s="1"/>
  <c r="AE277" i="11"/>
  <c r="AD277" i="11"/>
  <c r="AC277" i="11"/>
  <c r="AB277" i="11"/>
  <c r="AE276" i="11"/>
  <c r="AD276" i="11"/>
  <c r="AC276" i="11"/>
  <c r="AB276" i="11"/>
  <c r="AE275" i="11"/>
  <c r="AD275" i="11"/>
  <c r="AC275" i="11"/>
  <c r="AB275" i="11"/>
  <c r="AE274" i="11"/>
  <c r="AD274" i="11"/>
  <c r="AC274" i="11"/>
  <c r="AB274" i="11"/>
  <c r="AE273" i="11"/>
  <c r="AD273" i="11"/>
  <c r="AC273" i="11"/>
  <c r="AB273" i="11"/>
  <c r="AE272" i="11"/>
  <c r="AD272" i="11"/>
  <c r="AC272" i="11"/>
  <c r="AB272" i="11"/>
  <c r="AE271" i="11"/>
  <c r="AD271" i="11"/>
  <c r="AC271" i="11"/>
  <c r="AB271" i="11"/>
  <c r="AE270" i="11"/>
  <c r="AD270" i="11"/>
  <c r="AC270" i="11"/>
  <c r="AB270" i="11"/>
  <c r="AE269" i="11"/>
  <c r="AD269" i="11"/>
  <c r="AC269" i="11"/>
  <c r="AB269" i="11"/>
  <c r="AE268" i="11"/>
  <c r="AD268" i="11"/>
  <c r="AC268" i="11"/>
  <c r="AB268" i="11"/>
  <c r="AE267" i="11"/>
  <c r="AD267" i="11"/>
  <c r="AC267" i="11"/>
  <c r="AB267" i="11"/>
  <c r="AE266" i="11"/>
  <c r="AD266" i="11"/>
  <c r="AC266" i="11"/>
  <c r="AB266" i="11"/>
  <c r="AE265" i="11"/>
  <c r="AD265" i="11"/>
  <c r="AC265" i="11"/>
  <c r="AB265" i="11"/>
  <c r="P265" i="11"/>
  <c r="AA265" i="11" s="1"/>
  <c r="AE264" i="11"/>
  <c r="AD264" i="11"/>
  <c r="AC264" i="11"/>
  <c r="AB264" i="11"/>
  <c r="AE263" i="11"/>
  <c r="AD263" i="11"/>
  <c r="AC263" i="11"/>
  <c r="AB263" i="11"/>
  <c r="AE262" i="11"/>
  <c r="AD262" i="11"/>
  <c r="AC262" i="11"/>
  <c r="AB262" i="11"/>
  <c r="AE261" i="11"/>
  <c r="AD261" i="11"/>
  <c r="AC261" i="11"/>
  <c r="AB261" i="11"/>
  <c r="AE260" i="11"/>
  <c r="AD260" i="11"/>
  <c r="AC260" i="11"/>
  <c r="AB260" i="11"/>
  <c r="P260" i="11"/>
  <c r="AA260" i="11" s="1"/>
  <c r="AE259" i="11"/>
  <c r="AD259" i="11"/>
  <c r="AC259" i="11"/>
  <c r="AB259" i="11"/>
  <c r="AE258" i="11"/>
  <c r="AD258" i="11"/>
  <c r="AC258" i="11"/>
  <c r="AB258" i="11"/>
  <c r="P258" i="11"/>
  <c r="AA258" i="11" s="1"/>
  <c r="AE257" i="11"/>
  <c r="AD257" i="11"/>
  <c r="AC257" i="11"/>
  <c r="AB257" i="11"/>
  <c r="P257" i="11"/>
  <c r="AA257" i="11" s="1"/>
  <c r="AE256" i="11"/>
  <c r="AD256" i="11"/>
  <c r="AC256" i="11"/>
  <c r="AB256" i="11"/>
  <c r="AE255" i="11"/>
  <c r="AD255" i="11"/>
  <c r="AC255" i="11"/>
  <c r="AB255" i="11"/>
  <c r="AE254" i="11"/>
  <c r="AD254" i="11"/>
  <c r="AC254" i="11"/>
  <c r="AB254" i="11"/>
  <c r="AE253" i="11"/>
  <c r="AD253" i="11"/>
  <c r="AC253" i="11"/>
  <c r="AB253" i="11"/>
  <c r="AE252" i="11"/>
  <c r="AD252" i="11"/>
  <c r="AC252" i="11"/>
  <c r="AB252" i="11"/>
  <c r="P252" i="11"/>
  <c r="AA252" i="11" s="1"/>
  <c r="AE251" i="11"/>
  <c r="AD251" i="11"/>
  <c r="AC251" i="11"/>
  <c r="AB251" i="11"/>
  <c r="AE250" i="11"/>
  <c r="AD250" i="11"/>
  <c r="AC250" i="11"/>
  <c r="AB250" i="11"/>
  <c r="P248" i="11"/>
  <c r="AE236" i="11"/>
  <c r="AD236" i="11"/>
  <c r="AC236" i="11"/>
  <c r="AB236" i="11"/>
  <c r="AE235" i="11"/>
  <c r="AD235" i="11"/>
  <c r="AC235" i="11"/>
  <c r="AB235" i="11"/>
  <c r="AE234" i="11"/>
  <c r="AD234" i="11"/>
  <c r="AC234" i="11"/>
  <c r="AB234" i="11"/>
  <c r="AE233" i="11"/>
  <c r="AD233" i="11"/>
  <c r="AC233" i="11"/>
  <c r="AB233" i="11"/>
  <c r="AE232" i="11"/>
  <c r="AD232" i="11"/>
  <c r="AC232" i="11"/>
  <c r="AB232" i="11"/>
  <c r="AE231" i="11"/>
  <c r="AD231" i="11"/>
  <c r="AC231" i="11"/>
  <c r="AB231" i="11"/>
  <c r="AE230" i="11"/>
  <c r="AD230" i="11"/>
  <c r="AC230" i="11"/>
  <c r="AB230" i="11"/>
  <c r="AE229" i="11"/>
  <c r="AD229" i="11"/>
  <c r="AC229" i="11"/>
  <c r="AB229" i="11"/>
  <c r="AE228" i="11"/>
  <c r="AD228" i="11"/>
  <c r="AC228" i="11"/>
  <c r="AB228" i="11"/>
  <c r="AE227" i="11"/>
  <c r="AD227" i="11"/>
  <c r="AC227" i="11"/>
  <c r="AB227" i="11"/>
  <c r="AE226" i="11"/>
  <c r="AD226" i="11"/>
  <c r="AC226" i="11"/>
  <c r="AB226" i="11"/>
  <c r="AE225" i="11"/>
  <c r="AD225" i="11"/>
  <c r="AC225" i="11"/>
  <c r="AB225" i="11"/>
  <c r="AE224" i="11"/>
  <c r="AD224" i="11"/>
  <c r="AC224" i="11"/>
  <c r="AB224" i="11"/>
  <c r="AE223" i="11"/>
  <c r="AD223" i="11"/>
  <c r="AC223" i="11"/>
  <c r="AB223" i="11"/>
  <c r="AE222" i="11"/>
  <c r="AD222" i="11"/>
  <c r="AC222" i="11"/>
  <c r="AB222" i="11"/>
  <c r="AE221" i="11"/>
  <c r="AD221" i="11"/>
  <c r="AC221" i="11"/>
  <c r="AB221" i="11"/>
  <c r="AE220" i="11"/>
  <c r="AD220" i="11"/>
  <c r="AC220" i="11"/>
  <c r="AB220" i="11"/>
  <c r="AE219" i="11"/>
  <c r="AD219" i="11"/>
  <c r="AC219" i="11"/>
  <c r="AB219" i="11"/>
  <c r="AE218" i="11"/>
  <c r="AD218" i="11"/>
  <c r="AC218" i="11"/>
  <c r="AB218" i="11"/>
  <c r="AE217" i="11"/>
  <c r="AD217" i="11"/>
  <c r="AC217" i="11"/>
  <c r="AB217" i="11"/>
  <c r="AE216" i="11"/>
  <c r="AD216" i="11"/>
  <c r="AC216" i="11"/>
  <c r="AB216" i="11"/>
  <c r="AE215" i="11"/>
  <c r="AD215" i="11"/>
  <c r="AC215" i="11"/>
  <c r="AB215" i="11"/>
  <c r="AE214" i="11"/>
  <c r="AD214" i="11"/>
  <c r="AC214" i="11"/>
  <c r="AB214" i="11"/>
  <c r="AE213" i="11"/>
  <c r="AD213" i="11"/>
  <c r="AC213" i="11"/>
  <c r="AB213" i="11"/>
  <c r="AE212" i="11"/>
  <c r="AD212" i="11"/>
  <c r="AC212" i="11"/>
  <c r="AB212" i="11"/>
  <c r="AE211" i="11"/>
  <c r="AD211" i="11"/>
  <c r="AC211" i="11"/>
  <c r="AB211" i="11"/>
  <c r="AE210" i="11"/>
  <c r="AD210" i="11"/>
  <c r="AC210" i="11"/>
  <c r="AB210" i="11"/>
  <c r="AE209" i="11"/>
  <c r="AD209" i="11"/>
  <c r="AC209" i="11"/>
  <c r="AB209" i="11"/>
  <c r="AE208" i="11"/>
  <c r="AD208" i="11"/>
  <c r="AC208" i="11"/>
  <c r="AB208" i="11"/>
  <c r="AE207" i="11"/>
  <c r="AD207" i="11"/>
  <c r="AC207" i="11"/>
  <c r="AB207" i="11"/>
  <c r="AE206" i="11"/>
  <c r="AD206" i="11"/>
  <c r="AC206" i="11"/>
  <c r="AB206" i="11"/>
  <c r="AE205" i="11"/>
  <c r="AD205" i="11"/>
  <c r="AC205" i="11"/>
  <c r="AB205" i="11"/>
  <c r="AE204" i="11"/>
  <c r="AD204" i="11"/>
  <c r="AC204" i="11"/>
  <c r="AB204" i="11"/>
  <c r="AE203" i="11"/>
  <c r="AD203" i="11"/>
  <c r="AC203" i="11"/>
  <c r="AB203" i="11"/>
  <c r="AE202" i="11"/>
  <c r="AD202" i="11"/>
  <c r="AC202" i="11"/>
  <c r="AB202" i="11"/>
  <c r="AE201" i="11"/>
  <c r="AD201" i="11"/>
  <c r="AC201" i="11"/>
  <c r="AB201" i="11"/>
  <c r="AE200" i="11"/>
  <c r="AD200" i="11"/>
  <c r="AC200" i="11"/>
  <c r="AB200" i="11"/>
  <c r="AE199" i="11"/>
  <c r="AD199" i="11"/>
  <c r="AC199" i="11"/>
  <c r="AB199" i="11"/>
  <c r="AE198" i="11"/>
  <c r="AD198" i="11"/>
  <c r="AC198" i="11"/>
  <c r="AB198" i="11"/>
  <c r="AE197" i="11"/>
  <c r="AD197" i="11"/>
  <c r="AC197" i="11"/>
  <c r="AB197" i="11"/>
  <c r="AE196" i="11"/>
  <c r="AD196" i="11"/>
  <c r="AC196" i="11"/>
  <c r="AB196" i="11"/>
  <c r="AE195" i="11"/>
  <c r="AD195" i="11"/>
  <c r="AC195" i="11"/>
  <c r="AB195" i="11"/>
  <c r="AE194" i="11"/>
  <c r="AD194" i="11"/>
  <c r="AC194" i="11"/>
  <c r="AB194" i="11"/>
  <c r="AE193" i="11"/>
  <c r="AD193" i="11"/>
  <c r="AC193" i="11"/>
  <c r="AB193" i="11"/>
  <c r="AE192" i="11"/>
  <c r="AD192" i="11"/>
  <c r="AC192" i="11"/>
  <c r="AB192" i="11"/>
  <c r="AE191" i="11"/>
  <c r="AD191" i="11"/>
  <c r="AC191" i="11"/>
  <c r="AB191" i="11"/>
  <c r="AE190" i="11"/>
  <c r="AD190" i="11"/>
  <c r="AC190" i="11"/>
  <c r="AB190" i="11"/>
  <c r="AE189" i="11"/>
  <c r="AD189" i="11"/>
  <c r="AC189" i="11"/>
  <c r="AB189" i="11"/>
  <c r="AE188" i="11"/>
  <c r="AD188" i="11"/>
  <c r="AC188" i="11"/>
  <c r="AB188" i="11"/>
  <c r="AE187" i="11"/>
  <c r="AD187" i="11"/>
  <c r="AC187" i="11"/>
  <c r="AB187" i="11"/>
  <c r="AE186" i="11"/>
  <c r="AD186" i="11"/>
  <c r="AC186" i="11"/>
  <c r="AB186" i="11"/>
  <c r="AE185" i="11"/>
  <c r="AD185" i="11"/>
  <c r="AC185" i="11"/>
  <c r="AB185" i="11"/>
  <c r="AE184" i="11"/>
  <c r="AD184" i="11"/>
  <c r="AC184" i="11"/>
  <c r="AB184" i="11"/>
  <c r="AE183" i="11"/>
  <c r="AD183" i="11"/>
  <c r="AC183" i="11"/>
  <c r="AB183" i="11"/>
  <c r="AE182" i="11"/>
  <c r="AD182" i="11"/>
  <c r="AC182" i="11"/>
  <c r="AB182" i="11"/>
  <c r="AE181" i="11"/>
  <c r="AD181" i="11"/>
  <c r="AC181" i="11"/>
  <c r="AB181" i="11"/>
  <c r="AE180" i="11"/>
  <c r="AD180" i="11"/>
  <c r="AC180" i="11"/>
  <c r="AB180" i="11"/>
  <c r="AE179" i="11"/>
  <c r="AD179" i="11"/>
  <c r="AC179" i="11"/>
  <c r="AB179" i="11"/>
  <c r="AE178" i="11"/>
  <c r="AD178" i="11"/>
  <c r="AC178" i="11"/>
  <c r="AB178" i="11"/>
  <c r="AE177" i="11"/>
  <c r="AD177" i="11"/>
  <c r="AC177" i="11"/>
  <c r="AB177" i="11"/>
  <c r="AE176" i="11"/>
  <c r="AD176" i="11"/>
  <c r="AC176" i="11"/>
  <c r="AB176" i="11"/>
  <c r="AE175" i="11"/>
  <c r="AD175" i="11"/>
  <c r="AC175" i="11"/>
  <c r="AB175" i="11"/>
  <c r="AE174" i="11"/>
  <c r="AD174" i="11"/>
  <c r="AC174" i="11"/>
  <c r="AB174" i="11"/>
  <c r="AE173" i="11"/>
  <c r="AD173" i="11"/>
  <c r="AC173" i="11"/>
  <c r="AB173" i="11"/>
  <c r="AE172" i="11"/>
  <c r="AD172" i="11"/>
  <c r="AC172" i="11"/>
  <c r="AB172" i="11"/>
  <c r="AE171" i="11"/>
  <c r="AD171" i="11"/>
  <c r="AC171" i="11"/>
  <c r="AB171" i="11"/>
  <c r="AE170" i="11"/>
  <c r="AD170" i="11"/>
  <c r="AC170" i="11"/>
  <c r="AB170" i="11"/>
  <c r="AE169" i="11"/>
  <c r="AD169" i="11"/>
  <c r="AC169" i="11"/>
  <c r="AB169" i="11"/>
  <c r="AE168" i="11"/>
  <c r="AD168" i="11"/>
  <c r="AC168" i="11"/>
  <c r="AB168" i="11"/>
  <c r="AE167" i="11"/>
  <c r="AD167" i="11"/>
  <c r="AC167" i="11"/>
  <c r="AB167" i="11"/>
  <c r="AE166" i="11"/>
  <c r="AD166" i="11"/>
  <c r="AC166" i="11"/>
  <c r="AB166" i="11"/>
  <c r="AE165" i="11"/>
  <c r="AD165" i="11"/>
  <c r="AC165" i="11"/>
  <c r="AB165" i="11"/>
  <c r="AE164" i="11"/>
  <c r="AD164" i="11"/>
  <c r="AC164" i="11"/>
  <c r="AB164" i="11"/>
  <c r="AE163" i="11"/>
  <c r="AD163" i="11"/>
  <c r="AC163" i="11"/>
  <c r="AB163" i="11"/>
  <c r="AE162" i="11"/>
  <c r="AD162" i="11"/>
  <c r="AC162" i="11"/>
  <c r="AB162" i="11"/>
  <c r="AE161" i="11"/>
  <c r="AD161" i="11"/>
  <c r="AC161" i="11"/>
  <c r="AB161" i="11"/>
  <c r="AE160" i="11"/>
  <c r="AD160" i="11"/>
  <c r="AC160" i="11"/>
  <c r="AB160" i="11"/>
  <c r="AE159" i="11"/>
  <c r="AD159" i="11"/>
  <c r="AC159" i="11"/>
  <c r="AB159" i="11"/>
  <c r="AE158" i="11"/>
  <c r="AD158" i="11"/>
  <c r="AC158" i="11"/>
  <c r="AB158" i="11"/>
  <c r="AE157" i="11"/>
  <c r="AD157" i="11"/>
  <c r="AC157" i="11"/>
  <c r="AB157" i="11"/>
  <c r="AE156" i="11"/>
  <c r="AD156" i="11"/>
  <c r="AC156" i="11"/>
  <c r="AB156" i="11"/>
  <c r="AE155" i="11"/>
  <c r="AD155" i="11"/>
  <c r="AC155" i="11"/>
  <c r="AB155" i="11"/>
  <c r="AE154" i="11"/>
  <c r="AD154" i="11"/>
  <c r="AC154" i="11"/>
  <c r="AB154" i="11"/>
  <c r="AE153" i="11"/>
  <c r="AD153" i="11"/>
  <c r="AC153" i="11"/>
  <c r="AB153" i="11"/>
  <c r="AE152" i="11"/>
  <c r="AD152" i="11"/>
  <c r="AC152" i="11"/>
  <c r="AB152" i="11"/>
  <c r="AE151" i="11"/>
  <c r="AD151" i="11"/>
  <c r="AC151" i="11"/>
  <c r="AB151" i="11"/>
  <c r="AE150" i="11"/>
  <c r="AD150" i="11"/>
  <c r="AC150" i="11"/>
  <c r="AB150" i="11"/>
  <c r="AE149" i="11"/>
  <c r="AD149" i="11"/>
  <c r="AC149" i="11"/>
  <c r="AB149" i="11"/>
  <c r="AE148" i="11"/>
  <c r="AD148" i="11"/>
  <c r="AC148" i="11"/>
  <c r="AB148" i="11"/>
  <c r="AE147" i="11"/>
  <c r="AD147" i="11"/>
  <c r="AC147" i="11"/>
  <c r="AB147" i="11"/>
  <c r="AE146" i="11"/>
  <c r="AD146" i="11"/>
  <c r="AC146" i="11"/>
  <c r="AB146" i="11"/>
  <c r="AE145" i="11"/>
  <c r="AD145" i="11"/>
  <c r="AC145" i="11"/>
  <c r="AB145" i="11"/>
  <c r="AE144" i="11"/>
  <c r="AD144" i="11"/>
  <c r="AC144" i="11"/>
  <c r="AB144" i="11"/>
  <c r="AE143" i="11"/>
  <c r="AD143" i="11"/>
  <c r="AC143" i="11"/>
  <c r="AB143" i="11"/>
  <c r="AE142" i="11"/>
  <c r="AD142" i="11"/>
  <c r="AC142" i="11"/>
  <c r="AB142" i="11"/>
  <c r="AE141" i="11"/>
  <c r="AD141" i="11"/>
  <c r="AC141" i="11"/>
  <c r="AB141" i="11"/>
  <c r="AE140" i="11"/>
  <c r="AD140" i="11"/>
  <c r="AC140" i="11"/>
  <c r="AB140" i="11"/>
  <c r="AE139" i="11"/>
  <c r="AD139" i="11"/>
  <c r="AC139" i="11"/>
  <c r="AB139" i="11"/>
  <c r="AE138" i="11"/>
  <c r="AD138" i="11"/>
  <c r="AC138" i="11"/>
  <c r="AB138" i="11"/>
  <c r="AE137" i="11"/>
  <c r="AD137" i="11"/>
  <c r="AC137" i="11"/>
  <c r="AB137" i="11"/>
  <c r="P135" i="11"/>
  <c r="M42" i="9"/>
  <c r="AB26" i="11"/>
  <c r="AC26" i="11"/>
  <c r="AD26" i="11"/>
  <c r="AE26" i="11"/>
  <c r="AB27" i="11"/>
  <c r="AC27" i="11"/>
  <c r="AD27" i="11"/>
  <c r="AE27" i="11"/>
  <c r="AB28" i="11"/>
  <c r="AC28" i="11"/>
  <c r="AD28" i="11"/>
  <c r="AE28" i="11"/>
  <c r="AB29" i="11"/>
  <c r="AC29" i="11"/>
  <c r="AD29" i="11"/>
  <c r="AE29" i="11"/>
  <c r="AB30" i="11"/>
  <c r="AC30" i="11"/>
  <c r="AD30" i="11"/>
  <c r="AE30" i="11"/>
  <c r="AB31" i="11"/>
  <c r="AC31" i="11"/>
  <c r="AD31" i="11"/>
  <c r="AE31" i="11"/>
  <c r="AB32" i="11"/>
  <c r="AC32" i="11"/>
  <c r="AD32" i="11"/>
  <c r="AE32" i="11"/>
  <c r="AB33" i="11"/>
  <c r="AC33" i="11"/>
  <c r="AD33" i="11"/>
  <c r="AE33" i="11"/>
  <c r="AB34" i="11"/>
  <c r="AC34" i="11"/>
  <c r="AD34" i="11"/>
  <c r="AE34" i="11"/>
  <c r="AB35" i="11"/>
  <c r="AC35" i="11"/>
  <c r="AD35" i="11"/>
  <c r="AE35" i="11"/>
  <c r="AB36" i="11"/>
  <c r="AC36" i="11"/>
  <c r="AD36" i="11"/>
  <c r="AE36" i="11"/>
  <c r="AB37" i="11"/>
  <c r="AC37" i="11"/>
  <c r="AD37" i="11"/>
  <c r="AE37" i="11"/>
  <c r="AB38" i="11"/>
  <c r="AC38" i="11"/>
  <c r="AD38" i="11"/>
  <c r="AE38" i="11"/>
  <c r="AB39" i="11"/>
  <c r="AC39" i="11"/>
  <c r="AD39" i="11"/>
  <c r="AE39" i="11"/>
  <c r="AB40" i="11"/>
  <c r="AC40" i="11"/>
  <c r="AD40" i="11"/>
  <c r="AE40" i="11"/>
  <c r="AB41" i="11"/>
  <c r="AC41" i="11"/>
  <c r="AD41" i="11"/>
  <c r="AE41" i="11"/>
  <c r="AB42" i="11"/>
  <c r="AC42" i="11"/>
  <c r="AD42" i="11"/>
  <c r="AE42" i="11"/>
  <c r="AB43" i="11"/>
  <c r="AC43" i="11"/>
  <c r="AD43" i="11"/>
  <c r="AE43" i="11"/>
  <c r="AB44" i="11"/>
  <c r="AC44" i="11"/>
  <c r="AD44" i="11"/>
  <c r="AE44" i="11"/>
  <c r="AB45" i="11"/>
  <c r="AC45" i="11"/>
  <c r="AD45" i="11"/>
  <c r="AE45" i="11"/>
  <c r="AB46" i="11"/>
  <c r="AC46" i="11"/>
  <c r="AD46" i="11"/>
  <c r="AE46" i="11"/>
  <c r="AB47" i="11"/>
  <c r="AC47" i="11"/>
  <c r="AD47" i="11"/>
  <c r="AE47" i="11"/>
  <c r="AB48" i="11"/>
  <c r="AC48" i="11"/>
  <c r="AD48" i="11"/>
  <c r="AE48" i="11"/>
  <c r="AB49" i="11"/>
  <c r="AC49" i="11"/>
  <c r="AD49" i="11"/>
  <c r="AE49" i="11"/>
  <c r="AB50" i="11"/>
  <c r="AC50" i="11"/>
  <c r="AD50" i="11"/>
  <c r="AE50" i="11"/>
  <c r="AB51" i="11"/>
  <c r="AC51" i="11"/>
  <c r="AD51" i="11"/>
  <c r="AE51" i="11"/>
  <c r="AB52" i="11"/>
  <c r="AC52" i="11"/>
  <c r="AD52" i="11"/>
  <c r="AE52" i="11"/>
  <c r="AB53" i="11"/>
  <c r="AC53" i="11"/>
  <c r="AD53" i="11"/>
  <c r="AE53" i="11"/>
  <c r="AB54" i="11"/>
  <c r="AC54" i="11"/>
  <c r="AD54" i="11"/>
  <c r="AE54" i="11"/>
  <c r="AB55" i="11"/>
  <c r="AC55" i="11"/>
  <c r="AD55" i="11"/>
  <c r="AE55" i="11"/>
  <c r="AB56" i="11"/>
  <c r="AC56" i="11"/>
  <c r="AD56" i="11"/>
  <c r="AE56" i="11"/>
  <c r="AB57" i="11"/>
  <c r="AC57" i="11"/>
  <c r="AD57" i="11"/>
  <c r="AE57" i="11"/>
  <c r="AB58" i="11"/>
  <c r="AC58" i="11"/>
  <c r="AD58" i="11"/>
  <c r="AE58" i="11"/>
  <c r="AB59" i="11"/>
  <c r="AC59" i="11"/>
  <c r="AD59" i="11"/>
  <c r="AE59" i="11"/>
  <c r="AB60" i="11"/>
  <c r="AC60" i="11"/>
  <c r="AD60" i="11"/>
  <c r="AE60" i="11"/>
  <c r="AB61" i="11"/>
  <c r="AC61" i="11"/>
  <c r="AD61" i="11"/>
  <c r="AE61" i="11"/>
  <c r="AB62" i="11"/>
  <c r="AC62" i="11"/>
  <c r="AD62" i="11"/>
  <c r="AE62" i="11"/>
  <c r="AB63" i="11"/>
  <c r="AC63" i="11"/>
  <c r="AD63" i="11"/>
  <c r="AE63" i="11"/>
  <c r="AB64" i="11"/>
  <c r="AC64" i="11"/>
  <c r="AD64" i="11"/>
  <c r="AE64" i="11"/>
  <c r="AB65" i="11"/>
  <c r="AC65" i="11"/>
  <c r="AD65" i="11"/>
  <c r="AE65" i="11"/>
  <c r="AB66" i="11"/>
  <c r="AC66" i="11"/>
  <c r="AD66" i="11"/>
  <c r="AE66" i="11"/>
  <c r="AB67" i="11"/>
  <c r="AC67" i="11"/>
  <c r="AD67" i="11"/>
  <c r="AE67" i="11"/>
  <c r="AB68" i="11"/>
  <c r="AC68" i="11"/>
  <c r="AD68" i="11"/>
  <c r="AE68" i="11"/>
  <c r="AB69" i="11"/>
  <c r="AC69" i="11"/>
  <c r="AD69" i="11"/>
  <c r="AE69" i="11"/>
  <c r="AB70" i="11"/>
  <c r="AC70" i="11"/>
  <c r="AD70" i="11"/>
  <c r="AE70" i="11"/>
  <c r="AB71" i="11"/>
  <c r="AC71" i="11"/>
  <c r="AD71" i="11"/>
  <c r="AE71" i="11"/>
  <c r="AB72" i="11"/>
  <c r="AC72" i="11"/>
  <c r="AD72" i="11"/>
  <c r="AE72" i="11"/>
  <c r="AB73" i="11"/>
  <c r="O54" i="9" s="1"/>
  <c r="AC73" i="11"/>
  <c r="P56" i="9" s="1"/>
  <c r="AD73" i="11"/>
  <c r="Q54" i="9" s="1"/>
  <c r="AE73" i="11"/>
  <c r="S53" i="9" s="1"/>
  <c r="AB74" i="11"/>
  <c r="AC74" i="11"/>
  <c r="AD74" i="11"/>
  <c r="AE74" i="11"/>
  <c r="AB75" i="11"/>
  <c r="AC75" i="11"/>
  <c r="AD75" i="11"/>
  <c r="AE75" i="11"/>
  <c r="AB76" i="11"/>
  <c r="AC76" i="11"/>
  <c r="AD76" i="11"/>
  <c r="AE76" i="11"/>
  <c r="AB77" i="11"/>
  <c r="AC77" i="11"/>
  <c r="AD77" i="11"/>
  <c r="AE77" i="11"/>
  <c r="AB78" i="11"/>
  <c r="AC78" i="11"/>
  <c r="AD78" i="11"/>
  <c r="AE78" i="11"/>
  <c r="AB79" i="11"/>
  <c r="AC79" i="11"/>
  <c r="AD79" i="11"/>
  <c r="AE79" i="11"/>
  <c r="AB80" i="11"/>
  <c r="AC80" i="11"/>
  <c r="AD80" i="11"/>
  <c r="AE80" i="11"/>
  <c r="AB81" i="11"/>
  <c r="AC81" i="11"/>
  <c r="AD81" i="11"/>
  <c r="AE81" i="11"/>
  <c r="AB82" i="11"/>
  <c r="AC82" i="11"/>
  <c r="AD82" i="11"/>
  <c r="AE82" i="11"/>
  <c r="AB83" i="11"/>
  <c r="AC83" i="11"/>
  <c r="AD83" i="11"/>
  <c r="AE83" i="11"/>
  <c r="AB84" i="11"/>
  <c r="AC84" i="11"/>
  <c r="AD84" i="11"/>
  <c r="AE84" i="11"/>
  <c r="AB85" i="11"/>
  <c r="AC85" i="11"/>
  <c r="AD85" i="11"/>
  <c r="AE85" i="11"/>
  <c r="AB86" i="11"/>
  <c r="AC86" i="11"/>
  <c r="AD86" i="11"/>
  <c r="AE86" i="11"/>
  <c r="AB87" i="11"/>
  <c r="AC87" i="11"/>
  <c r="AD87" i="11"/>
  <c r="AE87" i="11"/>
  <c r="AB88" i="11"/>
  <c r="AC88" i="11"/>
  <c r="AD88" i="11"/>
  <c r="AE88" i="11"/>
  <c r="AB89" i="11"/>
  <c r="AC89" i="11"/>
  <c r="AD89" i="11"/>
  <c r="AE89" i="11"/>
  <c r="AB90" i="11"/>
  <c r="AC90" i="11"/>
  <c r="AD90" i="11"/>
  <c r="AE90" i="11"/>
  <c r="AB91" i="11"/>
  <c r="AC91" i="11"/>
  <c r="AD91" i="11"/>
  <c r="AE91" i="11"/>
  <c r="AB92" i="11"/>
  <c r="AC92" i="11"/>
  <c r="AD92" i="11"/>
  <c r="AE92" i="11"/>
  <c r="AB93" i="11"/>
  <c r="AC93" i="11"/>
  <c r="AD93" i="11"/>
  <c r="AE93" i="11"/>
  <c r="AB94" i="11"/>
  <c r="AC94" i="11"/>
  <c r="AD94" i="11"/>
  <c r="AE94" i="11"/>
  <c r="AB95" i="11"/>
  <c r="AC95" i="11"/>
  <c r="AD95" i="11"/>
  <c r="AE95" i="11"/>
  <c r="AB96" i="11"/>
  <c r="AC96" i="11"/>
  <c r="AD96" i="11"/>
  <c r="AE96" i="11"/>
  <c r="AB97" i="11"/>
  <c r="AC97" i="11"/>
  <c r="AD97" i="11"/>
  <c r="AE97" i="11"/>
  <c r="AB98" i="11"/>
  <c r="AC98" i="11"/>
  <c r="AD98" i="11"/>
  <c r="AE98" i="11"/>
  <c r="AB99" i="11"/>
  <c r="AC99" i="11"/>
  <c r="AD99" i="11"/>
  <c r="AE99" i="11"/>
  <c r="AB100" i="11"/>
  <c r="AC100" i="11"/>
  <c r="AD100" i="11"/>
  <c r="AE100" i="11"/>
  <c r="AB101" i="11"/>
  <c r="AC101" i="11"/>
  <c r="AD101" i="11"/>
  <c r="AE101" i="11"/>
  <c r="AB102" i="11"/>
  <c r="AC102" i="11"/>
  <c r="AD102" i="11"/>
  <c r="AE102" i="11"/>
  <c r="AB103" i="11"/>
  <c r="AC103" i="11"/>
  <c r="AD103" i="11"/>
  <c r="AE103" i="11"/>
  <c r="AB104" i="11"/>
  <c r="AC104" i="11"/>
  <c r="AD104" i="11"/>
  <c r="AE104" i="11"/>
  <c r="AB105" i="11"/>
  <c r="AC105" i="11"/>
  <c r="AD105" i="11"/>
  <c r="AE105" i="11"/>
  <c r="AB106" i="11"/>
  <c r="AC106" i="11"/>
  <c r="AD106" i="11"/>
  <c r="AE106" i="11"/>
  <c r="AB107" i="11"/>
  <c r="AC107" i="11"/>
  <c r="AD107" i="11"/>
  <c r="AE107" i="11"/>
  <c r="AB108" i="11"/>
  <c r="AC108" i="11"/>
  <c r="AD108" i="11"/>
  <c r="AE108" i="11"/>
  <c r="AB109" i="11"/>
  <c r="AC109" i="11"/>
  <c r="AD109" i="11"/>
  <c r="AE109" i="11"/>
  <c r="AB110" i="11"/>
  <c r="AC110" i="11"/>
  <c r="AD110" i="11"/>
  <c r="AE110" i="11"/>
  <c r="AB111" i="11"/>
  <c r="AC111" i="11"/>
  <c r="AD111" i="11"/>
  <c r="AE111" i="11"/>
  <c r="AB112" i="11"/>
  <c r="AC112" i="11"/>
  <c r="AD112" i="11"/>
  <c r="AE112" i="11"/>
  <c r="AB113" i="11"/>
  <c r="AC113" i="11"/>
  <c r="AD113" i="11"/>
  <c r="AE113" i="11"/>
  <c r="AB114" i="11"/>
  <c r="AC114" i="11"/>
  <c r="AD114" i="11"/>
  <c r="AE114" i="11"/>
  <c r="AB115" i="11"/>
  <c r="AC115" i="11"/>
  <c r="AD115" i="11"/>
  <c r="AE115" i="11"/>
  <c r="AB116" i="11"/>
  <c r="AC116" i="11"/>
  <c r="AD116" i="11"/>
  <c r="AE116" i="11"/>
  <c r="AB117" i="11"/>
  <c r="AC117" i="11"/>
  <c r="AD117" i="11"/>
  <c r="AE117" i="11"/>
  <c r="AB118" i="11"/>
  <c r="AC118" i="11"/>
  <c r="AD118" i="11"/>
  <c r="AE118" i="11"/>
  <c r="AB119" i="11"/>
  <c r="AC119" i="11"/>
  <c r="AD119" i="11"/>
  <c r="AE119" i="11"/>
  <c r="AB120" i="11"/>
  <c r="AC120" i="11"/>
  <c r="AD120" i="11"/>
  <c r="AE120" i="11"/>
  <c r="AB121" i="11"/>
  <c r="AC121" i="11"/>
  <c r="AD121" i="11"/>
  <c r="AE121" i="11"/>
  <c r="AB122" i="11"/>
  <c r="AC122" i="11"/>
  <c r="AD122" i="11"/>
  <c r="AE122" i="11"/>
  <c r="AB123" i="11"/>
  <c r="AC123" i="11"/>
  <c r="AD123" i="11"/>
  <c r="AE123" i="11"/>
  <c r="AB25" i="11"/>
  <c r="AC25" i="11"/>
  <c r="AD25" i="11"/>
  <c r="AE25" i="11"/>
  <c r="AE24" i="11"/>
  <c r="AC24" i="11"/>
  <c r="AD24" i="11"/>
  <c r="AB24" i="11"/>
  <c r="L14" i="5"/>
  <c r="F14" i="5"/>
  <c r="G14" i="5"/>
  <c r="N18" i="5"/>
  <c r="P22" i="11"/>
  <c r="K14" i="8"/>
  <c r="K21" i="11"/>
  <c r="C22" i="5"/>
  <c r="E19" i="5"/>
  <c r="F19" i="5"/>
  <c r="G19" i="5"/>
  <c r="E20" i="5"/>
  <c r="F20" i="5"/>
  <c r="G20" i="5"/>
  <c r="E21" i="5"/>
  <c r="F21" i="5"/>
  <c r="G21" i="5"/>
  <c r="E22" i="5"/>
  <c r="F22" i="5"/>
  <c r="G22" i="5"/>
  <c r="E23" i="5"/>
  <c r="F23" i="5"/>
  <c r="G23" i="5"/>
  <c r="E24" i="5"/>
  <c r="F24" i="5"/>
  <c r="G24" i="5"/>
  <c r="E25" i="5"/>
  <c r="F25" i="5"/>
  <c r="G25" i="5"/>
  <c r="E26" i="5"/>
  <c r="F26" i="5"/>
  <c r="G26" i="5"/>
  <c r="E27" i="5"/>
  <c r="F27" i="5"/>
  <c r="G27" i="5"/>
  <c r="E28" i="5"/>
  <c r="F28" i="5"/>
  <c r="G28" i="5"/>
  <c r="E29" i="5"/>
  <c r="F29" i="5"/>
  <c r="G29" i="5"/>
  <c r="E30" i="5"/>
  <c r="F30" i="5"/>
  <c r="G30" i="5"/>
  <c r="E31" i="5"/>
  <c r="F31" i="5"/>
  <c r="G31" i="5"/>
  <c r="E32" i="5"/>
  <c r="F32" i="5"/>
  <c r="G32" i="5"/>
  <c r="E33" i="5"/>
  <c r="F33" i="5"/>
  <c r="G33" i="5"/>
  <c r="E34" i="5"/>
  <c r="F34" i="5"/>
  <c r="G34" i="5"/>
  <c r="E35" i="5"/>
  <c r="F35" i="5"/>
  <c r="G35" i="5"/>
  <c r="E36" i="5"/>
  <c r="F36" i="5"/>
  <c r="G36" i="5"/>
  <c r="E37" i="5"/>
  <c r="F37" i="5"/>
  <c r="G37" i="5"/>
  <c r="E38" i="5"/>
  <c r="F38" i="5"/>
  <c r="G38" i="5"/>
  <c r="E39" i="5"/>
  <c r="F39" i="5"/>
  <c r="G39" i="5"/>
  <c r="E40" i="5"/>
  <c r="F40" i="5"/>
  <c r="G40" i="5"/>
  <c r="E41" i="5"/>
  <c r="F41" i="5"/>
  <c r="G41" i="5"/>
  <c r="E42" i="5"/>
  <c r="F42" i="5"/>
  <c r="G42" i="5"/>
  <c r="E43" i="5"/>
  <c r="F43" i="5"/>
  <c r="G43" i="5"/>
  <c r="E44" i="5"/>
  <c r="F44" i="5"/>
  <c r="G44" i="5"/>
  <c r="E45" i="5"/>
  <c r="F45" i="5"/>
  <c r="G45" i="5"/>
  <c r="E46" i="5"/>
  <c r="F46" i="5"/>
  <c r="G46" i="5"/>
  <c r="E47" i="5"/>
  <c r="F47" i="5"/>
  <c r="G47" i="5"/>
  <c r="E48" i="5"/>
  <c r="F48" i="5"/>
  <c r="G48" i="5"/>
  <c r="E49" i="5"/>
  <c r="F49" i="5"/>
  <c r="G49" i="5"/>
  <c r="E50" i="5"/>
  <c r="F50" i="5"/>
  <c r="G50" i="5"/>
  <c r="E51" i="5"/>
  <c r="F51" i="5"/>
  <c r="G51" i="5"/>
  <c r="E52" i="5"/>
  <c r="F52" i="5"/>
  <c r="G52" i="5"/>
  <c r="E53" i="5"/>
  <c r="F53" i="5"/>
  <c r="G53" i="5"/>
  <c r="E54" i="5"/>
  <c r="F54" i="5"/>
  <c r="G54" i="5"/>
  <c r="E55" i="5"/>
  <c r="F55" i="5"/>
  <c r="G55" i="5"/>
  <c r="E56" i="5"/>
  <c r="F56" i="5"/>
  <c r="G56" i="5"/>
  <c r="E57" i="5"/>
  <c r="F57" i="5"/>
  <c r="G57" i="5"/>
  <c r="E58" i="5"/>
  <c r="F58" i="5"/>
  <c r="G58" i="5"/>
  <c r="E59" i="5"/>
  <c r="F59" i="5"/>
  <c r="G59" i="5"/>
  <c r="E60" i="5"/>
  <c r="F60" i="5"/>
  <c r="G60" i="5"/>
  <c r="E61" i="5"/>
  <c r="F61" i="5"/>
  <c r="G61" i="5"/>
  <c r="E62" i="5"/>
  <c r="F62" i="5"/>
  <c r="G62" i="5"/>
  <c r="E63" i="5"/>
  <c r="F63" i="5"/>
  <c r="G63" i="5"/>
  <c r="E64" i="5"/>
  <c r="F64" i="5"/>
  <c r="G64" i="5"/>
  <c r="E65" i="5"/>
  <c r="F65" i="5"/>
  <c r="G65" i="5"/>
  <c r="E66" i="5"/>
  <c r="F66" i="5"/>
  <c r="G66" i="5"/>
  <c r="E67" i="5"/>
  <c r="F67" i="5"/>
  <c r="G67" i="5"/>
  <c r="E68" i="5"/>
  <c r="F68" i="5"/>
  <c r="G68" i="5"/>
  <c r="E69" i="5"/>
  <c r="F69" i="5"/>
  <c r="G69" i="5"/>
  <c r="E70" i="5"/>
  <c r="F70" i="5"/>
  <c r="G70" i="5"/>
  <c r="E71" i="5"/>
  <c r="F71" i="5"/>
  <c r="G71" i="5"/>
  <c r="E72" i="5"/>
  <c r="F72" i="5"/>
  <c r="G72" i="5"/>
  <c r="E73" i="5"/>
  <c r="F73" i="5"/>
  <c r="G73" i="5"/>
  <c r="E74" i="5"/>
  <c r="F74" i="5"/>
  <c r="G74" i="5"/>
  <c r="E75" i="5"/>
  <c r="F75" i="5"/>
  <c r="G75" i="5"/>
  <c r="E76" i="5"/>
  <c r="F76" i="5"/>
  <c r="G76" i="5"/>
  <c r="E77" i="5"/>
  <c r="F77" i="5"/>
  <c r="G77" i="5"/>
  <c r="E78" i="5"/>
  <c r="F78" i="5"/>
  <c r="G78" i="5"/>
  <c r="E79" i="5"/>
  <c r="F79" i="5"/>
  <c r="G79" i="5"/>
  <c r="E80" i="5"/>
  <c r="F80" i="5"/>
  <c r="G80" i="5"/>
  <c r="E81" i="5"/>
  <c r="F81" i="5"/>
  <c r="G81" i="5"/>
  <c r="E82" i="5"/>
  <c r="F82" i="5"/>
  <c r="G82" i="5"/>
  <c r="E83" i="5"/>
  <c r="F83" i="5"/>
  <c r="G83" i="5"/>
  <c r="E84" i="5"/>
  <c r="F84" i="5"/>
  <c r="G84" i="5"/>
  <c r="E85" i="5"/>
  <c r="F85" i="5"/>
  <c r="G85" i="5"/>
  <c r="E86" i="5"/>
  <c r="F86" i="5"/>
  <c r="G86" i="5"/>
  <c r="E87" i="5"/>
  <c r="F87" i="5"/>
  <c r="G87" i="5"/>
  <c r="E88" i="5"/>
  <c r="F88" i="5"/>
  <c r="G88" i="5"/>
  <c r="E89" i="5"/>
  <c r="F89" i="5"/>
  <c r="G89" i="5"/>
  <c r="E90" i="5"/>
  <c r="F90" i="5"/>
  <c r="G90" i="5"/>
  <c r="E91" i="5"/>
  <c r="F91" i="5"/>
  <c r="G91" i="5"/>
  <c r="E92" i="5"/>
  <c r="F92" i="5"/>
  <c r="G92" i="5"/>
  <c r="E93" i="5"/>
  <c r="F93" i="5"/>
  <c r="G93" i="5"/>
  <c r="E94" i="5"/>
  <c r="F94" i="5"/>
  <c r="G94" i="5"/>
  <c r="E95" i="5"/>
  <c r="F95" i="5"/>
  <c r="G95" i="5"/>
  <c r="E96" i="5"/>
  <c r="F96" i="5"/>
  <c r="G96" i="5"/>
  <c r="E97" i="5"/>
  <c r="F97" i="5"/>
  <c r="G97" i="5"/>
  <c r="E98" i="5"/>
  <c r="F98" i="5"/>
  <c r="G98" i="5"/>
  <c r="E99" i="5"/>
  <c r="F99" i="5"/>
  <c r="G99" i="5"/>
  <c r="E100" i="5"/>
  <c r="F100" i="5"/>
  <c r="G100" i="5"/>
  <c r="E101" i="5"/>
  <c r="F101" i="5"/>
  <c r="G101" i="5"/>
  <c r="E102" i="5"/>
  <c r="F102" i="5"/>
  <c r="G102" i="5"/>
  <c r="E103" i="5"/>
  <c r="F103" i="5"/>
  <c r="G103" i="5"/>
  <c r="E104" i="5"/>
  <c r="F104" i="5"/>
  <c r="G104" i="5"/>
  <c r="E105" i="5"/>
  <c r="F105" i="5"/>
  <c r="G105" i="5"/>
  <c r="E106" i="5"/>
  <c r="F106" i="5"/>
  <c r="G106" i="5"/>
  <c r="E107" i="5"/>
  <c r="F107" i="5"/>
  <c r="G107" i="5"/>
  <c r="E108" i="5"/>
  <c r="F108" i="5"/>
  <c r="G108" i="5"/>
  <c r="E109" i="5"/>
  <c r="F109" i="5"/>
  <c r="G109" i="5"/>
  <c r="E110" i="5"/>
  <c r="F110" i="5"/>
  <c r="G110" i="5"/>
  <c r="E111" i="5"/>
  <c r="F111" i="5"/>
  <c r="G111" i="5"/>
  <c r="E112" i="5"/>
  <c r="F112" i="5"/>
  <c r="G112" i="5"/>
  <c r="E113" i="5"/>
  <c r="F113" i="5"/>
  <c r="G113" i="5"/>
  <c r="E114" i="5"/>
  <c r="F114" i="5"/>
  <c r="G114" i="5"/>
  <c r="E115" i="5"/>
  <c r="F115" i="5"/>
  <c r="G115" i="5"/>
  <c r="E116" i="5"/>
  <c r="F116" i="5"/>
  <c r="G116" i="5"/>
  <c r="E117" i="5"/>
  <c r="F117" i="5"/>
  <c r="G117" i="5"/>
  <c r="F18" i="5"/>
  <c r="G18" i="5"/>
  <c r="E18" i="5"/>
  <c r="G26" i="11"/>
  <c r="P26" i="11" s="1"/>
  <c r="AA26" i="11" s="1"/>
  <c r="G27" i="11"/>
  <c r="P27" i="11" s="1"/>
  <c r="G28" i="11"/>
  <c r="P28" i="11" s="1"/>
  <c r="G29" i="11"/>
  <c r="P29" i="11" s="1"/>
  <c r="G30" i="11"/>
  <c r="P30" i="11" s="1"/>
  <c r="G31" i="11"/>
  <c r="P31" i="11" s="1"/>
  <c r="G32" i="11"/>
  <c r="P32" i="11" s="1"/>
  <c r="G33" i="11"/>
  <c r="P33" i="11" s="1"/>
  <c r="G34" i="11"/>
  <c r="P34" i="11" s="1"/>
  <c r="AA34" i="11" s="1"/>
  <c r="G35" i="11"/>
  <c r="P35" i="11" s="1"/>
  <c r="G36" i="11"/>
  <c r="P36" i="11" s="1"/>
  <c r="G37" i="11"/>
  <c r="P37" i="11" s="1"/>
  <c r="G38" i="11"/>
  <c r="P38" i="11" s="1"/>
  <c r="G39" i="11"/>
  <c r="P39" i="11" s="1"/>
  <c r="AA39" i="11" s="1"/>
  <c r="G40" i="11"/>
  <c r="P40" i="11" s="1"/>
  <c r="G41" i="11"/>
  <c r="P41" i="11" s="1"/>
  <c r="G42" i="11"/>
  <c r="P42" i="11" s="1"/>
  <c r="G43" i="11"/>
  <c r="P43" i="11" s="1"/>
  <c r="AA43" i="11" s="1"/>
  <c r="G44" i="11"/>
  <c r="P44" i="11" s="1"/>
  <c r="G45" i="11"/>
  <c r="P45" i="11" s="1"/>
  <c r="G46" i="11"/>
  <c r="P46" i="11" s="1"/>
  <c r="G47" i="11"/>
  <c r="P47" i="11" s="1"/>
  <c r="G48" i="11"/>
  <c r="P48" i="11" s="1"/>
  <c r="G49" i="11"/>
  <c r="P49" i="11" s="1"/>
  <c r="G50" i="11"/>
  <c r="P50" i="11" s="1"/>
  <c r="AA50" i="11" s="1"/>
  <c r="G51" i="11"/>
  <c r="P51" i="11" s="1"/>
  <c r="G52" i="11"/>
  <c r="P52" i="11" s="1"/>
  <c r="G53" i="11"/>
  <c r="P53" i="11" s="1"/>
  <c r="G54" i="11"/>
  <c r="P54" i="11" s="1"/>
  <c r="AA54" i="11" s="1"/>
  <c r="G55" i="11"/>
  <c r="P55" i="11" s="1"/>
  <c r="G56" i="11"/>
  <c r="P56" i="11" s="1"/>
  <c r="G57" i="11"/>
  <c r="P57" i="11" s="1"/>
  <c r="G58" i="11"/>
  <c r="P58" i="11" s="1"/>
  <c r="AA58" i="11" s="1"/>
  <c r="G59" i="11"/>
  <c r="P59" i="11" s="1"/>
  <c r="G60" i="11"/>
  <c r="P60" i="11" s="1"/>
  <c r="G61" i="11"/>
  <c r="P61" i="11" s="1"/>
  <c r="G62" i="11"/>
  <c r="P62" i="11" s="1"/>
  <c r="G63" i="11"/>
  <c r="P63" i="11" s="1"/>
  <c r="AA63" i="11" s="1"/>
  <c r="G64" i="11"/>
  <c r="P64" i="11" s="1"/>
  <c r="G65" i="11"/>
  <c r="P65" i="11" s="1"/>
  <c r="G66" i="11"/>
  <c r="P66" i="11" s="1"/>
  <c r="G67" i="11"/>
  <c r="P67" i="11" s="1"/>
  <c r="G68" i="11"/>
  <c r="P68" i="11" s="1"/>
  <c r="G69" i="11"/>
  <c r="P69" i="11" s="1"/>
  <c r="G70" i="11"/>
  <c r="P70" i="11" s="1"/>
  <c r="AA70" i="11" s="1"/>
  <c r="G71" i="11"/>
  <c r="P71" i="11" s="1"/>
  <c r="G72" i="11"/>
  <c r="P72" i="11" s="1"/>
  <c r="G73" i="11"/>
  <c r="P73" i="11" s="1"/>
  <c r="G74" i="11"/>
  <c r="P74" i="11" s="1"/>
  <c r="AA74" i="11" s="1"/>
  <c r="G75" i="11"/>
  <c r="P75" i="11" s="1"/>
  <c r="G76" i="11"/>
  <c r="P76" i="11" s="1"/>
  <c r="G77" i="11"/>
  <c r="P77" i="11" s="1"/>
  <c r="G78" i="11"/>
  <c r="P78" i="11" s="1"/>
  <c r="G79" i="11"/>
  <c r="P79" i="11" s="1"/>
  <c r="AA79" i="11" s="1"/>
  <c r="G80" i="11"/>
  <c r="P80" i="11" s="1"/>
  <c r="G81" i="11"/>
  <c r="P81" i="11" s="1"/>
  <c r="G82" i="11"/>
  <c r="P82" i="11" s="1"/>
  <c r="G83" i="11"/>
  <c r="P83" i="11" s="1"/>
  <c r="G84" i="11"/>
  <c r="P84" i="11" s="1"/>
  <c r="G85" i="11"/>
  <c r="P85" i="11" s="1"/>
  <c r="G86" i="11"/>
  <c r="P86" i="11" s="1"/>
  <c r="G87" i="11"/>
  <c r="P87" i="11" s="1"/>
  <c r="G88" i="11"/>
  <c r="P88" i="11" s="1"/>
  <c r="G89" i="11"/>
  <c r="P89" i="11" s="1"/>
  <c r="G90" i="11"/>
  <c r="P90" i="11" s="1"/>
  <c r="AA90" i="11" s="1"/>
  <c r="G91" i="11"/>
  <c r="P91" i="11" s="1"/>
  <c r="G92" i="11"/>
  <c r="P92" i="11" s="1"/>
  <c r="G93" i="11"/>
  <c r="P93" i="11" s="1"/>
  <c r="G94" i="11"/>
  <c r="P94" i="11" s="1"/>
  <c r="AA94" i="11" s="1"/>
  <c r="G95" i="11"/>
  <c r="P95" i="11" s="1"/>
  <c r="G96" i="11"/>
  <c r="P96" i="11" s="1"/>
  <c r="G97" i="11"/>
  <c r="P97" i="11" s="1"/>
  <c r="G98" i="11"/>
  <c r="P98" i="11" s="1"/>
  <c r="AA98" i="11" s="1"/>
  <c r="G99" i="11"/>
  <c r="P99" i="11" s="1"/>
  <c r="AA99" i="11" s="1"/>
  <c r="G100" i="11"/>
  <c r="P100" i="11" s="1"/>
  <c r="G101" i="11"/>
  <c r="P101" i="11" s="1"/>
  <c r="G102" i="11"/>
  <c r="P102" i="11" s="1"/>
  <c r="G103" i="11"/>
  <c r="P103" i="11" s="1"/>
  <c r="G104" i="11"/>
  <c r="P104" i="11" s="1"/>
  <c r="G105" i="11"/>
  <c r="P105" i="11" s="1"/>
  <c r="G106" i="11"/>
  <c r="P106" i="11" s="1"/>
  <c r="G107" i="11"/>
  <c r="P107" i="11" s="1"/>
  <c r="G108" i="11"/>
  <c r="P108" i="11" s="1"/>
  <c r="G109" i="11"/>
  <c r="P109" i="11" s="1"/>
  <c r="G110" i="11"/>
  <c r="P110" i="11" s="1"/>
  <c r="AA110" i="11" s="1"/>
  <c r="G111" i="11"/>
  <c r="P111" i="11" s="1"/>
  <c r="G112" i="11"/>
  <c r="P112" i="11" s="1"/>
  <c r="G113" i="11"/>
  <c r="P113" i="11" s="1"/>
  <c r="G114" i="11"/>
  <c r="P114" i="11" s="1"/>
  <c r="AA114" i="11" s="1"/>
  <c r="G115" i="11"/>
  <c r="P115" i="11" s="1"/>
  <c r="G116" i="11"/>
  <c r="P116" i="11" s="1"/>
  <c r="G117" i="11"/>
  <c r="P117" i="11" s="1"/>
  <c r="G118" i="11"/>
  <c r="P118" i="11" s="1"/>
  <c r="AA118" i="11" s="1"/>
  <c r="G119" i="11"/>
  <c r="P119" i="11" s="1"/>
  <c r="G120" i="11"/>
  <c r="P120" i="11" s="1"/>
  <c r="G121" i="11"/>
  <c r="P121" i="11" s="1"/>
  <c r="G122" i="11"/>
  <c r="P122" i="11" s="1"/>
  <c r="G123" i="11"/>
  <c r="P123" i="11" s="1"/>
  <c r="AA123" i="11" s="1"/>
  <c r="G25" i="11"/>
  <c r="P25" i="11" s="1"/>
  <c r="G24" i="11"/>
  <c r="P24" i="11" s="1"/>
  <c r="AA24" i="11" s="1"/>
  <c r="F22" i="11"/>
  <c r="G22" i="11"/>
  <c r="E22" i="11"/>
  <c r="F16" i="4"/>
  <c r="F10" i="4"/>
  <c r="G16" i="4"/>
  <c r="H15" i="11"/>
  <c r="K15" i="11" s="1"/>
  <c r="H14" i="11"/>
  <c r="K14" i="11" s="1"/>
  <c r="G18" i="11"/>
  <c r="G16" i="11"/>
  <c r="F18" i="11"/>
  <c r="F17" i="11"/>
  <c r="F16" i="11"/>
  <c r="E15" i="11"/>
  <c r="E16" i="11"/>
  <c r="E17" i="11"/>
  <c r="E18" i="11"/>
  <c r="E14" i="11"/>
  <c r="E25" i="3"/>
  <c r="G23" i="3"/>
  <c r="E7" i="11"/>
  <c r="F7" i="11"/>
  <c r="G7" i="11"/>
  <c r="E8" i="11"/>
  <c r="F8" i="11"/>
  <c r="G8" i="11"/>
  <c r="E9" i="11"/>
  <c r="F9" i="11"/>
  <c r="G9" i="11"/>
  <c r="E10" i="11"/>
  <c r="F10" i="11"/>
  <c r="G10" i="11"/>
  <c r="F6" i="11"/>
  <c r="G6" i="11"/>
  <c r="E6" i="11"/>
  <c r="F25" i="3"/>
  <c r="F24" i="3"/>
  <c r="E24" i="3"/>
  <c r="F23" i="3"/>
  <c r="E23" i="3"/>
  <c r="F232" i="11" l="1"/>
  <c r="E212" i="11"/>
  <c r="E186" i="11"/>
  <c r="F159" i="11"/>
  <c r="F160" i="11"/>
  <c r="F332" i="11"/>
  <c r="F292" i="11"/>
  <c r="F272" i="11"/>
  <c r="F252" i="11"/>
  <c r="F165" i="11"/>
  <c r="G185" i="11"/>
  <c r="P185" i="11" s="1"/>
  <c r="AA185" i="11" s="1"/>
  <c r="F205" i="11"/>
  <c r="G227" i="11"/>
  <c r="P227" i="11" s="1"/>
  <c r="AA227" i="11" s="1"/>
  <c r="G204" i="11"/>
  <c r="P204" i="11" s="1"/>
  <c r="AA204" i="11" s="1"/>
  <c r="E181" i="11"/>
  <c r="G157" i="11"/>
  <c r="P157" i="11" s="1"/>
  <c r="AA157" i="11" s="1"/>
  <c r="F345" i="11"/>
  <c r="F325" i="11"/>
  <c r="F305" i="11"/>
  <c r="F285" i="11"/>
  <c r="F265" i="11"/>
  <c r="G459" i="11"/>
  <c r="P459" i="11" s="1"/>
  <c r="AA459" i="11" s="1"/>
  <c r="G439" i="11"/>
  <c r="P439" i="11" s="1"/>
  <c r="AA439" i="11" s="1"/>
  <c r="G419" i="11"/>
  <c r="P419" i="11" s="1"/>
  <c r="AA419" i="11" s="1"/>
  <c r="G399" i="11"/>
  <c r="P399" i="11" s="1"/>
  <c r="G379" i="11"/>
  <c r="P379" i="11" s="1"/>
  <c r="AA379" i="11" s="1"/>
  <c r="F188" i="11"/>
  <c r="E141" i="11"/>
  <c r="F138" i="11"/>
  <c r="F208" i="11"/>
  <c r="F228" i="11"/>
  <c r="F158" i="11"/>
  <c r="F312" i="11"/>
  <c r="F227" i="11"/>
  <c r="G201" i="11"/>
  <c r="P201" i="11" s="1"/>
  <c r="AA201" i="11" s="1"/>
  <c r="F179" i="11"/>
  <c r="E155" i="11"/>
  <c r="E345" i="11"/>
  <c r="F338" i="11"/>
  <c r="E325" i="11"/>
  <c r="F318" i="11"/>
  <c r="E305" i="11"/>
  <c r="F298" i="11"/>
  <c r="E285" i="11"/>
  <c r="F278" i="11"/>
  <c r="G271" i="11"/>
  <c r="P271" i="11" s="1"/>
  <c r="AA271" i="11" s="1"/>
  <c r="E265" i="11"/>
  <c r="F258" i="11"/>
  <c r="G251" i="11"/>
  <c r="P251" i="11" s="1"/>
  <c r="AA251" i="11" s="1"/>
  <c r="G452" i="11"/>
  <c r="P452" i="11" s="1"/>
  <c r="AA452" i="11" s="1"/>
  <c r="G432" i="11"/>
  <c r="P432" i="11" s="1"/>
  <c r="AA432" i="11" s="1"/>
  <c r="E426" i="11"/>
  <c r="G412" i="11"/>
  <c r="P412" i="11" s="1"/>
  <c r="AA412" i="11" s="1"/>
  <c r="E406" i="11"/>
  <c r="G392" i="11"/>
  <c r="P392" i="11" s="1"/>
  <c r="AA392" i="11" s="1"/>
  <c r="E386" i="11"/>
  <c r="G372" i="11"/>
  <c r="P372" i="11" s="1"/>
  <c r="AA372" i="11" s="1"/>
  <c r="E366" i="11"/>
  <c r="G213" i="11"/>
  <c r="P213" i="11" s="1"/>
  <c r="AA213" i="11" s="1"/>
  <c r="F139" i="11"/>
  <c r="G160" i="11"/>
  <c r="P160" i="11" s="1"/>
  <c r="AA160" i="11" s="1"/>
  <c r="F212" i="11"/>
  <c r="F231" i="11"/>
  <c r="E185" i="11"/>
  <c r="E227" i="11"/>
  <c r="E201" i="11"/>
  <c r="E179" i="11"/>
  <c r="E154" i="11"/>
  <c r="G344" i="11"/>
  <c r="P344" i="11" s="1"/>
  <c r="AA344" i="11" s="1"/>
  <c r="E338" i="11"/>
  <c r="F331" i="11"/>
  <c r="G324" i="11"/>
  <c r="P324" i="11" s="1"/>
  <c r="AA324" i="11" s="1"/>
  <c r="E318" i="11"/>
  <c r="F311" i="11"/>
  <c r="G304" i="11"/>
  <c r="P304" i="11" s="1"/>
  <c r="AA304" i="11" s="1"/>
  <c r="E298" i="11"/>
  <c r="F291" i="11"/>
  <c r="G284" i="11"/>
  <c r="P284" i="11" s="1"/>
  <c r="AA284" i="11" s="1"/>
  <c r="E278" i="11"/>
  <c r="F271" i="11"/>
  <c r="G264" i="11"/>
  <c r="P264" i="11" s="1"/>
  <c r="AA264" i="11" s="1"/>
  <c r="E258" i="11"/>
  <c r="F251" i="11"/>
  <c r="E459" i="11"/>
  <c r="G445" i="11"/>
  <c r="P445" i="11" s="1"/>
  <c r="AA445" i="11" s="1"/>
  <c r="E439" i="11"/>
  <c r="G425" i="11"/>
  <c r="P425" i="11" s="1"/>
  <c r="AA425" i="11" s="1"/>
  <c r="E419" i="11"/>
  <c r="G405" i="11"/>
  <c r="P405" i="11" s="1"/>
  <c r="AA405" i="11" s="1"/>
  <c r="E399" i="11"/>
  <c r="G385" i="11"/>
  <c r="P385" i="11" s="1"/>
  <c r="AA385" i="11" s="1"/>
  <c r="E379" i="11"/>
  <c r="F372" i="11"/>
  <c r="G365" i="11"/>
  <c r="P365" i="11" s="1"/>
  <c r="AA365" i="11" s="1"/>
  <c r="G200" i="11"/>
  <c r="P200" i="11" s="1"/>
  <c r="AA200" i="11" s="1"/>
  <c r="F144" i="11"/>
  <c r="E214" i="11"/>
  <c r="G212" i="11"/>
  <c r="P212" i="11" s="1"/>
  <c r="AA212" i="11" s="1"/>
  <c r="E139" i="11"/>
  <c r="G186" i="11"/>
  <c r="P186" i="11" s="1"/>
  <c r="AA186" i="11" s="1"/>
  <c r="G231" i="11"/>
  <c r="P231" i="11" s="1"/>
  <c r="AA231" i="11" s="1"/>
  <c r="F185" i="11"/>
  <c r="G226" i="11"/>
  <c r="P226" i="11" s="1"/>
  <c r="AA226" i="11" s="1"/>
  <c r="G153" i="11"/>
  <c r="P153" i="11" s="1"/>
  <c r="AA153" i="11" s="1"/>
  <c r="F324" i="11"/>
  <c r="F284" i="11"/>
  <c r="F264" i="11"/>
  <c r="E226" i="11"/>
  <c r="F200" i="11"/>
  <c r="F174" i="11"/>
  <c r="E152" i="11"/>
  <c r="E250" i="11"/>
  <c r="N250" i="11" s="1"/>
  <c r="E344" i="11"/>
  <c r="F337" i="11"/>
  <c r="G330" i="11"/>
  <c r="P330" i="11" s="1"/>
  <c r="AA330" i="11" s="1"/>
  <c r="E324" i="11"/>
  <c r="F317" i="11"/>
  <c r="G310" i="11"/>
  <c r="P310" i="11" s="1"/>
  <c r="AA310" i="11" s="1"/>
  <c r="E304" i="11"/>
  <c r="F297" i="11"/>
  <c r="G290" i="11"/>
  <c r="P290" i="11" s="1"/>
  <c r="AA290" i="11" s="1"/>
  <c r="E284" i="11"/>
  <c r="F277" i="11"/>
  <c r="G270" i="11"/>
  <c r="P270" i="11" s="1"/>
  <c r="AA270" i="11" s="1"/>
  <c r="E264" i="11"/>
  <c r="F257" i="11"/>
  <c r="F458" i="11"/>
  <c r="G451" i="11"/>
  <c r="P451" i="11" s="1"/>
  <c r="AA451" i="11" s="1"/>
  <c r="E445" i="11"/>
  <c r="F438" i="11"/>
  <c r="G431" i="11"/>
  <c r="P431" i="11" s="1"/>
  <c r="E425" i="11"/>
  <c r="F418" i="11"/>
  <c r="G411" i="11"/>
  <c r="P411" i="11" s="1"/>
  <c r="AA411" i="11" s="1"/>
  <c r="E405" i="11"/>
  <c r="F398" i="11"/>
  <c r="G391" i="11"/>
  <c r="P391" i="11" s="1"/>
  <c r="AA391" i="11" s="1"/>
  <c r="E385" i="11"/>
  <c r="F378" i="11"/>
  <c r="G371" i="11"/>
  <c r="P371" i="11" s="1"/>
  <c r="P360" i="11" s="1"/>
  <c r="E365" i="11"/>
  <c r="F304" i="11"/>
  <c r="E225" i="11"/>
  <c r="F199" i="11"/>
  <c r="E174" i="11"/>
  <c r="G146" i="11"/>
  <c r="P146" i="11" s="1"/>
  <c r="AA146" i="11" s="1"/>
  <c r="E337" i="11"/>
  <c r="F330" i="11"/>
  <c r="E317" i="11"/>
  <c r="F310" i="11"/>
  <c r="G303" i="11"/>
  <c r="P303" i="11" s="1"/>
  <c r="AA303" i="11" s="1"/>
  <c r="E297" i="11"/>
  <c r="F290" i="11"/>
  <c r="G283" i="11"/>
  <c r="P283" i="11" s="1"/>
  <c r="AA283" i="11" s="1"/>
  <c r="E277" i="11"/>
  <c r="F270" i="11"/>
  <c r="G263" i="11"/>
  <c r="P263" i="11" s="1"/>
  <c r="AA263" i="11" s="1"/>
  <c r="E257" i="11"/>
  <c r="E458" i="11"/>
  <c r="G444" i="11"/>
  <c r="P444" i="11" s="1"/>
  <c r="AA444" i="11" s="1"/>
  <c r="E438" i="11"/>
  <c r="G424" i="11"/>
  <c r="P424" i="11" s="1"/>
  <c r="AA424" i="11" s="1"/>
  <c r="E418" i="11"/>
  <c r="G404" i="11"/>
  <c r="P404" i="11" s="1"/>
  <c r="AA404" i="11" s="1"/>
  <c r="E398" i="11"/>
  <c r="F391" i="11"/>
  <c r="G384" i="11"/>
  <c r="P384" i="11" s="1"/>
  <c r="AA384" i="11" s="1"/>
  <c r="E378" i="11"/>
  <c r="F371" i="11"/>
  <c r="G364" i="11"/>
  <c r="P364" i="11" s="1"/>
  <c r="AA364" i="11" s="1"/>
  <c r="E221" i="11"/>
  <c r="E199" i="11"/>
  <c r="G173" i="11"/>
  <c r="P173" i="11" s="1"/>
  <c r="AA173" i="11" s="1"/>
  <c r="E146" i="11"/>
  <c r="F250" i="11"/>
  <c r="F343" i="11"/>
  <c r="F323" i="11"/>
  <c r="F303" i="11"/>
  <c r="F283" i="11"/>
  <c r="F263" i="11"/>
  <c r="G457" i="11"/>
  <c r="P457" i="11" s="1"/>
  <c r="AA457" i="11" s="1"/>
  <c r="G437" i="11"/>
  <c r="P437" i="11" s="1"/>
  <c r="AA437" i="11" s="1"/>
  <c r="G417" i="11"/>
  <c r="P417" i="11" s="1"/>
  <c r="AA417" i="11" s="1"/>
  <c r="G397" i="11"/>
  <c r="P397" i="11" s="1"/>
  <c r="AA397" i="11" s="1"/>
  <c r="G377" i="11"/>
  <c r="P377" i="11" s="1"/>
  <c r="AA377" i="11" s="1"/>
  <c r="F214" i="11"/>
  <c r="E235" i="11"/>
  <c r="E187" i="11"/>
  <c r="E234" i="11"/>
  <c r="G158" i="11"/>
  <c r="P158" i="11" s="1"/>
  <c r="AA158" i="11" s="1"/>
  <c r="F344" i="11"/>
  <c r="F220" i="11"/>
  <c r="F198" i="11"/>
  <c r="G172" i="11"/>
  <c r="P172" i="11" s="1"/>
  <c r="AA172" i="11" s="1"/>
  <c r="G145" i="11"/>
  <c r="P145" i="11" s="1"/>
  <c r="AA145" i="11" s="1"/>
  <c r="G349" i="11"/>
  <c r="P349" i="11" s="1"/>
  <c r="AA349" i="11" s="1"/>
  <c r="E343" i="11"/>
  <c r="F336" i="11"/>
  <c r="G329" i="11"/>
  <c r="P329" i="11" s="1"/>
  <c r="AA329" i="11" s="1"/>
  <c r="E323" i="11"/>
  <c r="F316" i="11"/>
  <c r="G309" i="11"/>
  <c r="P309" i="11" s="1"/>
  <c r="AA309" i="11" s="1"/>
  <c r="E303" i="11"/>
  <c r="F296" i="11"/>
  <c r="G289" i="11"/>
  <c r="P289" i="11" s="1"/>
  <c r="AA289" i="11" s="1"/>
  <c r="E283" i="11"/>
  <c r="F276" i="11"/>
  <c r="G269" i="11"/>
  <c r="P269" i="11" s="1"/>
  <c r="AA269" i="11" s="1"/>
  <c r="E263" i="11"/>
  <c r="F256" i="11"/>
  <c r="F457" i="11"/>
  <c r="G450" i="11"/>
  <c r="P450" i="11" s="1"/>
  <c r="AA450" i="11" s="1"/>
  <c r="E444" i="11"/>
  <c r="F437" i="11"/>
  <c r="G430" i="11"/>
  <c r="P430" i="11" s="1"/>
  <c r="AA430" i="11" s="1"/>
  <c r="E424" i="11"/>
  <c r="F417" i="11"/>
  <c r="G410" i="11"/>
  <c r="P410" i="11" s="1"/>
  <c r="AA410" i="11" s="1"/>
  <c r="E404" i="11"/>
  <c r="F397" i="11"/>
  <c r="G390" i="11"/>
  <c r="P390" i="11" s="1"/>
  <c r="AA390" i="11" s="1"/>
  <c r="E384" i="11"/>
  <c r="F377" i="11"/>
  <c r="G370" i="11"/>
  <c r="P370" i="11" s="1"/>
  <c r="E364" i="11"/>
  <c r="F167" i="11"/>
  <c r="G187" i="11"/>
  <c r="P187" i="11" s="1"/>
  <c r="AA187" i="11" s="1"/>
  <c r="E166" i="11"/>
  <c r="F187" i="11"/>
  <c r="F234" i="11"/>
  <c r="E159" i="11"/>
  <c r="E207" i="11"/>
  <c r="G174" i="11"/>
  <c r="P174" i="11" s="1"/>
  <c r="AA174" i="11" s="1"/>
  <c r="G217" i="11"/>
  <c r="P217" i="11" s="1"/>
  <c r="AA217" i="11" s="1"/>
  <c r="E195" i="11"/>
  <c r="F172" i="11"/>
  <c r="F145" i="11"/>
  <c r="F349" i="11"/>
  <c r="G342" i="11"/>
  <c r="P342" i="11" s="1"/>
  <c r="AA342" i="11" s="1"/>
  <c r="E336" i="11"/>
  <c r="F329" i="11"/>
  <c r="G322" i="11"/>
  <c r="P322" i="11" s="1"/>
  <c r="AA322" i="11" s="1"/>
  <c r="E316" i="11"/>
  <c r="F309" i="11"/>
  <c r="G302" i="11"/>
  <c r="P302" i="11" s="1"/>
  <c r="AA302" i="11" s="1"/>
  <c r="E296" i="11"/>
  <c r="F289" i="11"/>
  <c r="G282" i="11"/>
  <c r="P282" i="11" s="1"/>
  <c r="AA282" i="11" s="1"/>
  <c r="E276" i="11"/>
  <c r="N276" i="11" s="1"/>
  <c r="Y276" i="11" s="1"/>
  <c r="E363" i="11"/>
  <c r="E457" i="11"/>
  <c r="F450" i="11"/>
  <c r="G443" i="11"/>
  <c r="P443" i="11" s="1"/>
  <c r="AA443" i="11" s="1"/>
  <c r="E437" i="11"/>
  <c r="F430" i="11"/>
  <c r="G423" i="11"/>
  <c r="P423" i="11" s="1"/>
  <c r="AA423" i="11" s="1"/>
  <c r="E417" i="11"/>
  <c r="F410" i="11"/>
  <c r="G403" i="11"/>
  <c r="P403" i="11" s="1"/>
  <c r="AA403" i="11" s="1"/>
  <c r="E397" i="11"/>
  <c r="F390" i="11"/>
  <c r="G225" i="11"/>
  <c r="P225" i="11" s="1"/>
  <c r="AA225" i="11" s="1"/>
  <c r="F225" i="11"/>
  <c r="G211" i="11"/>
  <c r="P211" i="11" s="1"/>
  <c r="AA211" i="11" s="1"/>
  <c r="G197" i="11"/>
  <c r="P197" i="11" s="1"/>
  <c r="AA197" i="11" s="1"/>
  <c r="G184" i="11"/>
  <c r="P184" i="11" s="1"/>
  <c r="AA184" i="11" s="1"/>
  <c r="F168" i="11"/>
  <c r="F154" i="11"/>
  <c r="G140" i="11"/>
  <c r="P140" i="11" s="1"/>
  <c r="AA140" i="11" s="1"/>
  <c r="G198" i="11"/>
  <c r="P198" i="11" s="1"/>
  <c r="AA198" i="11" s="1"/>
  <c r="G171" i="11"/>
  <c r="P171" i="11" s="1"/>
  <c r="AA171" i="11" s="1"/>
  <c r="G141" i="11"/>
  <c r="P141" i="11" s="1"/>
  <c r="G154" i="11"/>
  <c r="P154" i="11" s="1"/>
  <c r="AA154" i="11" s="1"/>
  <c r="F211" i="11"/>
  <c r="G181" i="11"/>
  <c r="P181" i="11" s="1"/>
  <c r="AA181" i="11" s="1"/>
  <c r="G167" i="11"/>
  <c r="P167" i="11" s="1"/>
  <c r="AA167" i="11" s="1"/>
  <c r="F140" i="11"/>
  <c r="G224" i="11"/>
  <c r="P224" i="11" s="1"/>
  <c r="AA224" i="11" s="1"/>
  <c r="G194" i="11"/>
  <c r="P194" i="11" s="1"/>
  <c r="AA194" i="11" s="1"/>
  <c r="G221" i="11"/>
  <c r="P221" i="11" s="1"/>
  <c r="AA221" i="11" s="1"/>
  <c r="G207" i="11"/>
  <c r="P207" i="11" s="1"/>
  <c r="AA207" i="11" s="1"/>
  <c r="G180" i="11"/>
  <c r="P180" i="11" s="1"/>
  <c r="AA180" i="11" s="1"/>
  <c r="G166" i="11"/>
  <c r="P166" i="11" s="1"/>
  <c r="AA166" i="11" s="1"/>
  <c r="G152" i="11"/>
  <c r="P152" i="11" s="1"/>
  <c r="AA152" i="11" s="1"/>
  <c r="G234" i="11"/>
  <c r="P234" i="11" s="1"/>
  <c r="AA234" i="11" s="1"/>
  <c r="F207" i="11"/>
  <c r="F180" i="11"/>
  <c r="F152" i="11"/>
  <c r="G138" i="11"/>
  <c r="P138" i="11" s="1"/>
  <c r="AA138" i="11" s="1"/>
  <c r="G233" i="11"/>
  <c r="P233" i="11" s="1"/>
  <c r="AA233" i="11" s="1"/>
  <c r="F219" i="11"/>
  <c r="E206" i="11"/>
  <c r="F192" i="11"/>
  <c r="G178" i="11"/>
  <c r="P178" i="11" s="1"/>
  <c r="AA178" i="11" s="1"/>
  <c r="E165" i="11"/>
  <c r="N165" i="11" s="1"/>
  <c r="Y165" i="11" s="1"/>
  <c r="F151" i="11"/>
  <c r="G193" i="11"/>
  <c r="P193" i="11" s="1"/>
  <c r="AA193" i="11" s="1"/>
  <c r="G165" i="11"/>
  <c r="P165" i="11" s="1"/>
  <c r="AA165" i="11" s="1"/>
  <c r="G206" i="11"/>
  <c r="P206" i="11" s="1"/>
  <c r="AA206" i="11" s="1"/>
  <c r="G192" i="11"/>
  <c r="P192" i="11" s="1"/>
  <c r="AA192" i="11" s="1"/>
  <c r="G151" i="11"/>
  <c r="P151" i="11" s="1"/>
  <c r="AA151" i="11" s="1"/>
  <c r="G232" i="11"/>
  <c r="P232" i="11" s="1"/>
  <c r="AA232" i="11" s="1"/>
  <c r="E219" i="11"/>
  <c r="G205" i="11"/>
  <c r="P205" i="11" s="1"/>
  <c r="AA205" i="11" s="1"/>
  <c r="E192" i="11"/>
  <c r="F178" i="11"/>
  <c r="G164" i="11"/>
  <c r="P164" i="11" s="1"/>
  <c r="AA164" i="11" s="1"/>
  <c r="F148" i="11"/>
  <c r="G220" i="11"/>
  <c r="P220" i="11" s="1"/>
  <c r="AA220" i="11" s="1"/>
  <c r="G218" i="11"/>
  <c r="P218" i="11" s="1"/>
  <c r="AA218" i="11" s="1"/>
  <c r="G191" i="11"/>
  <c r="P191" i="11" s="1"/>
  <c r="AA191" i="11" s="1"/>
  <c r="G177" i="11"/>
  <c r="P177" i="11" s="1"/>
  <c r="AA177" i="11" s="1"/>
  <c r="G161" i="11"/>
  <c r="P161" i="11" s="1"/>
  <c r="AA161" i="11" s="1"/>
  <c r="G147" i="11"/>
  <c r="P147" i="11" s="1"/>
  <c r="AA147" i="11" s="1"/>
  <c r="E232" i="11"/>
  <c r="F218" i="11"/>
  <c r="E205" i="11"/>
  <c r="F191" i="11"/>
  <c r="E175" i="11"/>
  <c r="E161" i="11"/>
  <c r="F147" i="11"/>
  <c r="E228" i="11"/>
  <c r="F221" i="11"/>
  <c r="E208" i="11"/>
  <c r="F201" i="11"/>
  <c r="E188" i="11"/>
  <c r="F181" i="11"/>
  <c r="E168" i="11"/>
  <c r="F161" i="11"/>
  <c r="E148" i="11"/>
  <c r="F141" i="11"/>
  <c r="E167" i="11"/>
  <c r="E147" i="11"/>
  <c r="F233" i="11"/>
  <c r="E220" i="11"/>
  <c r="F213" i="11"/>
  <c r="E200" i="11"/>
  <c r="F193" i="11"/>
  <c r="E180" i="11"/>
  <c r="F173" i="11"/>
  <c r="E160" i="11"/>
  <c r="F153" i="11"/>
  <c r="E140" i="11"/>
  <c r="E233" i="11"/>
  <c r="F226" i="11"/>
  <c r="G219" i="11"/>
  <c r="P219" i="11" s="1"/>
  <c r="AA219" i="11" s="1"/>
  <c r="E213" i="11"/>
  <c r="F206" i="11"/>
  <c r="G199" i="11"/>
  <c r="P199" i="11" s="1"/>
  <c r="AA199" i="11" s="1"/>
  <c r="E193" i="11"/>
  <c r="F186" i="11"/>
  <c r="G179" i="11"/>
  <c r="P179" i="11" s="1"/>
  <c r="AA179" i="11" s="1"/>
  <c r="E173" i="11"/>
  <c r="F166" i="11"/>
  <c r="G159" i="11"/>
  <c r="P159" i="11" s="1"/>
  <c r="AA159" i="11" s="1"/>
  <c r="E153" i="11"/>
  <c r="F146" i="11"/>
  <c r="G139" i="11"/>
  <c r="P139" i="11" s="1"/>
  <c r="AA139" i="11" s="1"/>
  <c r="E231" i="11"/>
  <c r="E191" i="11"/>
  <c r="G230" i="11"/>
  <c r="P230" i="11" s="1"/>
  <c r="AA230" i="11" s="1"/>
  <c r="E224" i="11"/>
  <c r="F217" i="11"/>
  <c r="G210" i="11"/>
  <c r="P210" i="11" s="1"/>
  <c r="AA210" i="11" s="1"/>
  <c r="E204" i="11"/>
  <c r="F197" i="11"/>
  <c r="G190" i="11"/>
  <c r="P190" i="11" s="1"/>
  <c r="AA190" i="11" s="1"/>
  <c r="E184" i="11"/>
  <c r="F177" i="11"/>
  <c r="G170" i="11"/>
  <c r="P170" i="11" s="1"/>
  <c r="AA170" i="11" s="1"/>
  <c r="E164" i="11"/>
  <c r="F157" i="11"/>
  <c r="G150" i="11"/>
  <c r="P150" i="11" s="1"/>
  <c r="AA150" i="11" s="1"/>
  <c r="E144" i="11"/>
  <c r="F230" i="11"/>
  <c r="G223" i="11"/>
  <c r="P223" i="11" s="1"/>
  <c r="AA223" i="11" s="1"/>
  <c r="E217" i="11"/>
  <c r="F210" i="11"/>
  <c r="G203" i="11"/>
  <c r="P203" i="11" s="1"/>
  <c r="AA203" i="11" s="1"/>
  <c r="E197" i="11"/>
  <c r="F190" i="11"/>
  <c r="G183" i="11"/>
  <c r="P183" i="11" s="1"/>
  <c r="AA183" i="11" s="1"/>
  <c r="E177" i="11"/>
  <c r="F170" i="11"/>
  <c r="G163" i="11"/>
  <c r="P163" i="11" s="1"/>
  <c r="AA163" i="11" s="1"/>
  <c r="E157" i="11"/>
  <c r="F150" i="11"/>
  <c r="G143" i="11"/>
  <c r="P143" i="11" s="1"/>
  <c r="AA143" i="11" s="1"/>
  <c r="E151" i="11"/>
  <c r="G236" i="11"/>
  <c r="P236" i="11" s="1"/>
  <c r="AA236" i="11" s="1"/>
  <c r="E230" i="11"/>
  <c r="F223" i="11"/>
  <c r="G216" i="11"/>
  <c r="P216" i="11" s="1"/>
  <c r="AA216" i="11" s="1"/>
  <c r="E210" i="11"/>
  <c r="F203" i="11"/>
  <c r="G196" i="11"/>
  <c r="P196" i="11" s="1"/>
  <c r="AA196" i="11" s="1"/>
  <c r="E190" i="11"/>
  <c r="F183" i="11"/>
  <c r="G176" i="11"/>
  <c r="P176" i="11" s="1"/>
  <c r="AA176" i="11" s="1"/>
  <c r="E170" i="11"/>
  <c r="F163" i="11"/>
  <c r="G156" i="11"/>
  <c r="P156" i="11" s="1"/>
  <c r="AA156" i="11" s="1"/>
  <c r="E150" i="11"/>
  <c r="F143" i="11"/>
  <c r="E178" i="11"/>
  <c r="E138" i="11"/>
  <c r="F236" i="11"/>
  <c r="G229" i="11"/>
  <c r="P229" i="11" s="1"/>
  <c r="AA229" i="11" s="1"/>
  <c r="E223" i="11"/>
  <c r="F216" i="11"/>
  <c r="G209" i="11"/>
  <c r="P209" i="11" s="1"/>
  <c r="AA209" i="11" s="1"/>
  <c r="E203" i="11"/>
  <c r="F196" i="11"/>
  <c r="G189" i="11"/>
  <c r="P189" i="11" s="1"/>
  <c r="AA189" i="11" s="1"/>
  <c r="E183" i="11"/>
  <c r="F176" i="11"/>
  <c r="G169" i="11"/>
  <c r="P169" i="11" s="1"/>
  <c r="AA169" i="11" s="1"/>
  <c r="E163" i="11"/>
  <c r="F156" i="11"/>
  <c r="G149" i="11"/>
  <c r="P149" i="11" s="1"/>
  <c r="AA149" i="11" s="1"/>
  <c r="E143" i="11"/>
  <c r="E171" i="11"/>
  <c r="E236" i="11"/>
  <c r="F229" i="11"/>
  <c r="G222" i="11"/>
  <c r="P222" i="11" s="1"/>
  <c r="AA222" i="11" s="1"/>
  <c r="E216" i="11"/>
  <c r="F209" i="11"/>
  <c r="G202" i="11"/>
  <c r="P202" i="11" s="1"/>
  <c r="AA202" i="11" s="1"/>
  <c r="E196" i="11"/>
  <c r="F189" i="11"/>
  <c r="G182" i="11"/>
  <c r="P182" i="11" s="1"/>
  <c r="AA182" i="11" s="1"/>
  <c r="E176" i="11"/>
  <c r="F169" i="11"/>
  <c r="G162" i="11"/>
  <c r="P162" i="11" s="1"/>
  <c r="AA162" i="11" s="1"/>
  <c r="E156" i="11"/>
  <c r="F149" i="11"/>
  <c r="G142" i="11"/>
  <c r="P142" i="11" s="1"/>
  <c r="AA142" i="11" s="1"/>
  <c r="E137" i="11"/>
  <c r="E158" i="11"/>
  <c r="E211" i="11"/>
  <c r="F164" i="11"/>
  <c r="G235" i="11"/>
  <c r="P235" i="11" s="1"/>
  <c r="AA235" i="11" s="1"/>
  <c r="E229" i="11"/>
  <c r="F222" i="11"/>
  <c r="G215" i="11"/>
  <c r="P215" i="11" s="1"/>
  <c r="AA215" i="11" s="1"/>
  <c r="E209" i="11"/>
  <c r="F202" i="11"/>
  <c r="G195" i="11"/>
  <c r="P195" i="11" s="1"/>
  <c r="AA195" i="11" s="1"/>
  <c r="E189" i="11"/>
  <c r="F182" i="11"/>
  <c r="G175" i="11"/>
  <c r="P175" i="11" s="1"/>
  <c r="E169" i="11"/>
  <c r="F162" i="11"/>
  <c r="G155" i="11"/>
  <c r="P155" i="11" s="1"/>
  <c r="AA155" i="11" s="1"/>
  <c r="E149" i="11"/>
  <c r="F142" i="11"/>
  <c r="F137" i="11"/>
  <c r="E218" i="11"/>
  <c r="E198" i="11"/>
  <c r="F224" i="11"/>
  <c r="F204" i="11"/>
  <c r="F184" i="11"/>
  <c r="F235" i="11"/>
  <c r="G228" i="11"/>
  <c r="P228" i="11" s="1"/>
  <c r="AA228" i="11" s="1"/>
  <c r="E222" i="11"/>
  <c r="F215" i="11"/>
  <c r="G208" i="11"/>
  <c r="P208" i="11" s="1"/>
  <c r="AA208" i="11" s="1"/>
  <c r="E202" i="11"/>
  <c r="F195" i="11"/>
  <c r="G188" i="11"/>
  <c r="P188" i="11" s="1"/>
  <c r="AA188" i="11" s="1"/>
  <c r="E182" i="11"/>
  <c r="F175" i="11"/>
  <c r="G168" i="11"/>
  <c r="P168" i="11" s="1"/>
  <c r="AA168" i="11" s="1"/>
  <c r="E162" i="11"/>
  <c r="G148" i="11"/>
  <c r="P148" i="11" s="1"/>
  <c r="AA148" i="11" s="1"/>
  <c r="J355" i="11"/>
  <c r="J356" i="11" s="1"/>
  <c r="J357" i="11" s="1"/>
  <c r="J243" i="11"/>
  <c r="J244" i="11" s="1"/>
  <c r="J130" i="11"/>
  <c r="H16" i="11"/>
  <c r="K16" i="11" s="1"/>
  <c r="J19" i="11"/>
  <c r="E21" i="11" s="1"/>
  <c r="N459" i="11" s="1"/>
  <c r="Y459" i="11" s="1"/>
  <c r="E31" i="11"/>
  <c r="N31" i="11" s="1"/>
  <c r="Y31" i="11" s="1"/>
  <c r="E89" i="11"/>
  <c r="N89" i="11" s="1"/>
  <c r="Y89" i="11" s="1"/>
  <c r="E59" i="11"/>
  <c r="N59" i="11" s="1"/>
  <c r="Y59" i="11" s="1"/>
  <c r="N315" i="11"/>
  <c r="Y315" i="11" s="1"/>
  <c r="N399" i="11"/>
  <c r="Y399" i="11" s="1"/>
  <c r="E107" i="11"/>
  <c r="N107" i="11" s="1"/>
  <c r="Y107" i="11" s="1"/>
  <c r="E77" i="11"/>
  <c r="N77" i="11" s="1"/>
  <c r="Y77" i="11" s="1"/>
  <c r="G17" i="11"/>
  <c r="H17" i="11" s="1"/>
  <c r="K17" i="11" s="1"/>
  <c r="AA175" i="11"/>
  <c r="AA373" i="11"/>
  <c r="AA449" i="11"/>
  <c r="AA366" i="11"/>
  <c r="AA399" i="11"/>
  <c r="AA370" i="11"/>
  <c r="AA383" i="11"/>
  <c r="AA386" i="11"/>
  <c r="AA393" i="11"/>
  <c r="AA433" i="11"/>
  <c r="AA363" i="11"/>
  <c r="AA426" i="11"/>
  <c r="AA431" i="11"/>
  <c r="AA348" i="11"/>
  <c r="AA250" i="11"/>
  <c r="AA272" i="11"/>
  <c r="AA312" i="11"/>
  <c r="AA318" i="11"/>
  <c r="AA280" i="11"/>
  <c r="AA298" i="11"/>
  <c r="AA141" i="11"/>
  <c r="H128" i="11"/>
  <c r="K128" i="11" s="1"/>
  <c r="S59" i="9"/>
  <c r="S58" i="9"/>
  <c r="S56" i="9"/>
  <c r="S55" i="9"/>
  <c r="Q58" i="9"/>
  <c r="S60" i="9"/>
  <c r="S57" i="9"/>
  <c r="Q57" i="9"/>
  <c r="O61" i="9"/>
  <c r="S54" i="9"/>
  <c r="S61" i="9"/>
  <c r="Q61" i="9"/>
  <c r="Q60" i="9"/>
  <c r="O60" i="9"/>
  <c r="O59" i="9"/>
  <c r="O57" i="9"/>
  <c r="O56" i="9"/>
  <c r="Q56" i="9"/>
  <c r="O53" i="9"/>
  <c r="O55" i="9"/>
  <c r="AA106" i="11"/>
  <c r="AA66" i="11"/>
  <c r="AA46" i="11"/>
  <c r="AA59" i="11"/>
  <c r="AA32" i="11"/>
  <c r="AA120" i="11"/>
  <c r="AA112" i="11"/>
  <c r="AA57" i="11"/>
  <c r="AA72" i="11"/>
  <c r="AA78" i="11"/>
  <c r="AA91" i="11"/>
  <c r="AA51" i="11"/>
  <c r="AA30" i="11"/>
  <c r="AA92" i="11"/>
  <c r="AA65" i="11"/>
  <c r="AA38" i="11"/>
  <c r="AA111" i="11"/>
  <c r="AA71" i="11"/>
  <c r="AA52" i="11"/>
  <c r="AA103" i="11"/>
  <c r="AA83" i="11"/>
  <c r="AA116" i="11"/>
  <c r="AA96" i="11"/>
  <c r="AA56" i="11"/>
  <c r="AA36" i="11"/>
  <c r="AA119" i="11"/>
  <c r="AA64" i="11"/>
  <c r="AA89" i="11"/>
  <c r="AA69" i="11"/>
  <c r="AA29" i="11"/>
  <c r="AA93" i="11"/>
  <c r="AA33" i="11"/>
  <c r="AA82" i="11"/>
  <c r="AA62" i="11"/>
  <c r="AA42" i="11"/>
  <c r="AA47" i="11"/>
  <c r="AA102" i="11"/>
  <c r="AA115" i="11"/>
  <c r="AA75" i="11"/>
  <c r="AA55" i="11"/>
  <c r="AA84" i="11"/>
  <c r="AA25" i="11"/>
  <c r="AA109" i="11"/>
  <c r="AA104" i="11"/>
  <c r="AA49" i="11"/>
  <c r="AA44" i="11"/>
  <c r="P59" i="9"/>
  <c r="P55" i="9"/>
  <c r="AA121" i="11"/>
  <c r="AA101" i="11"/>
  <c r="AA86" i="11"/>
  <c r="AA81" i="11"/>
  <c r="AA76" i="11"/>
  <c r="AA61" i="11"/>
  <c r="AA41" i="11"/>
  <c r="AA31" i="11"/>
  <c r="Q59" i="9"/>
  <c r="P21" i="11"/>
  <c r="P58" i="9"/>
  <c r="P54" i="9"/>
  <c r="O58" i="9"/>
  <c r="AA113" i="11"/>
  <c r="AA108" i="11"/>
  <c r="AA88" i="11"/>
  <c r="AA73" i="11"/>
  <c r="AA68" i="11"/>
  <c r="AA53" i="11"/>
  <c r="AA48" i="11"/>
  <c r="AA28" i="11"/>
  <c r="Q53" i="9"/>
  <c r="Q55" i="9"/>
  <c r="P53" i="9"/>
  <c r="P61" i="9"/>
  <c r="P57" i="9"/>
  <c r="AA105" i="11"/>
  <c r="AA100" i="11"/>
  <c r="AA95" i="11"/>
  <c r="AA85" i="11"/>
  <c r="AA80" i="11"/>
  <c r="AA60" i="11"/>
  <c r="AA45" i="11"/>
  <c r="AA40" i="11"/>
  <c r="AA35" i="11"/>
  <c r="AA122" i="11"/>
  <c r="AA117" i="11"/>
  <c r="AA107" i="11"/>
  <c r="AA97" i="11"/>
  <c r="AA87" i="11"/>
  <c r="AA77" i="11"/>
  <c r="AA67" i="11"/>
  <c r="AA37" i="11"/>
  <c r="AA27" i="11"/>
  <c r="P60" i="9"/>
  <c r="N61" i="2"/>
  <c r="M57" i="2"/>
  <c r="N60" i="2"/>
  <c r="M56" i="2"/>
  <c r="S59" i="2"/>
  <c r="M55" i="2"/>
  <c r="M54" i="2"/>
  <c r="M52" i="2"/>
  <c r="U59" i="2"/>
  <c r="Q64" i="2" s="1"/>
  <c r="S64" i="2" s="1"/>
  <c r="S54" i="2"/>
  <c r="S55" i="2"/>
  <c r="S56" i="2"/>
  <c r="S57" i="2"/>
  <c r="S53" i="2"/>
  <c r="F54" i="9"/>
  <c r="F55" i="9"/>
  <c r="F56" i="9"/>
  <c r="F57" i="9"/>
  <c r="F58" i="9"/>
  <c r="F59" i="9"/>
  <c r="F60" i="9"/>
  <c r="F61" i="9"/>
  <c r="E61" i="9" s="1"/>
  <c r="F46" i="9"/>
  <c r="D46" i="9" s="1"/>
  <c r="J50" i="9"/>
  <c r="K50" i="9"/>
  <c r="J43" i="9"/>
  <c r="K43" i="9"/>
  <c r="J44" i="9"/>
  <c r="P44" i="9" s="1"/>
  <c r="K44" i="9"/>
  <c r="J45" i="9"/>
  <c r="K45" i="9"/>
  <c r="J46" i="9"/>
  <c r="P46" i="9" s="1"/>
  <c r="K46" i="9"/>
  <c r="J47" i="9"/>
  <c r="K47" i="9"/>
  <c r="J48" i="9"/>
  <c r="K48" i="9"/>
  <c r="J49" i="9"/>
  <c r="P49" i="9" s="1"/>
  <c r="K49" i="9"/>
  <c r="K42" i="9"/>
  <c r="U42" i="9" s="1"/>
  <c r="J42" i="9"/>
  <c r="O42" i="9" s="1"/>
  <c r="K54" i="9"/>
  <c r="K55" i="9"/>
  <c r="K56" i="9"/>
  <c r="K57" i="9"/>
  <c r="K58" i="9"/>
  <c r="K59" i="9"/>
  <c r="K60" i="9"/>
  <c r="K61" i="9"/>
  <c r="K53" i="9"/>
  <c r="J54" i="9"/>
  <c r="J55" i="9"/>
  <c r="J56" i="9"/>
  <c r="J57" i="9"/>
  <c r="J58" i="9"/>
  <c r="J59" i="9"/>
  <c r="J60" i="9"/>
  <c r="J61" i="9"/>
  <c r="J53" i="9"/>
  <c r="C55" i="9"/>
  <c r="C44" i="9"/>
  <c r="C20" i="9"/>
  <c r="F22" i="9" s="1"/>
  <c r="D22" i="9" s="1"/>
  <c r="C21" i="9"/>
  <c r="C22" i="9"/>
  <c r="C23" i="9"/>
  <c r="C12" i="9"/>
  <c r="H61" i="9"/>
  <c r="I61" i="9" s="1"/>
  <c r="H60" i="9"/>
  <c r="I60" i="9" s="1"/>
  <c r="E60" i="9"/>
  <c r="H59" i="9"/>
  <c r="I59" i="9" s="1"/>
  <c r="E59" i="9"/>
  <c r="H58" i="9"/>
  <c r="I58" i="9" s="1"/>
  <c r="E58" i="9"/>
  <c r="H57" i="9"/>
  <c r="I57" i="9" s="1"/>
  <c r="E57" i="9"/>
  <c r="H56" i="9"/>
  <c r="I56" i="9" s="1"/>
  <c r="E56" i="9"/>
  <c r="H55" i="9"/>
  <c r="I55" i="9" s="1"/>
  <c r="E55" i="9"/>
  <c r="I54" i="9"/>
  <c r="H54" i="9"/>
  <c r="D54" i="9"/>
  <c r="E54" i="9"/>
  <c r="C54" i="9"/>
  <c r="H53" i="9"/>
  <c r="C53" i="9"/>
  <c r="C52" i="9"/>
  <c r="F53" i="9" s="1"/>
  <c r="E53" i="9" s="1"/>
  <c r="T50" i="9"/>
  <c r="S50" i="9"/>
  <c r="H50" i="9"/>
  <c r="I50" i="9" s="1"/>
  <c r="T49" i="9"/>
  <c r="S49" i="9"/>
  <c r="R49" i="9"/>
  <c r="H49" i="9"/>
  <c r="I49" i="9" s="1"/>
  <c r="T48" i="9"/>
  <c r="S48" i="9"/>
  <c r="H48" i="9"/>
  <c r="I48" i="9" s="1"/>
  <c r="T47" i="9"/>
  <c r="S47" i="9"/>
  <c r="H47" i="9"/>
  <c r="I47" i="9" s="1"/>
  <c r="T46" i="9"/>
  <c r="S46" i="9"/>
  <c r="R46" i="9"/>
  <c r="H46" i="9"/>
  <c r="I46" i="9" s="1"/>
  <c r="T45" i="9"/>
  <c r="S45" i="9"/>
  <c r="H45" i="9"/>
  <c r="I45" i="9" s="1"/>
  <c r="T44" i="9"/>
  <c r="S44" i="9"/>
  <c r="R44" i="9"/>
  <c r="H44" i="9"/>
  <c r="I44" i="9" s="1"/>
  <c r="T43" i="9"/>
  <c r="S43" i="9"/>
  <c r="H43" i="9"/>
  <c r="C43" i="9"/>
  <c r="T42" i="9"/>
  <c r="S42" i="9"/>
  <c r="R42" i="9"/>
  <c r="H42" i="9"/>
  <c r="I42" i="9" s="1"/>
  <c r="C42" i="9"/>
  <c r="C41" i="9"/>
  <c r="F42" i="9" s="1"/>
  <c r="H35" i="9"/>
  <c r="G34" i="9"/>
  <c r="H3" i="9"/>
  <c r="G2" i="9"/>
  <c r="T22" i="9"/>
  <c r="T23" i="9"/>
  <c r="T24" i="9"/>
  <c r="T25" i="9"/>
  <c r="T26" i="9"/>
  <c r="T27" i="9"/>
  <c r="T28" i="9"/>
  <c r="T21" i="9"/>
  <c r="S22" i="9"/>
  <c r="S23" i="9"/>
  <c r="S24" i="9"/>
  <c r="S25" i="9"/>
  <c r="S26" i="9"/>
  <c r="S27" i="9"/>
  <c r="S28" i="9"/>
  <c r="S29" i="9"/>
  <c r="S21" i="9"/>
  <c r="J2" i="9"/>
  <c r="D2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K21" i="9"/>
  <c r="J21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K10" i="9"/>
  <c r="J10" i="9"/>
  <c r="F25" i="9"/>
  <c r="D25" i="9" s="1"/>
  <c r="F27" i="9"/>
  <c r="E27" i="9" s="1"/>
  <c r="F11" i="9"/>
  <c r="E11" i="9" s="1"/>
  <c r="F14" i="9"/>
  <c r="D14" i="9" s="1"/>
  <c r="F16" i="9"/>
  <c r="D16" i="9" s="1"/>
  <c r="F18" i="9"/>
  <c r="D18" i="9" s="1"/>
  <c r="E14" i="9"/>
  <c r="E18" i="9"/>
  <c r="D11" i="9"/>
  <c r="T29" i="9"/>
  <c r="T11" i="9"/>
  <c r="T12" i="9"/>
  <c r="T13" i="9"/>
  <c r="T14" i="9"/>
  <c r="T15" i="9"/>
  <c r="T16" i="9"/>
  <c r="T17" i="9"/>
  <c r="T18" i="9"/>
  <c r="T10" i="9"/>
  <c r="H6" i="10"/>
  <c r="H7" i="10"/>
  <c r="H8" i="10"/>
  <c r="H9" i="10"/>
  <c r="H10" i="10"/>
  <c r="H11" i="10"/>
  <c r="H12" i="10"/>
  <c r="H13" i="10"/>
  <c r="H14" i="10"/>
  <c r="H15" i="10"/>
  <c r="H16" i="10"/>
  <c r="H5" i="10"/>
  <c r="I15" i="8"/>
  <c r="I16" i="8"/>
  <c r="I17" i="8"/>
  <c r="I18" i="8"/>
  <c r="I19" i="8"/>
  <c r="I14" i="8"/>
  <c r="F21" i="9"/>
  <c r="D21" i="9" s="1"/>
  <c r="C11" i="9"/>
  <c r="C9" i="9"/>
  <c r="F10" i="9" s="1"/>
  <c r="C10" i="9"/>
  <c r="H22" i="9"/>
  <c r="I22" i="9" s="1"/>
  <c r="H23" i="9"/>
  <c r="H24" i="9"/>
  <c r="H25" i="9"/>
  <c r="H26" i="9"/>
  <c r="I26" i="9" s="1"/>
  <c r="H27" i="9"/>
  <c r="H28" i="9"/>
  <c r="I28" i="9" s="1"/>
  <c r="H29" i="9"/>
  <c r="H16" i="9"/>
  <c r="S16" i="9"/>
  <c r="H17" i="9"/>
  <c r="S17" i="9"/>
  <c r="H18" i="9"/>
  <c r="S18" i="9"/>
  <c r="S15" i="9"/>
  <c r="S11" i="9"/>
  <c r="S12" i="9"/>
  <c r="S13" i="9"/>
  <c r="S14" i="9"/>
  <c r="S10" i="9"/>
  <c r="H21" i="9"/>
  <c r="I21" i="9" s="1"/>
  <c r="H11" i="9"/>
  <c r="I11" i="9" s="1"/>
  <c r="H12" i="9"/>
  <c r="I12" i="9" s="1"/>
  <c r="H13" i="9"/>
  <c r="I13" i="9" s="1"/>
  <c r="H14" i="9"/>
  <c r="I14" i="9" s="1"/>
  <c r="H15" i="9"/>
  <c r="I15" i="9" s="1"/>
  <c r="H10" i="9"/>
  <c r="I10" i="9" s="1"/>
  <c r="P247" i="11" l="1"/>
  <c r="AA371" i="11"/>
  <c r="P134" i="11"/>
  <c r="J358" i="11"/>
  <c r="E360" i="11" s="1"/>
  <c r="J245" i="11"/>
  <c r="E247" i="11" s="1"/>
  <c r="N335" i="11"/>
  <c r="Y335" i="11" s="1"/>
  <c r="N292" i="11"/>
  <c r="Y292" i="11" s="1"/>
  <c r="N318" i="11"/>
  <c r="Y318" i="11" s="1"/>
  <c r="E109" i="11"/>
  <c r="N109" i="11" s="1"/>
  <c r="Y109" i="11" s="1"/>
  <c r="N172" i="11"/>
  <c r="Y172" i="11" s="1"/>
  <c r="N411" i="11"/>
  <c r="Y411" i="11" s="1"/>
  <c r="N347" i="11"/>
  <c r="Y347" i="11" s="1"/>
  <c r="N367" i="11"/>
  <c r="Y367" i="11" s="1"/>
  <c r="E76" i="11"/>
  <c r="N76" i="11" s="1"/>
  <c r="Y76" i="11" s="1"/>
  <c r="N188" i="11"/>
  <c r="Y188" i="11" s="1"/>
  <c r="N322" i="11"/>
  <c r="Y322" i="11" s="1"/>
  <c r="N162" i="11"/>
  <c r="Y162" i="11" s="1"/>
  <c r="N212" i="11"/>
  <c r="Y212" i="11" s="1"/>
  <c r="J131" i="11"/>
  <c r="H131" i="11" s="1"/>
  <c r="K131" i="11" s="1"/>
  <c r="N378" i="11"/>
  <c r="Y378" i="11" s="1"/>
  <c r="N207" i="11"/>
  <c r="Y207" i="11" s="1"/>
  <c r="E94" i="11"/>
  <c r="N94" i="11" s="1"/>
  <c r="Y94" i="11" s="1"/>
  <c r="N189" i="11"/>
  <c r="Y189" i="11" s="1"/>
  <c r="N183" i="11"/>
  <c r="Y183" i="11" s="1"/>
  <c r="N272" i="11"/>
  <c r="Y272" i="11" s="1"/>
  <c r="N432" i="11"/>
  <c r="Y432" i="11" s="1"/>
  <c r="N195" i="11"/>
  <c r="V195" i="11" s="1"/>
  <c r="AF195" i="11" s="1"/>
  <c r="N373" i="11"/>
  <c r="Y373" i="11" s="1"/>
  <c r="N327" i="11"/>
  <c r="Y327" i="11" s="1"/>
  <c r="N376" i="11"/>
  <c r="Y376" i="11" s="1"/>
  <c r="N444" i="11"/>
  <c r="Y444" i="11" s="1"/>
  <c r="N225" i="11"/>
  <c r="Y225" i="11" s="1"/>
  <c r="E72" i="11"/>
  <c r="N72" i="11" s="1"/>
  <c r="Y72" i="11" s="1"/>
  <c r="E51" i="11"/>
  <c r="N51" i="11" s="1"/>
  <c r="Y51" i="11" s="1"/>
  <c r="N157" i="11"/>
  <c r="Y157" i="11" s="1"/>
  <c r="N308" i="11"/>
  <c r="Y308" i="11" s="1"/>
  <c r="N155" i="11"/>
  <c r="Y155" i="11" s="1"/>
  <c r="E37" i="11"/>
  <c r="N37" i="11" s="1"/>
  <c r="Y37" i="11" s="1"/>
  <c r="N182" i="11"/>
  <c r="Y182" i="11" s="1"/>
  <c r="N349" i="11"/>
  <c r="Y349" i="11" s="1"/>
  <c r="E117" i="11"/>
  <c r="N117" i="11" s="1"/>
  <c r="Y117" i="11" s="1"/>
  <c r="E39" i="11"/>
  <c r="N39" i="11" s="1"/>
  <c r="Y39" i="11" s="1"/>
  <c r="E34" i="11"/>
  <c r="N34" i="11" s="1"/>
  <c r="Y34" i="11" s="1"/>
  <c r="N196" i="11"/>
  <c r="Y196" i="11" s="1"/>
  <c r="N321" i="11"/>
  <c r="Y321" i="11" s="1"/>
  <c r="N385" i="11"/>
  <c r="Y385" i="11" s="1"/>
  <c r="E33" i="11"/>
  <c r="N33" i="11" s="1"/>
  <c r="Y33" i="11" s="1"/>
  <c r="N202" i="11"/>
  <c r="Y202" i="11" s="1"/>
  <c r="N166" i="11"/>
  <c r="Y166" i="11" s="1"/>
  <c r="N262" i="11"/>
  <c r="Y262" i="11" s="1"/>
  <c r="N270" i="11"/>
  <c r="Y270" i="11" s="1"/>
  <c r="N168" i="11"/>
  <c r="Y168" i="11" s="1"/>
  <c r="N230" i="11"/>
  <c r="Y230" i="11" s="1"/>
  <c r="N439" i="11"/>
  <c r="Y439" i="11" s="1"/>
  <c r="N205" i="11"/>
  <c r="Y205" i="11" s="1"/>
  <c r="E42" i="11"/>
  <c r="N42" i="11" s="1"/>
  <c r="Y42" i="11" s="1"/>
  <c r="N178" i="11"/>
  <c r="Y178" i="11" s="1"/>
  <c r="N222" i="11"/>
  <c r="Y222" i="11" s="1"/>
  <c r="N412" i="11"/>
  <c r="Y412" i="11" s="1"/>
  <c r="N369" i="11"/>
  <c r="Y369" i="11" s="1"/>
  <c r="N297" i="11"/>
  <c r="V297" i="11" s="1"/>
  <c r="AF297" i="11" s="1"/>
  <c r="E87" i="11"/>
  <c r="N87" i="11" s="1"/>
  <c r="Y87" i="11" s="1"/>
  <c r="N218" i="11"/>
  <c r="Y218" i="11" s="1"/>
  <c r="N337" i="11"/>
  <c r="Y337" i="11" s="1"/>
  <c r="N377" i="11"/>
  <c r="Y377" i="11" s="1"/>
  <c r="E116" i="11"/>
  <c r="N116" i="11" s="1"/>
  <c r="Y116" i="11" s="1"/>
  <c r="N307" i="11"/>
  <c r="Y307" i="11" s="1"/>
  <c r="N301" i="11"/>
  <c r="Y301" i="11" s="1"/>
  <c r="N316" i="11"/>
  <c r="Y316" i="11" s="1"/>
  <c r="N393" i="11"/>
  <c r="Y393" i="11" s="1"/>
  <c r="E67" i="11"/>
  <c r="N67" i="11" s="1"/>
  <c r="Y67" i="11" s="1"/>
  <c r="E122" i="11"/>
  <c r="N122" i="11" s="1"/>
  <c r="Y122" i="11" s="1"/>
  <c r="N304" i="11"/>
  <c r="Y304" i="11" s="1"/>
  <c r="E113" i="11"/>
  <c r="N113" i="11" s="1"/>
  <c r="Y113" i="11" s="1"/>
  <c r="N319" i="11"/>
  <c r="Y319" i="11" s="1"/>
  <c r="E97" i="11"/>
  <c r="N97" i="11" s="1"/>
  <c r="Y97" i="11" s="1"/>
  <c r="N259" i="11"/>
  <c r="Y259" i="11" s="1"/>
  <c r="E111" i="11"/>
  <c r="N111" i="11" s="1"/>
  <c r="Y111" i="11" s="1"/>
  <c r="N271" i="11"/>
  <c r="Y271" i="11" s="1"/>
  <c r="N145" i="11"/>
  <c r="Y145" i="11" s="1"/>
  <c r="N258" i="11"/>
  <c r="Y258" i="11" s="1"/>
  <c r="N371" i="11"/>
  <c r="Y371" i="11" s="1"/>
  <c r="N383" i="11"/>
  <c r="Y383" i="11" s="1"/>
  <c r="N173" i="11"/>
  <c r="Y173" i="11" s="1"/>
  <c r="N192" i="11"/>
  <c r="Y192" i="11" s="1"/>
  <c r="N234" i="11"/>
  <c r="Y234" i="11" s="1"/>
  <c r="N159" i="11"/>
  <c r="V159" i="11" s="1"/>
  <c r="AF159" i="11" s="1"/>
  <c r="N326" i="11"/>
  <c r="Y326" i="11" s="1"/>
  <c r="N380" i="11"/>
  <c r="Y380" i="11" s="1"/>
  <c r="N144" i="11"/>
  <c r="Y144" i="11" s="1"/>
  <c r="N169" i="11"/>
  <c r="Y169" i="11" s="1"/>
  <c r="N224" i="11"/>
  <c r="Y224" i="11" s="1"/>
  <c r="E41" i="11"/>
  <c r="N41" i="11" s="1"/>
  <c r="Y41" i="11" s="1"/>
  <c r="N313" i="11"/>
  <c r="Y313" i="11" s="1"/>
  <c r="N447" i="11"/>
  <c r="Y447" i="11" s="1"/>
  <c r="N216" i="11"/>
  <c r="Y216" i="11" s="1"/>
  <c r="N257" i="11"/>
  <c r="Y257" i="11" s="1"/>
  <c r="N160" i="11"/>
  <c r="Y160" i="11" s="1"/>
  <c r="N401" i="11"/>
  <c r="Y401" i="11" s="1"/>
  <c r="N294" i="11"/>
  <c r="Y294" i="11" s="1"/>
  <c r="N255" i="11"/>
  <c r="Y255" i="11" s="1"/>
  <c r="N417" i="11"/>
  <c r="Y417" i="11" s="1"/>
  <c r="N281" i="11"/>
  <c r="Y281" i="11" s="1"/>
  <c r="N226" i="11"/>
  <c r="Y226" i="11" s="1"/>
  <c r="N435" i="11"/>
  <c r="Y435" i="11" s="1"/>
  <c r="E29" i="11"/>
  <c r="N29" i="11" s="1"/>
  <c r="Y29" i="11" s="1"/>
  <c r="N288" i="11"/>
  <c r="V288" i="11" s="1"/>
  <c r="AF288" i="11" s="1"/>
  <c r="N204" i="11"/>
  <c r="V204" i="11" s="1"/>
  <c r="AF204" i="11" s="1"/>
  <c r="E115" i="11"/>
  <c r="N115" i="11" s="1"/>
  <c r="Y115" i="11" s="1"/>
  <c r="N260" i="11"/>
  <c r="Y260" i="11" s="1"/>
  <c r="N389" i="11"/>
  <c r="Y389" i="11" s="1"/>
  <c r="E49" i="11"/>
  <c r="N49" i="11" s="1"/>
  <c r="Y49" i="11" s="1"/>
  <c r="E70" i="11"/>
  <c r="N70" i="11" s="1"/>
  <c r="Y70" i="11" s="1"/>
  <c r="N139" i="11"/>
  <c r="Y139" i="11" s="1"/>
  <c r="N413" i="11"/>
  <c r="Y413" i="11" s="1"/>
  <c r="N395" i="11"/>
  <c r="Y395" i="11" s="1"/>
  <c r="E71" i="11"/>
  <c r="N71" i="11" s="1"/>
  <c r="Y71" i="11" s="1"/>
  <c r="N457" i="11"/>
  <c r="Y457" i="11" s="1"/>
  <c r="N232" i="11"/>
  <c r="Y232" i="11" s="1"/>
  <c r="E66" i="11"/>
  <c r="N66" i="11" s="1"/>
  <c r="Y66" i="11" s="1"/>
  <c r="N228" i="11"/>
  <c r="Y228" i="11" s="1"/>
  <c r="E79" i="11"/>
  <c r="N79" i="11" s="1"/>
  <c r="Y79" i="11" s="1"/>
  <c r="N275" i="11"/>
  <c r="Y275" i="11" s="1"/>
  <c r="N424" i="11"/>
  <c r="Y424" i="11" s="1"/>
  <c r="N374" i="11"/>
  <c r="Y374" i="11" s="1"/>
  <c r="N161" i="11"/>
  <c r="Y161" i="11" s="1"/>
  <c r="N253" i="11"/>
  <c r="Y253" i="11" s="1"/>
  <c r="N422" i="11"/>
  <c r="Y422" i="11" s="1"/>
  <c r="N142" i="11"/>
  <c r="Y142" i="11" s="1"/>
  <c r="N198" i="11"/>
  <c r="Y198" i="11" s="1"/>
  <c r="N454" i="11"/>
  <c r="Y454" i="11" s="1"/>
  <c r="E123" i="11"/>
  <c r="N123" i="11" s="1"/>
  <c r="Y123" i="11" s="1"/>
  <c r="N193" i="11"/>
  <c r="Y193" i="11" s="1"/>
  <c r="E36" i="11"/>
  <c r="N36" i="11" s="1"/>
  <c r="Y36" i="11" s="1"/>
  <c r="N363" i="11"/>
  <c r="Y363" i="11" s="1"/>
  <c r="N143" i="11"/>
  <c r="Y143" i="11" s="1"/>
  <c r="N421" i="11"/>
  <c r="Y421" i="11" s="1"/>
  <c r="N252" i="11"/>
  <c r="Y252" i="11" s="1"/>
  <c r="E103" i="11"/>
  <c r="N103" i="11" s="1"/>
  <c r="Y103" i="11" s="1"/>
  <c r="N339" i="11"/>
  <c r="Y339" i="11" s="1"/>
  <c r="N187" i="11"/>
  <c r="V187" i="11" s="1"/>
  <c r="AF187" i="11" s="1"/>
  <c r="N179" i="11"/>
  <c r="V179" i="11" s="1"/>
  <c r="AF179" i="11" s="1"/>
  <c r="N215" i="11"/>
  <c r="Y215" i="11" s="1"/>
  <c r="E57" i="11"/>
  <c r="N57" i="11" s="1"/>
  <c r="Y57" i="11" s="1"/>
  <c r="N458" i="11"/>
  <c r="Y458" i="11" s="1"/>
  <c r="E69" i="11"/>
  <c r="N69" i="11" s="1"/>
  <c r="Y69" i="11" s="1"/>
  <c r="N311" i="11"/>
  <c r="Y311" i="11" s="1"/>
  <c r="E81" i="11"/>
  <c r="N81" i="11" s="1"/>
  <c r="Y81" i="11" s="1"/>
  <c r="N436" i="11"/>
  <c r="Y436" i="11" s="1"/>
  <c r="E118" i="11"/>
  <c r="N118" i="11" s="1"/>
  <c r="Y118" i="11" s="1"/>
  <c r="N425" i="11"/>
  <c r="Y425" i="11" s="1"/>
  <c r="N152" i="11"/>
  <c r="Y152" i="11" s="1"/>
  <c r="N229" i="11"/>
  <c r="Y229" i="11" s="1"/>
  <c r="N180" i="11"/>
  <c r="Y180" i="11" s="1"/>
  <c r="N236" i="11"/>
  <c r="Y236" i="11" s="1"/>
  <c r="N265" i="11"/>
  <c r="Y265" i="11" s="1"/>
  <c r="N184" i="11"/>
  <c r="V184" i="11" s="1"/>
  <c r="AF184" i="11" s="1"/>
  <c r="N279" i="11"/>
  <c r="Y279" i="11" s="1"/>
  <c r="N209" i="11"/>
  <c r="V209" i="11" s="1"/>
  <c r="AF209" i="11" s="1"/>
  <c r="E82" i="11"/>
  <c r="N82" i="11" s="1"/>
  <c r="Y82" i="11" s="1"/>
  <c r="N149" i="11"/>
  <c r="Y149" i="11" s="1"/>
  <c r="E43" i="11"/>
  <c r="N43" i="11" s="1"/>
  <c r="Y43" i="11" s="1"/>
  <c r="E63" i="11"/>
  <c r="N63" i="11" s="1"/>
  <c r="Y63" i="11" s="1"/>
  <c r="E83" i="11"/>
  <c r="N83" i="11" s="1"/>
  <c r="Y83" i="11" s="1"/>
  <c r="E105" i="11"/>
  <c r="N105" i="11" s="1"/>
  <c r="Y105" i="11" s="1"/>
  <c r="N171" i="11"/>
  <c r="Y171" i="11" s="1"/>
  <c r="N387" i="11"/>
  <c r="Y387" i="11" s="1"/>
  <c r="E93" i="11"/>
  <c r="N93" i="11" s="1"/>
  <c r="Y93" i="11" s="1"/>
  <c r="E38" i="11"/>
  <c r="N38" i="11" s="1"/>
  <c r="Y38" i="11" s="1"/>
  <c r="E88" i="11"/>
  <c r="N88" i="11" s="1"/>
  <c r="Y88" i="11" s="1"/>
  <c r="N368" i="11"/>
  <c r="Y368" i="11" s="1"/>
  <c r="N336" i="11"/>
  <c r="Y336" i="11" s="1"/>
  <c r="N206" i="11"/>
  <c r="Y206" i="11" s="1"/>
  <c r="N190" i="11"/>
  <c r="Y190" i="11" s="1"/>
  <c r="E106" i="11"/>
  <c r="N106" i="11" s="1"/>
  <c r="Y106" i="11" s="1"/>
  <c r="N299" i="11"/>
  <c r="Y299" i="11" s="1"/>
  <c r="E27" i="11"/>
  <c r="N27" i="11" s="1"/>
  <c r="Y27" i="11" s="1"/>
  <c r="N455" i="11"/>
  <c r="Y455" i="11" s="1"/>
  <c r="N231" i="11"/>
  <c r="Y231" i="11" s="1"/>
  <c r="N285" i="11"/>
  <c r="Y285" i="11" s="1"/>
  <c r="N451" i="11"/>
  <c r="Y451" i="11" s="1"/>
  <c r="E62" i="11"/>
  <c r="N62" i="11" s="1"/>
  <c r="Y62" i="11" s="1"/>
  <c r="E100" i="11"/>
  <c r="N100" i="11" s="1"/>
  <c r="Y100" i="11" s="1"/>
  <c r="N217" i="11"/>
  <c r="Y217" i="11" s="1"/>
  <c r="N340" i="11"/>
  <c r="Y340" i="11" s="1"/>
  <c r="N197" i="11"/>
  <c r="Y197" i="11" s="1"/>
  <c r="N287" i="11"/>
  <c r="Y287" i="11" s="1"/>
  <c r="N433" i="11"/>
  <c r="Y433" i="11" s="1"/>
  <c r="E65" i="11"/>
  <c r="N65" i="11" s="1"/>
  <c r="Y65" i="11" s="1"/>
  <c r="N449" i="11"/>
  <c r="Y449" i="11" s="1"/>
  <c r="N452" i="11"/>
  <c r="Y452" i="11" s="1"/>
  <c r="N273" i="11"/>
  <c r="Y273" i="11" s="1"/>
  <c r="E47" i="11"/>
  <c r="N47" i="11" s="1"/>
  <c r="Y47" i="11" s="1"/>
  <c r="N445" i="11"/>
  <c r="Y445" i="11" s="1"/>
  <c r="N221" i="11"/>
  <c r="Y221" i="11" s="1"/>
  <c r="N269" i="11"/>
  <c r="Y269" i="11" s="1"/>
  <c r="N431" i="11"/>
  <c r="Y431" i="11" s="1"/>
  <c r="E112" i="11"/>
  <c r="N112" i="11" s="1"/>
  <c r="Y112" i="11" s="1"/>
  <c r="E120" i="11"/>
  <c r="N120" i="11" s="1"/>
  <c r="Y120" i="11" s="1"/>
  <c r="N201" i="11"/>
  <c r="Y201" i="11" s="1"/>
  <c r="N330" i="11"/>
  <c r="Y330" i="11" s="1"/>
  <c r="N194" i="11"/>
  <c r="Y194" i="11" s="1"/>
  <c r="N274" i="11"/>
  <c r="Y274" i="11" s="1"/>
  <c r="N397" i="11"/>
  <c r="Y397" i="11" s="1"/>
  <c r="E98" i="11"/>
  <c r="N98" i="11" s="1"/>
  <c r="Y98" i="11" s="1"/>
  <c r="N170" i="11"/>
  <c r="Y170" i="11" s="1"/>
  <c r="N348" i="11"/>
  <c r="Y348" i="11" s="1"/>
  <c r="N461" i="11"/>
  <c r="Y461" i="11" s="1"/>
  <c r="N156" i="11"/>
  <c r="Y156" i="11" s="1"/>
  <c r="N214" i="11"/>
  <c r="Y214" i="11" s="1"/>
  <c r="N381" i="11"/>
  <c r="Y381" i="11" s="1"/>
  <c r="N267" i="11"/>
  <c r="Y267" i="11" s="1"/>
  <c r="N167" i="11"/>
  <c r="V167" i="11" s="1"/>
  <c r="AF167" i="11" s="1"/>
  <c r="N429" i="11"/>
  <c r="Y429" i="11" s="1"/>
  <c r="N396" i="11"/>
  <c r="Y396" i="11" s="1"/>
  <c r="N338" i="11"/>
  <c r="Y338" i="11" s="1"/>
  <c r="N438" i="11"/>
  <c r="Y438" i="11" s="1"/>
  <c r="N428" i="11"/>
  <c r="Y428" i="11" s="1"/>
  <c r="E119" i="11"/>
  <c r="N119" i="11" s="1"/>
  <c r="Y119" i="11" s="1"/>
  <c r="E90" i="11"/>
  <c r="N90" i="11" s="1"/>
  <c r="Y90" i="11" s="1"/>
  <c r="N185" i="11"/>
  <c r="Y185" i="11" s="1"/>
  <c r="N388" i="11"/>
  <c r="Y388" i="11" s="1"/>
  <c r="N333" i="11"/>
  <c r="Y333" i="11" s="1"/>
  <c r="N460" i="11"/>
  <c r="Y460" i="11" s="1"/>
  <c r="N203" i="11"/>
  <c r="Y203" i="11" s="1"/>
  <c r="E74" i="11"/>
  <c r="N74" i="11" s="1"/>
  <c r="Y74" i="11" s="1"/>
  <c r="N148" i="11"/>
  <c r="Y148" i="11" s="1"/>
  <c r="N305" i="11"/>
  <c r="Y305" i="11" s="1"/>
  <c r="E52" i="11"/>
  <c r="N52" i="11" s="1"/>
  <c r="Y52" i="11" s="1"/>
  <c r="N154" i="11"/>
  <c r="Y154" i="11" s="1"/>
  <c r="N419" i="11"/>
  <c r="Y419" i="11" s="1"/>
  <c r="N386" i="11"/>
  <c r="Y386" i="11" s="1"/>
  <c r="N328" i="11"/>
  <c r="V328" i="11" s="1"/>
  <c r="AF328" i="11" s="1"/>
  <c r="N402" i="11"/>
  <c r="Y402" i="11" s="1"/>
  <c r="N418" i="11"/>
  <c r="Y418" i="11" s="1"/>
  <c r="E91" i="11"/>
  <c r="N91" i="11" s="1"/>
  <c r="Y91" i="11" s="1"/>
  <c r="E110" i="11"/>
  <c r="N110" i="11" s="1"/>
  <c r="Y110" i="11" s="1"/>
  <c r="N146" i="11"/>
  <c r="Y146" i="11" s="1"/>
  <c r="N375" i="11"/>
  <c r="Y375" i="11" s="1"/>
  <c r="N268" i="11"/>
  <c r="Y268" i="11" s="1"/>
  <c r="N450" i="11"/>
  <c r="Y450" i="11" s="1"/>
  <c r="N164" i="11"/>
  <c r="Y164" i="11" s="1"/>
  <c r="E104" i="11"/>
  <c r="N104" i="11" s="1"/>
  <c r="Y104" i="11" s="1"/>
  <c r="N138" i="11"/>
  <c r="Y138" i="11" s="1"/>
  <c r="E78" i="11"/>
  <c r="N78" i="11" s="1"/>
  <c r="Y78" i="11" s="1"/>
  <c r="E26" i="11"/>
  <c r="N26" i="11" s="1"/>
  <c r="Y26" i="11" s="1"/>
  <c r="N409" i="11"/>
  <c r="Y409" i="11" s="1"/>
  <c r="N370" i="11"/>
  <c r="Y370" i="11" s="1"/>
  <c r="N312" i="11"/>
  <c r="Y312" i="11" s="1"/>
  <c r="N392" i="11"/>
  <c r="Y392" i="11" s="1"/>
  <c r="N408" i="11"/>
  <c r="Y408" i="11" s="1"/>
  <c r="N437" i="11"/>
  <c r="Y437" i="11" s="1"/>
  <c r="E101" i="11"/>
  <c r="N101" i="11" s="1"/>
  <c r="Y101" i="11" s="1"/>
  <c r="E30" i="11"/>
  <c r="N30" i="11" s="1"/>
  <c r="Y30" i="11" s="1"/>
  <c r="N324" i="11"/>
  <c r="Y324" i="11" s="1"/>
  <c r="N210" i="11"/>
  <c r="Y210" i="11" s="1"/>
  <c r="N440" i="11"/>
  <c r="Y440" i="11" s="1"/>
  <c r="N430" i="11"/>
  <c r="Y430" i="11" s="1"/>
  <c r="E114" i="11"/>
  <c r="N114" i="11" s="1"/>
  <c r="Y114" i="11" s="1"/>
  <c r="E54" i="11"/>
  <c r="N54" i="11" s="1"/>
  <c r="Y54" i="11" s="1"/>
  <c r="N283" i="11"/>
  <c r="Y283" i="11" s="1"/>
  <c r="E46" i="11"/>
  <c r="N46" i="11" s="1"/>
  <c r="Y46" i="11" s="1"/>
  <c r="N406" i="11"/>
  <c r="Y406" i="11" s="1"/>
  <c r="N235" i="11"/>
  <c r="V235" i="11" s="1"/>
  <c r="AF235" i="11" s="1"/>
  <c r="N302" i="11"/>
  <c r="Y302" i="11" s="1"/>
  <c r="N382" i="11"/>
  <c r="Y382" i="11" s="1"/>
  <c r="N405" i="11"/>
  <c r="Y405" i="11" s="1"/>
  <c r="N427" i="11"/>
  <c r="Y427" i="11" s="1"/>
  <c r="E121" i="11"/>
  <c r="N121" i="11" s="1"/>
  <c r="Y121" i="11" s="1"/>
  <c r="E40" i="11"/>
  <c r="N40" i="11" s="1"/>
  <c r="Y40" i="11" s="1"/>
  <c r="N314" i="11"/>
  <c r="Y314" i="11" s="1"/>
  <c r="E32" i="11"/>
  <c r="N32" i="11" s="1"/>
  <c r="Y32" i="11" s="1"/>
  <c r="N394" i="11"/>
  <c r="Y394" i="11" s="1"/>
  <c r="N410" i="11"/>
  <c r="Y410" i="11" s="1"/>
  <c r="N446" i="11"/>
  <c r="Y446" i="11" s="1"/>
  <c r="N456" i="11"/>
  <c r="Y456" i="11" s="1"/>
  <c r="N150" i="11"/>
  <c r="Y150" i="11" s="1"/>
  <c r="N137" i="11"/>
  <c r="Y137" i="11" s="1"/>
  <c r="N448" i="11"/>
  <c r="Y448" i="11" s="1"/>
  <c r="E99" i="11"/>
  <c r="N99" i="11" s="1"/>
  <c r="Y99" i="11" s="1"/>
  <c r="N434" i="11"/>
  <c r="V434" i="11" s="1"/>
  <c r="AF434" i="11" s="1"/>
  <c r="N303" i="11"/>
  <c r="Y303" i="11" s="1"/>
  <c r="E56" i="11"/>
  <c r="N56" i="11" s="1"/>
  <c r="Y56" i="11" s="1"/>
  <c r="N345" i="11"/>
  <c r="Y345" i="11" s="1"/>
  <c r="N199" i="11"/>
  <c r="Y199" i="11" s="1"/>
  <c r="N289" i="11"/>
  <c r="Y289" i="11" s="1"/>
  <c r="N379" i="11"/>
  <c r="Y379" i="11" s="1"/>
  <c r="N334" i="11"/>
  <c r="Y334" i="11" s="1"/>
  <c r="N181" i="11"/>
  <c r="Y181" i="11" s="1"/>
  <c r="N317" i="11"/>
  <c r="Y317" i="11" s="1"/>
  <c r="E60" i="11"/>
  <c r="N60" i="11" s="1"/>
  <c r="Y60" i="11" s="1"/>
  <c r="N291" i="11"/>
  <c r="Y291" i="11" s="1"/>
  <c r="E102" i="11"/>
  <c r="N102" i="11" s="1"/>
  <c r="Y102" i="11" s="1"/>
  <c r="N384" i="11"/>
  <c r="Y384" i="11" s="1"/>
  <c r="N346" i="11"/>
  <c r="Y346" i="11" s="1"/>
  <c r="N390" i="11"/>
  <c r="Y390" i="11" s="1"/>
  <c r="N293" i="11"/>
  <c r="E58" i="11"/>
  <c r="N58" i="11" s="1"/>
  <c r="Y58" i="11" s="1"/>
  <c r="E86" i="11"/>
  <c r="N86" i="11" s="1"/>
  <c r="Y86" i="11" s="1"/>
  <c r="N309" i="11"/>
  <c r="Y309" i="11" s="1"/>
  <c r="N176" i="11"/>
  <c r="V176" i="11" s="1"/>
  <c r="AF176" i="11" s="1"/>
  <c r="N186" i="11"/>
  <c r="Y186" i="11" s="1"/>
  <c r="N256" i="11"/>
  <c r="V256" i="11" s="1"/>
  <c r="AF256" i="11" s="1"/>
  <c r="N298" i="11"/>
  <c r="Y298" i="11" s="1"/>
  <c r="E92" i="11"/>
  <c r="N92" i="11" s="1"/>
  <c r="Y92" i="11" s="1"/>
  <c r="N284" i="11"/>
  <c r="Y284" i="11" s="1"/>
  <c r="E80" i="11"/>
  <c r="N80" i="11" s="1"/>
  <c r="Y80" i="11" s="1"/>
  <c r="N227" i="11"/>
  <c r="V227" i="11" s="1"/>
  <c r="AF227" i="11" s="1"/>
  <c r="N414" i="11"/>
  <c r="Y414" i="11" s="1"/>
  <c r="N233" i="11"/>
  <c r="Y233" i="11" s="1"/>
  <c r="N310" i="11"/>
  <c r="Y310" i="11" s="1"/>
  <c r="N426" i="11"/>
  <c r="Y426" i="11" s="1"/>
  <c r="E48" i="11"/>
  <c r="K19" i="11"/>
  <c r="F21" i="11" s="1"/>
  <c r="O385" i="11" s="1"/>
  <c r="Z385" i="11" s="1"/>
  <c r="N443" i="11"/>
  <c r="Y443" i="11" s="1"/>
  <c r="N416" i="11"/>
  <c r="Y416" i="11" s="1"/>
  <c r="N141" i="11"/>
  <c r="Y141" i="11" s="1"/>
  <c r="E108" i="11"/>
  <c r="N108" i="11" s="1"/>
  <c r="Y108" i="11" s="1"/>
  <c r="N208" i="11"/>
  <c r="Y208" i="11" s="1"/>
  <c r="N296" i="11"/>
  <c r="Y296" i="11" s="1"/>
  <c r="N341" i="11"/>
  <c r="Y341" i="11" s="1"/>
  <c r="N403" i="11"/>
  <c r="Y403" i="11" s="1"/>
  <c r="N442" i="11"/>
  <c r="Y442" i="11" s="1"/>
  <c r="N286" i="11"/>
  <c r="Y286" i="11" s="1"/>
  <c r="N147" i="11"/>
  <c r="V147" i="11" s="1"/>
  <c r="AF147" i="11" s="1"/>
  <c r="N263" i="11"/>
  <c r="Y263" i="11" s="1"/>
  <c r="N366" i="11"/>
  <c r="Y366" i="11" s="1"/>
  <c r="N344" i="11"/>
  <c r="Y344" i="11" s="1"/>
  <c r="N391" i="11"/>
  <c r="Y391" i="11" s="1"/>
  <c r="E61" i="11"/>
  <c r="N175" i="11"/>
  <c r="Y175" i="11" s="1"/>
  <c r="N398" i="11"/>
  <c r="Y398" i="11" s="1"/>
  <c r="N404" i="11"/>
  <c r="Y404" i="11" s="1"/>
  <c r="N191" i="11"/>
  <c r="Y191" i="11" s="1"/>
  <c r="N400" i="11"/>
  <c r="Y400" i="11" s="1"/>
  <c r="E73" i="11"/>
  <c r="N73" i="11" s="1"/>
  <c r="Y73" i="11" s="1"/>
  <c r="L57" i="9" s="1"/>
  <c r="N251" i="11"/>
  <c r="Y251" i="11" s="1"/>
  <c r="E35" i="11"/>
  <c r="N35" i="11" s="1"/>
  <c r="Y35" i="11" s="1"/>
  <c r="N320" i="11"/>
  <c r="Y320" i="11" s="1"/>
  <c r="N420" i="11"/>
  <c r="Y420" i="11" s="1"/>
  <c r="N264" i="11"/>
  <c r="Y264" i="11" s="1"/>
  <c r="N200" i="11"/>
  <c r="Y200" i="11" s="1"/>
  <c r="E68" i="11"/>
  <c r="N68" i="11" s="1"/>
  <c r="Y68" i="11" s="1"/>
  <c r="N282" i="11"/>
  <c r="Y282" i="11" s="1"/>
  <c r="N278" i="11"/>
  <c r="Y278" i="11" s="1"/>
  <c r="N223" i="11"/>
  <c r="Y223" i="11" s="1"/>
  <c r="N407" i="11"/>
  <c r="Y407" i="11" s="1"/>
  <c r="E84" i="11"/>
  <c r="N84" i="11" s="1"/>
  <c r="Y84" i="11" s="1"/>
  <c r="N158" i="11"/>
  <c r="Y158" i="11" s="1"/>
  <c r="N331" i="11"/>
  <c r="Y331" i="11" s="1"/>
  <c r="E64" i="11"/>
  <c r="N64" i="11" s="1"/>
  <c r="Y64" i="11" s="1"/>
  <c r="N261" i="11"/>
  <c r="Y261" i="11" s="1"/>
  <c r="N280" i="11"/>
  <c r="Y280" i="11" s="1"/>
  <c r="N329" i="11"/>
  <c r="Y329" i="11" s="1"/>
  <c r="N342" i="11"/>
  <c r="Y342" i="11" s="1"/>
  <c r="E25" i="11"/>
  <c r="N25" i="11" s="1"/>
  <c r="Y25" i="11" s="1"/>
  <c r="N213" i="11"/>
  <c r="Y213" i="11" s="1"/>
  <c r="N151" i="11"/>
  <c r="V151" i="11" s="1"/>
  <c r="AF151" i="11" s="1"/>
  <c r="N177" i="11"/>
  <c r="Y177" i="11" s="1"/>
  <c r="N295" i="11"/>
  <c r="Y295" i="11" s="1"/>
  <c r="V77" i="11"/>
  <c r="AF77" i="11" s="1"/>
  <c r="E75" i="11"/>
  <c r="N75" i="11" s="1"/>
  <c r="Y75" i="11" s="1"/>
  <c r="N364" i="11"/>
  <c r="Y364" i="11" s="1"/>
  <c r="N174" i="11"/>
  <c r="Y174" i="11" s="1"/>
  <c r="N219" i="11"/>
  <c r="Y219" i="11" s="1"/>
  <c r="N423" i="11"/>
  <c r="Y423" i="11" s="1"/>
  <c r="N140" i="11"/>
  <c r="Y140" i="11" s="1"/>
  <c r="N306" i="11"/>
  <c r="Y306" i="11" s="1"/>
  <c r="V107" i="11"/>
  <c r="AF107" i="11" s="1"/>
  <c r="E53" i="11"/>
  <c r="N53" i="11" s="1"/>
  <c r="Y53" i="11" s="1"/>
  <c r="N453" i="11"/>
  <c r="Y453" i="11" s="1"/>
  <c r="E85" i="11"/>
  <c r="N85" i="11" s="1"/>
  <c r="Y85" i="11" s="1"/>
  <c r="E45" i="11"/>
  <c r="N45" i="11" s="1"/>
  <c r="Y45" i="11" s="1"/>
  <c r="V292" i="11"/>
  <c r="AF292" i="11" s="1"/>
  <c r="N24" i="11"/>
  <c r="Y24" i="11" s="1"/>
  <c r="E96" i="11"/>
  <c r="N96" i="11" s="1"/>
  <c r="Y96" i="11" s="1"/>
  <c r="N325" i="11"/>
  <c r="Y325" i="11" s="1"/>
  <c r="N153" i="11"/>
  <c r="Y153" i="11" s="1"/>
  <c r="N220" i="11"/>
  <c r="Y220" i="11" s="1"/>
  <c r="E50" i="11"/>
  <c r="N365" i="11"/>
  <c r="Y365" i="11" s="1"/>
  <c r="E44" i="11"/>
  <c r="N44" i="11" s="1"/>
  <c r="Y44" i="11" s="1"/>
  <c r="N254" i="11"/>
  <c r="Y254" i="11" s="1"/>
  <c r="E95" i="11"/>
  <c r="H19" i="11"/>
  <c r="E55" i="11"/>
  <c r="E28" i="11"/>
  <c r="V165" i="11"/>
  <c r="AF165" i="11" s="1"/>
  <c r="V399" i="11"/>
  <c r="AF399" i="11" s="1"/>
  <c r="V315" i="11"/>
  <c r="AF315" i="11" s="1"/>
  <c r="V89" i="11"/>
  <c r="AF89" i="11" s="1"/>
  <c r="V31" i="11"/>
  <c r="AF31" i="11" s="1"/>
  <c r="V276" i="11"/>
  <c r="AF276" i="11" s="1"/>
  <c r="V335" i="11"/>
  <c r="AF335" i="11" s="1"/>
  <c r="V59" i="11"/>
  <c r="AF59" i="11" s="1"/>
  <c r="H130" i="11"/>
  <c r="K130" i="11" s="1"/>
  <c r="H129" i="11"/>
  <c r="K129" i="11" s="1"/>
  <c r="H127" i="11"/>
  <c r="V250" i="11"/>
  <c r="AF250" i="11" s="1"/>
  <c r="Y250" i="11"/>
  <c r="V459" i="11"/>
  <c r="AF459" i="11" s="1"/>
  <c r="N56" i="9"/>
  <c r="N60" i="9"/>
  <c r="N57" i="9"/>
  <c r="N61" i="9"/>
  <c r="N53" i="9"/>
  <c r="N54" i="9"/>
  <c r="N58" i="9"/>
  <c r="N55" i="9"/>
  <c r="N59" i="9"/>
  <c r="F29" i="9"/>
  <c r="E29" i="9" s="1"/>
  <c r="Q65" i="2"/>
  <c r="S65" i="2" s="1"/>
  <c r="Q62" i="2"/>
  <c r="S62" i="2" s="1"/>
  <c r="Q61" i="2"/>
  <c r="S61" i="2" s="1"/>
  <c r="Q63" i="2"/>
  <c r="S63" i="2" s="1"/>
  <c r="F50" i="9"/>
  <c r="E50" i="9" s="1"/>
  <c r="W42" i="9"/>
  <c r="Q42" i="9"/>
  <c r="P42" i="9"/>
  <c r="F49" i="9"/>
  <c r="F44" i="9"/>
  <c r="E46" i="9"/>
  <c r="U44" i="9"/>
  <c r="X48" i="9"/>
  <c r="F48" i="9"/>
  <c r="E48" i="9" s="1"/>
  <c r="U46" i="9"/>
  <c r="F45" i="9"/>
  <c r="N42" i="9"/>
  <c r="D50" i="9"/>
  <c r="F47" i="9"/>
  <c r="U49" i="9"/>
  <c r="F43" i="9"/>
  <c r="E42" i="9"/>
  <c r="D42" i="9"/>
  <c r="W46" i="9"/>
  <c r="X46" i="9"/>
  <c r="V46" i="9"/>
  <c r="X44" i="9"/>
  <c r="W44" i="9"/>
  <c r="X42" i="9"/>
  <c r="V47" i="9"/>
  <c r="X47" i="9"/>
  <c r="W45" i="9"/>
  <c r="V42" i="9"/>
  <c r="V45" i="9"/>
  <c r="X45" i="9"/>
  <c r="W47" i="9"/>
  <c r="V44" i="9"/>
  <c r="V48" i="9"/>
  <c r="W48" i="9"/>
  <c r="Q46" i="9"/>
  <c r="Q49" i="9"/>
  <c r="O44" i="9"/>
  <c r="O49" i="9"/>
  <c r="O46" i="9"/>
  <c r="Q44" i="9"/>
  <c r="I53" i="9"/>
  <c r="W49" i="9"/>
  <c r="D55" i="9"/>
  <c r="D56" i="9"/>
  <c r="D57" i="9"/>
  <c r="D58" i="9"/>
  <c r="D59" i="9"/>
  <c r="D60" i="9"/>
  <c r="D61" i="9"/>
  <c r="X49" i="9"/>
  <c r="I43" i="9"/>
  <c r="N44" i="9"/>
  <c r="M44" i="9" s="1"/>
  <c r="N46" i="9"/>
  <c r="M46" i="9" s="1"/>
  <c r="N49" i="9"/>
  <c r="M49" i="9" s="1"/>
  <c r="V49" i="9"/>
  <c r="D53" i="9"/>
  <c r="F15" i="9"/>
  <c r="F12" i="9"/>
  <c r="E16" i="9"/>
  <c r="F17" i="9"/>
  <c r="F13" i="9"/>
  <c r="E22" i="9"/>
  <c r="E21" i="9"/>
  <c r="E25" i="9"/>
  <c r="F28" i="9"/>
  <c r="F26" i="9"/>
  <c r="D29" i="9"/>
  <c r="D27" i="9"/>
  <c r="U25" i="9"/>
  <c r="W24" i="9"/>
  <c r="U18" i="9"/>
  <c r="X16" i="9"/>
  <c r="F24" i="9"/>
  <c r="F23" i="9"/>
  <c r="D10" i="9"/>
  <c r="E10" i="9"/>
  <c r="I25" i="9"/>
  <c r="U16" i="9"/>
  <c r="I27" i="9"/>
  <c r="W15" i="9"/>
  <c r="W14" i="9"/>
  <c r="I16" i="9"/>
  <c r="I29" i="9"/>
  <c r="V14" i="9"/>
  <c r="W16" i="9"/>
  <c r="V16" i="9"/>
  <c r="V15" i="9"/>
  <c r="X14" i="9"/>
  <c r="X18" i="9"/>
  <c r="I18" i="9"/>
  <c r="W18" i="9"/>
  <c r="X25" i="9"/>
  <c r="V18" i="9"/>
  <c r="W25" i="9"/>
  <c r="V25" i="9"/>
  <c r="I23" i="9"/>
  <c r="V24" i="9"/>
  <c r="X15" i="9"/>
  <c r="V26" i="9"/>
  <c r="X27" i="9"/>
  <c r="V27" i="9"/>
  <c r="X24" i="9"/>
  <c r="X26" i="9"/>
  <c r="I24" i="9"/>
  <c r="W26" i="9"/>
  <c r="W27" i="9"/>
  <c r="I17" i="9"/>
  <c r="X13" i="9"/>
  <c r="W13" i="9"/>
  <c r="U14" i="9"/>
  <c r="V13" i="9"/>
  <c r="X11" i="9"/>
  <c r="V11" i="9"/>
  <c r="U11" i="9"/>
  <c r="W11" i="9"/>
  <c r="E6" i="10"/>
  <c r="F6" i="10" s="1"/>
  <c r="E7" i="10"/>
  <c r="F7" i="10" s="1"/>
  <c r="E8" i="10"/>
  <c r="E9" i="10"/>
  <c r="E10" i="10"/>
  <c r="E11" i="10"/>
  <c r="E12" i="10"/>
  <c r="E13" i="10"/>
  <c r="E14" i="10"/>
  <c r="E15" i="10"/>
  <c r="E16" i="10"/>
  <c r="E5" i="10"/>
  <c r="F29" i="8"/>
  <c r="E29" i="8"/>
  <c r="E28" i="8"/>
  <c r="E27" i="8"/>
  <c r="E24" i="8"/>
  <c r="E26" i="8"/>
  <c r="E25" i="8"/>
  <c r="F7" i="4"/>
  <c r="F6" i="4"/>
  <c r="F5" i="4"/>
  <c r="E7" i="4"/>
  <c r="E6" i="4"/>
  <c r="E5" i="4"/>
  <c r="V225" i="11" l="1"/>
  <c r="AF225" i="11" s="1"/>
  <c r="V411" i="11"/>
  <c r="AF411" i="11" s="1"/>
  <c r="V378" i="11"/>
  <c r="AF378" i="11" s="1"/>
  <c r="V76" i="11"/>
  <c r="AF76" i="11" s="1"/>
  <c r="V322" i="11"/>
  <c r="AF322" i="11" s="1"/>
  <c r="V162" i="11"/>
  <c r="AF162" i="11" s="1"/>
  <c r="V212" i="11"/>
  <c r="AF212" i="11" s="1"/>
  <c r="V172" i="11"/>
  <c r="AF172" i="11" s="1"/>
  <c r="V422" i="11"/>
  <c r="AF422" i="11" s="1"/>
  <c r="V318" i="11"/>
  <c r="AF318" i="11" s="1"/>
  <c r="V111" i="11"/>
  <c r="AF111" i="11" s="1"/>
  <c r="V367" i="11"/>
  <c r="AF367" i="11" s="1"/>
  <c r="V347" i="11"/>
  <c r="AF347" i="11" s="1"/>
  <c r="V122" i="11"/>
  <c r="AF122" i="11" s="1"/>
  <c r="V272" i="11"/>
  <c r="AF272" i="11" s="1"/>
  <c r="V166" i="11"/>
  <c r="AF166" i="11" s="1"/>
  <c r="V183" i="11"/>
  <c r="AF183" i="11" s="1"/>
  <c r="V34" i="11"/>
  <c r="AF34" i="11" s="1"/>
  <c r="V39" i="11"/>
  <c r="AF39" i="11" s="1"/>
  <c r="V188" i="11"/>
  <c r="AF188" i="11" s="1"/>
  <c r="V207" i="11"/>
  <c r="AF207" i="11" s="1"/>
  <c r="V189" i="11"/>
  <c r="AF189" i="11" s="1"/>
  <c r="V168" i="11"/>
  <c r="AF168" i="11" s="1"/>
  <c r="V196" i="11"/>
  <c r="AF196" i="11" s="1"/>
  <c r="V109" i="11"/>
  <c r="AF109" i="11" s="1"/>
  <c r="V205" i="11"/>
  <c r="AF205" i="11" s="1"/>
  <c r="V115" i="11"/>
  <c r="AF115" i="11" s="1"/>
  <c r="V262" i="11"/>
  <c r="AF262" i="11" s="1"/>
  <c r="V33" i="11"/>
  <c r="AF33" i="11" s="1"/>
  <c r="V270" i="11"/>
  <c r="AF270" i="11" s="1"/>
  <c r="V393" i="11"/>
  <c r="AF393" i="11" s="1"/>
  <c r="Y195" i="11"/>
  <c r="V321" i="11"/>
  <c r="AF321" i="11" s="1"/>
  <c r="V376" i="11"/>
  <c r="AF376" i="11" s="1"/>
  <c r="V444" i="11"/>
  <c r="AF444" i="11" s="1"/>
  <c r="V94" i="11"/>
  <c r="AF94" i="11" s="1"/>
  <c r="K127" i="11"/>
  <c r="K132" i="11" s="1"/>
  <c r="J132" i="11"/>
  <c r="H132" i="11"/>
  <c r="V178" i="11"/>
  <c r="AF178" i="11" s="1"/>
  <c r="V308" i="11"/>
  <c r="AF308" i="11" s="1"/>
  <c r="V373" i="11"/>
  <c r="AF373" i="11" s="1"/>
  <c r="Y288" i="11"/>
  <c r="V432" i="11"/>
  <c r="AF432" i="11" s="1"/>
  <c r="V157" i="11"/>
  <c r="AF157" i="11" s="1"/>
  <c r="V307" i="11"/>
  <c r="AF307" i="11" s="1"/>
  <c r="V42" i="11"/>
  <c r="AF42" i="11" s="1"/>
  <c r="V271" i="11"/>
  <c r="AF271" i="11" s="1"/>
  <c r="V182" i="11"/>
  <c r="AF182" i="11" s="1"/>
  <c r="V37" i="11"/>
  <c r="AF37" i="11" s="1"/>
  <c r="V41" i="11"/>
  <c r="AF41" i="11" s="1"/>
  <c r="V259" i="11"/>
  <c r="AF259" i="11" s="1"/>
  <c r="V51" i="11"/>
  <c r="AF51" i="11" s="1"/>
  <c r="V301" i="11"/>
  <c r="AF301" i="11" s="1"/>
  <c r="V316" i="11"/>
  <c r="AF316" i="11" s="1"/>
  <c r="V349" i="11"/>
  <c r="AF349" i="11" s="1"/>
  <c r="V97" i="11"/>
  <c r="AF97" i="11" s="1"/>
  <c r="V304" i="11"/>
  <c r="AF304" i="11" s="1"/>
  <c r="V117" i="11"/>
  <c r="AF117" i="11" s="1"/>
  <c r="V439" i="11"/>
  <c r="AF439" i="11" s="1"/>
  <c r="V155" i="11"/>
  <c r="AF155" i="11" s="1"/>
  <c r="V253" i="11"/>
  <c r="AF253" i="11" s="1"/>
  <c r="V202" i="11"/>
  <c r="AF202" i="11" s="1"/>
  <c r="V72" i="11"/>
  <c r="AF72" i="11" s="1"/>
  <c r="V369" i="11"/>
  <c r="AF369" i="11" s="1"/>
  <c r="V385" i="11"/>
  <c r="AF385" i="11" s="1"/>
  <c r="V412" i="11"/>
  <c r="AF412" i="11" s="1"/>
  <c r="V294" i="11"/>
  <c r="AF294" i="11" s="1"/>
  <c r="V29" i="11"/>
  <c r="AF29" i="11" s="1"/>
  <c r="V116" i="11"/>
  <c r="AF116" i="11" s="1"/>
  <c r="V87" i="11"/>
  <c r="AF87" i="11" s="1"/>
  <c r="V218" i="11"/>
  <c r="AF218" i="11" s="1"/>
  <c r="V145" i="11"/>
  <c r="AF145" i="11" s="1"/>
  <c r="V113" i="11"/>
  <c r="AF113" i="11" s="1"/>
  <c r="V337" i="11"/>
  <c r="AF337" i="11" s="1"/>
  <c r="Y297" i="11"/>
  <c r="V234" i="11"/>
  <c r="AF234" i="11" s="1"/>
  <c r="V258" i="11"/>
  <c r="AF258" i="11" s="1"/>
  <c r="V377" i="11"/>
  <c r="AF377" i="11" s="1"/>
  <c r="V222" i="11"/>
  <c r="AF222" i="11" s="1"/>
  <c r="Y159" i="11"/>
  <c r="V67" i="11"/>
  <c r="AF67" i="11" s="1"/>
  <c r="V435" i="11"/>
  <c r="AF435" i="11" s="1"/>
  <c r="V319" i="11"/>
  <c r="AF319" i="11" s="1"/>
  <c r="V374" i="11"/>
  <c r="AF374" i="11" s="1"/>
  <c r="V230" i="11"/>
  <c r="AF230" i="11" s="1"/>
  <c r="V173" i="11"/>
  <c r="AF173" i="11" s="1"/>
  <c r="V383" i="11"/>
  <c r="AF383" i="11" s="1"/>
  <c r="V43" i="11"/>
  <c r="AF43" i="11" s="1"/>
  <c r="V275" i="11"/>
  <c r="AF275" i="11" s="1"/>
  <c r="V424" i="11"/>
  <c r="AF424" i="11" s="1"/>
  <c r="V224" i="11"/>
  <c r="AF224" i="11" s="1"/>
  <c r="V169" i="11"/>
  <c r="AF169" i="11" s="1"/>
  <c r="V226" i="11"/>
  <c r="AF226" i="11" s="1"/>
  <c r="V281" i="11"/>
  <c r="AF281" i="11" s="1"/>
  <c r="V417" i="11"/>
  <c r="AF417" i="11" s="1"/>
  <c r="V255" i="11"/>
  <c r="AF255" i="11" s="1"/>
  <c r="Y179" i="11"/>
  <c r="V458" i="11"/>
  <c r="AF458" i="11" s="1"/>
  <c r="V447" i="11"/>
  <c r="AF447" i="11" s="1"/>
  <c r="V49" i="11"/>
  <c r="AF49" i="11" s="1"/>
  <c r="V371" i="11"/>
  <c r="AF371" i="11" s="1"/>
  <c r="V79" i="11"/>
  <c r="AF79" i="11" s="1"/>
  <c r="V192" i="11"/>
  <c r="AF192" i="11" s="1"/>
  <c r="V401" i="11"/>
  <c r="AF401" i="11" s="1"/>
  <c r="V257" i="11"/>
  <c r="AF257" i="11" s="1"/>
  <c r="V395" i="11"/>
  <c r="AF395" i="11" s="1"/>
  <c r="V144" i="11"/>
  <c r="AF144" i="11" s="1"/>
  <c r="V380" i="11"/>
  <c r="AF380" i="11" s="1"/>
  <c r="V326" i="11"/>
  <c r="AF326" i="11" s="1"/>
  <c r="V313" i="11"/>
  <c r="AF313" i="11" s="1"/>
  <c r="V139" i="11"/>
  <c r="AF139" i="11" s="1"/>
  <c r="V160" i="11"/>
  <c r="AF160" i="11" s="1"/>
  <c r="V216" i="11"/>
  <c r="AF216" i="11" s="1"/>
  <c r="Y204" i="11"/>
  <c r="V413" i="11"/>
  <c r="AF413" i="11" s="1"/>
  <c r="V103" i="11"/>
  <c r="AF103" i="11" s="1"/>
  <c r="Y187" i="11"/>
  <c r="V142" i="11"/>
  <c r="AF142" i="11" s="1"/>
  <c r="V260" i="11"/>
  <c r="AF260" i="11" s="1"/>
  <c r="V232" i="11"/>
  <c r="AF232" i="11" s="1"/>
  <c r="Y184" i="11"/>
  <c r="V70" i="11"/>
  <c r="AF70" i="11" s="1"/>
  <c r="V457" i="11"/>
  <c r="AF457" i="11" s="1"/>
  <c r="V363" i="11"/>
  <c r="AF363" i="11" s="1"/>
  <c r="V71" i="11"/>
  <c r="AF71" i="11" s="1"/>
  <c r="V66" i="11"/>
  <c r="AF66" i="11" s="1"/>
  <c r="V389" i="11"/>
  <c r="AF389" i="11" s="1"/>
  <c r="Y209" i="11"/>
  <c r="V454" i="11"/>
  <c r="AF454" i="11" s="1"/>
  <c r="V152" i="11"/>
  <c r="AF152" i="11" s="1"/>
  <c r="V283" i="11"/>
  <c r="AF283" i="11" s="1"/>
  <c r="V228" i="11"/>
  <c r="AF228" i="11" s="1"/>
  <c r="V198" i="11"/>
  <c r="AF198" i="11" s="1"/>
  <c r="V425" i="11"/>
  <c r="AF425" i="11" s="1"/>
  <c r="V251" i="11"/>
  <c r="AF251" i="11" s="1"/>
  <c r="V161" i="11"/>
  <c r="AF161" i="11" s="1"/>
  <c r="V421" i="11"/>
  <c r="AF421" i="11" s="1"/>
  <c r="V229" i="11"/>
  <c r="AF229" i="11" s="1"/>
  <c r="V36" i="11"/>
  <c r="AF36" i="11" s="1"/>
  <c r="V57" i="11"/>
  <c r="AF57" i="11" s="1"/>
  <c r="V180" i="11"/>
  <c r="AF180" i="11" s="1"/>
  <c r="V410" i="11"/>
  <c r="AF410" i="11" s="1"/>
  <c r="V265" i="11"/>
  <c r="AF265" i="11" s="1"/>
  <c r="V252" i="11"/>
  <c r="AF252" i="11" s="1"/>
  <c r="O209" i="11"/>
  <c r="Z209" i="11" s="1"/>
  <c r="O226" i="11"/>
  <c r="Z226" i="11" s="1"/>
  <c r="V279" i="11"/>
  <c r="AF279" i="11" s="1"/>
  <c r="V123" i="11"/>
  <c r="AF123" i="11" s="1"/>
  <c r="V193" i="11"/>
  <c r="AF193" i="11" s="1"/>
  <c r="V69" i="11"/>
  <c r="AF69" i="11" s="1"/>
  <c r="V215" i="11"/>
  <c r="AF215" i="11" s="1"/>
  <c r="V436" i="11"/>
  <c r="AF436" i="11" s="1"/>
  <c r="V81" i="11"/>
  <c r="AF81" i="11" s="1"/>
  <c r="V63" i="11"/>
  <c r="AF63" i="11" s="1"/>
  <c r="V149" i="11"/>
  <c r="AF149" i="11" s="1"/>
  <c r="V82" i="11"/>
  <c r="AF82" i="11" s="1"/>
  <c r="V339" i="11"/>
  <c r="AF339" i="11" s="1"/>
  <c r="V311" i="11"/>
  <c r="AF311" i="11" s="1"/>
  <c r="V118" i="11"/>
  <c r="AF118" i="11" s="1"/>
  <c r="V334" i="11"/>
  <c r="AF334" i="11" s="1"/>
  <c r="V143" i="11"/>
  <c r="AF143" i="11" s="1"/>
  <c r="V236" i="11"/>
  <c r="AF236" i="11" s="1"/>
  <c r="V62" i="11"/>
  <c r="AF62" i="11" s="1"/>
  <c r="F39" i="11"/>
  <c r="O39" i="11" s="1"/>
  <c r="Z39" i="11" s="1"/>
  <c r="V73" i="11"/>
  <c r="AF73" i="11" s="1"/>
  <c r="U61" i="9" s="1"/>
  <c r="O182" i="11"/>
  <c r="Z182" i="11" s="1"/>
  <c r="O221" i="11"/>
  <c r="Z221" i="11" s="1"/>
  <c r="O198" i="11"/>
  <c r="Z198" i="11" s="1"/>
  <c r="V181" i="11"/>
  <c r="AF181" i="11" s="1"/>
  <c r="V287" i="11"/>
  <c r="AF287" i="11" s="1"/>
  <c r="Y227" i="11"/>
  <c r="V312" i="11"/>
  <c r="AF312" i="11" s="1"/>
  <c r="V419" i="11"/>
  <c r="AF419" i="11" s="1"/>
  <c r="V370" i="11"/>
  <c r="AF370" i="11" s="1"/>
  <c r="V38" i="11"/>
  <c r="AF38" i="11" s="1"/>
  <c r="V426" i="11"/>
  <c r="AF426" i="11" s="1"/>
  <c r="Y328" i="11"/>
  <c r="V429" i="11"/>
  <c r="AF429" i="11" s="1"/>
  <c r="V65" i="11"/>
  <c r="AF65" i="11" s="1"/>
  <c r="V194" i="11"/>
  <c r="AF194" i="11" s="1"/>
  <c r="V391" i="11"/>
  <c r="AF391" i="11" s="1"/>
  <c r="V40" i="11"/>
  <c r="AF40" i="11" s="1"/>
  <c r="V273" i="11"/>
  <c r="AF273" i="11" s="1"/>
  <c r="V388" i="11"/>
  <c r="AF388" i="11" s="1"/>
  <c r="V83" i="11"/>
  <c r="AF83" i="11" s="1"/>
  <c r="V450" i="11"/>
  <c r="AF450" i="11" s="1"/>
  <c r="V368" i="11"/>
  <c r="AF368" i="11" s="1"/>
  <c r="V197" i="11"/>
  <c r="AF197" i="11" s="1"/>
  <c r="V105" i="11"/>
  <c r="AF105" i="11" s="1"/>
  <c r="V121" i="11"/>
  <c r="AF121" i="11" s="1"/>
  <c r="V171" i="11"/>
  <c r="AF171" i="11" s="1"/>
  <c r="V93" i="11"/>
  <c r="AF93" i="11" s="1"/>
  <c r="V394" i="11"/>
  <c r="AF394" i="11" s="1"/>
  <c r="V381" i="11"/>
  <c r="AF381" i="11" s="1"/>
  <c r="O449" i="11"/>
  <c r="Z449" i="11" s="1"/>
  <c r="O430" i="11"/>
  <c r="Z430" i="11" s="1"/>
  <c r="F99" i="11"/>
  <c r="O99" i="11" s="1"/>
  <c r="Z99" i="11" s="1"/>
  <c r="F56" i="11"/>
  <c r="O56" i="11" s="1"/>
  <c r="Z56" i="11" s="1"/>
  <c r="F47" i="11"/>
  <c r="O47" i="11" s="1"/>
  <c r="Z47" i="11" s="1"/>
  <c r="O258" i="11"/>
  <c r="Z258" i="11" s="1"/>
  <c r="F51" i="11"/>
  <c r="O51" i="11" s="1"/>
  <c r="Z51" i="11" s="1"/>
  <c r="F80" i="11"/>
  <c r="O80" i="11" s="1"/>
  <c r="Z80" i="11" s="1"/>
  <c r="V190" i="11"/>
  <c r="AF190" i="11" s="1"/>
  <c r="V150" i="11"/>
  <c r="AF150" i="11" s="1"/>
  <c r="V324" i="11"/>
  <c r="AF324" i="11" s="1"/>
  <c r="O256" i="11"/>
  <c r="Z256" i="11" s="1"/>
  <c r="O192" i="11"/>
  <c r="Z192" i="11" s="1"/>
  <c r="F27" i="11"/>
  <c r="O27" i="11" s="1"/>
  <c r="Z27" i="11" s="1"/>
  <c r="F120" i="11"/>
  <c r="O120" i="11" s="1"/>
  <c r="Z120" i="11" s="1"/>
  <c r="F91" i="11"/>
  <c r="O91" i="11" s="1"/>
  <c r="Z91" i="11" s="1"/>
  <c r="O163" i="11"/>
  <c r="Z163" i="11" s="1"/>
  <c r="O152" i="11"/>
  <c r="Z152" i="11" s="1"/>
  <c r="O274" i="11"/>
  <c r="Z274" i="11" s="1"/>
  <c r="Y167" i="11"/>
  <c r="F45" i="11"/>
  <c r="O45" i="11" s="1"/>
  <c r="Z45" i="11" s="1"/>
  <c r="O191" i="11"/>
  <c r="Z191" i="11" s="1"/>
  <c r="O288" i="11"/>
  <c r="Z288" i="11" s="1"/>
  <c r="O149" i="11"/>
  <c r="Z149" i="11" s="1"/>
  <c r="F66" i="11"/>
  <c r="O66" i="11" s="1"/>
  <c r="Z66" i="11" s="1"/>
  <c r="O234" i="11"/>
  <c r="Z234" i="11" s="1"/>
  <c r="V445" i="11"/>
  <c r="AF445" i="11" s="1"/>
  <c r="O460" i="11"/>
  <c r="Z460" i="11" s="1"/>
  <c r="F88" i="11"/>
  <c r="O88" i="11" s="1"/>
  <c r="Z88" i="11" s="1"/>
  <c r="V210" i="11"/>
  <c r="AF210" i="11" s="1"/>
  <c r="O328" i="11"/>
  <c r="Z328" i="11" s="1"/>
  <c r="O317" i="11"/>
  <c r="Z317" i="11" s="1"/>
  <c r="V206" i="11"/>
  <c r="AF206" i="11" s="1"/>
  <c r="V414" i="11"/>
  <c r="AF414" i="11" s="1"/>
  <c r="V233" i="11"/>
  <c r="AF233" i="11" s="1"/>
  <c r="F103" i="11"/>
  <c r="O103" i="11" s="1"/>
  <c r="Z103" i="11" s="1"/>
  <c r="F68" i="11"/>
  <c r="O68" i="11" s="1"/>
  <c r="Z68" i="11" s="1"/>
  <c r="V88" i="11"/>
  <c r="AF88" i="11" s="1"/>
  <c r="F100" i="11"/>
  <c r="O100" i="11" s="1"/>
  <c r="Z100" i="11" s="1"/>
  <c r="O260" i="11"/>
  <c r="Z260" i="11" s="1"/>
  <c r="V438" i="11"/>
  <c r="AF438" i="11" s="1"/>
  <c r="F63" i="11"/>
  <c r="O63" i="11" s="1"/>
  <c r="Z63" i="11" s="1"/>
  <c r="F48" i="11"/>
  <c r="O48" i="11" s="1"/>
  <c r="Z48" i="11" s="1"/>
  <c r="V156" i="11"/>
  <c r="AF156" i="11" s="1"/>
  <c r="O433" i="11"/>
  <c r="Z433" i="11" s="1"/>
  <c r="F58" i="11"/>
  <c r="O58" i="11" s="1"/>
  <c r="Z58" i="11" s="1"/>
  <c r="V396" i="11"/>
  <c r="AF396" i="11" s="1"/>
  <c r="F84" i="11"/>
  <c r="O84" i="11" s="1"/>
  <c r="Z84" i="11" s="1"/>
  <c r="F43" i="11"/>
  <c r="O43" i="11" s="1"/>
  <c r="Z43" i="11" s="1"/>
  <c r="O139" i="11"/>
  <c r="Z139" i="11" s="1"/>
  <c r="V91" i="11"/>
  <c r="AF91" i="11" s="1"/>
  <c r="V346" i="11"/>
  <c r="AF346" i="11" s="1"/>
  <c r="V437" i="11"/>
  <c r="AF437" i="11" s="1"/>
  <c r="V386" i="11"/>
  <c r="AF386" i="11" s="1"/>
  <c r="O268" i="11"/>
  <c r="Z268" i="11" s="1"/>
  <c r="O178" i="11"/>
  <c r="Z178" i="11" s="1"/>
  <c r="V427" i="11"/>
  <c r="AF427" i="11" s="1"/>
  <c r="H243" i="11"/>
  <c r="O408" i="11"/>
  <c r="Z408" i="11" s="1"/>
  <c r="O426" i="11"/>
  <c r="Z426" i="11" s="1"/>
  <c r="O373" i="11"/>
  <c r="Z373" i="11" s="1"/>
  <c r="O418" i="11"/>
  <c r="Z418" i="11" s="1"/>
  <c r="O167" i="11"/>
  <c r="Z167" i="11" s="1"/>
  <c r="F109" i="11"/>
  <c r="O109" i="11" s="1"/>
  <c r="Z109" i="11" s="1"/>
  <c r="O311" i="11"/>
  <c r="Z311" i="11" s="1"/>
  <c r="F94" i="11"/>
  <c r="O94" i="11" s="1"/>
  <c r="Z94" i="11" s="1"/>
  <c r="V90" i="11"/>
  <c r="AF90" i="11" s="1"/>
  <c r="O419" i="11"/>
  <c r="Z419" i="11" s="1"/>
  <c r="F105" i="11"/>
  <c r="O105" i="11" s="1"/>
  <c r="Z105" i="11" s="1"/>
  <c r="O440" i="11"/>
  <c r="Z440" i="11" s="1"/>
  <c r="O384" i="11"/>
  <c r="Z384" i="11" s="1"/>
  <c r="O452" i="11"/>
  <c r="Z452" i="11" s="1"/>
  <c r="O175" i="11"/>
  <c r="Z175" i="11" s="1"/>
  <c r="F108" i="11"/>
  <c r="O108" i="11" s="1"/>
  <c r="Z108" i="11" s="1"/>
  <c r="O339" i="11"/>
  <c r="Z339" i="11" s="1"/>
  <c r="F67" i="11"/>
  <c r="O67" i="11" s="1"/>
  <c r="Z67" i="11" s="1"/>
  <c r="O405" i="11"/>
  <c r="Z405" i="11" s="1"/>
  <c r="O370" i="11"/>
  <c r="Z370" i="11" s="1"/>
  <c r="O431" i="11"/>
  <c r="Z431" i="11" s="1"/>
  <c r="O291" i="11"/>
  <c r="Z291" i="11" s="1"/>
  <c r="V336" i="11"/>
  <c r="AF336" i="11" s="1"/>
  <c r="O151" i="11"/>
  <c r="Z151" i="11" s="1"/>
  <c r="O216" i="11"/>
  <c r="Z216" i="11" s="1"/>
  <c r="O381" i="11"/>
  <c r="Z381" i="11" s="1"/>
  <c r="O403" i="11"/>
  <c r="Z403" i="11" s="1"/>
  <c r="F104" i="11"/>
  <c r="O104" i="11" s="1"/>
  <c r="Z104" i="11" s="1"/>
  <c r="O390" i="11"/>
  <c r="Z390" i="11" s="1"/>
  <c r="O308" i="11"/>
  <c r="Z308" i="11" s="1"/>
  <c r="O382" i="11"/>
  <c r="Z382" i="11" s="1"/>
  <c r="O212" i="11"/>
  <c r="Z212" i="11" s="1"/>
  <c r="V452" i="11"/>
  <c r="AF452" i="11" s="1"/>
  <c r="V146" i="11"/>
  <c r="AF146" i="11" s="1"/>
  <c r="O293" i="11"/>
  <c r="Z293" i="11" s="1"/>
  <c r="F117" i="11"/>
  <c r="O117" i="11" s="1"/>
  <c r="Z117" i="11" s="1"/>
  <c r="O343" i="11"/>
  <c r="Z343" i="11" s="1"/>
  <c r="O376" i="11"/>
  <c r="Z376" i="11" s="1"/>
  <c r="O342" i="11"/>
  <c r="Z342" i="11" s="1"/>
  <c r="O201" i="11"/>
  <c r="Z201" i="11" s="1"/>
  <c r="O289" i="11"/>
  <c r="Z289" i="11" s="1"/>
  <c r="O262" i="11"/>
  <c r="Z262" i="11" s="1"/>
  <c r="O398" i="11"/>
  <c r="Z398" i="11" s="1"/>
  <c r="O454" i="11"/>
  <c r="Z454" i="11" s="1"/>
  <c r="O166" i="11"/>
  <c r="Z166" i="11" s="1"/>
  <c r="F31" i="11"/>
  <c r="O31" i="11" s="1"/>
  <c r="Z31" i="11" s="1"/>
  <c r="O325" i="11"/>
  <c r="Z325" i="11" s="1"/>
  <c r="O413" i="11"/>
  <c r="Z413" i="11" s="1"/>
  <c r="O314" i="11"/>
  <c r="Z314" i="11" s="1"/>
  <c r="F73" i="11"/>
  <c r="O73" i="11" s="1"/>
  <c r="Z73" i="11" s="1"/>
  <c r="M59" i="9" s="1"/>
  <c r="O284" i="11"/>
  <c r="Z284" i="11" s="1"/>
  <c r="O142" i="11"/>
  <c r="Z142" i="11" s="1"/>
  <c r="F113" i="11"/>
  <c r="O113" i="11" s="1"/>
  <c r="Z113" i="11" s="1"/>
  <c r="O174" i="11"/>
  <c r="Z174" i="11" s="1"/>
  <c r="O147" i="11"/>
  <c r="Z147" i="11" s="1"/>
  <c r="O446" i="11"/>
  <c r="Z446" i="11" s="1"/>
  <c r="O379" i="11"/>
  <c r="Z379" i="11" s="1"/>
  <c r="O377" i="11"/>
  <c r="Z377" i="11" s="1"/>
  <c r="O422" i="11"/>
  <c r="Z422" i="11" s="1"/>
  <c r="O423" i="11"/>
  <c r="Z423" i="11" s="1"/>
  <c r="F59" i="11"/>
  <c r="O59" i="11" s="1"/>
  <c r="Z59" i="11" s="1"/>
  <c r="O299" i="11"/>
  <c r="Z299" i="11" s="1"/>
  <c r="F69" i="11"/>
  <c r="O69" i="11" s="1"/>
  <c r="Z69" i="11" s="1"/>
  <c r="O424" i="11"/>
  <c r="Z424" i="11" s="1"/>
  <c r="O442" i="11"/>
  <c r="Z442" i="11" s="1"/>
  <c r="O337" i="11"/>
  <c r="Z337" i="11" s="1"/>
  <c r="V99" i="11"/>
  <c r="AF99" i="11" s="1"/>
  <c r="V446" i="11"/>
  <c r="AF446" i="11" s="1"/>
  <c r="V317" i="11"/>
  <c r="AF317" i="11" s="1"/>
  <c r="V387" i="11"/>
  <c r="AF387" i="11" s="1"/>
  <c r="O319" i="11"/>
  <c r="Z319" i="11" s="1"/>
  <c r="O409" i="11"/>
  <c r="Z409" i="11" s="1"/>
  <c r="O456" i="11"/>
  <c r="Z456" i="11" s="1"/>
  <c r="V114" i="11"/>
  <c r="AF114" i="11" s="1"/>
  <c r="O305" i="11"/>
  <c r="Z305" i="11" s="1"/>
  <c r="O392" i="11"/>
  <c r="Z392" i="11" s="1"/>
  <c r="F89" i="11"/>
  <c r="O89" i="11" s="1"/>
  <c r="Z89" i="11" s="1"/>
  <c r="O292" i="11"/>
  <c r="Z292" i="11" s="1"/>
  <c r="O232" i="11"/>
  <c r="Z232" i="11" s="1"/>
  <c r="F79" i="11"/>
  <c r="O79" i="11" s="1"/>
  <c r="Z79" i="11" s="1"/>
  <c r="F110" i="11"/>
  <c r="O110" i="11" s="1"/>
  <c r="Z110" i="11" s="1"/>
  <c r="O257" i="11"/>
  <c r="Z257" i="11" s="1"/>
  <c r="O316" i="11"/>
  <c r="Z316" i="11" s="1"/>
  <c r="F49" i="11"/>
  <c r="O49" i="11" s="1"/>
  <c r="Z49" i="11" s="1"/>
  <c r="O458" i="11"/>
  <c r="Z458" i="11" s="1"/>
  <c r="O177" i="11"/>
  <c r="Z177" i="11" s="1"/>
  <c r="O224" i="11"/>
  <c r="Z224" i="11" s="1"/>
  <c r="O375" i="11"/>
  <c r="Z375" i="11" s="1"/>
  <c r="O255" i="11"/>
  <c r="Z255" i="11" s="1"/>
  <c r="F77" i="11"/>
  <c r="O77" i="11" s="1"/>
  <c r="Z77" i="11" s="1"/>
  <c r="O336" i="11"/>
  <c r="Z336" i="11" s="1"/>
  <c r="O364" i="11"/>
  <c r="Z364" i="11" s="1"/>
  <c r="O332" i="11"/>
  <c r="Z332" i="11" s="1"/>
  <c r="O368" i="11"/>
  <c r="Z368" i="11" s="1"/>
  <c r="V314" i="11"/>
  <c r="AF314" i="11" s="1"/>
  <c r="O320" i="11"/>
  <c r="Z320" i="11" s="1"/>
  <c r="F86" i="11"/>
  <c r="O86" i="11" s="1"/>
  <c r="Z86" i="11" s="1"/>
  <c r="O282" i="11"/>
  <c r="Z282" i="11" s="1"/>
  <c r="F98" i="11"/>
  <c r="O98" i="11" s="1"/>
  <c r="Z98" i="11" s="1"/>
  <c r="V263" i="11"/>
  <c r="AF263" i="11" s="1"/>
  <c r="V154" i="11"/>
  <c r="AF154" i="11" s="1"/>
  <c r="O165" i="11"/>
  <c r="Z165" i="11" s="1"/>
  <c r="O179" i="11"/>
  <c r="Z179" i="11" s="1"/>
  <c r="H244" i="11"/>
  <c r="O296" i="11"/>
  <c r="Z296" i="11" s="1"/>
  <c r="H354" i="11"/>
  <c r="O172" i="11"/>
  <c r="Z172" i="11" s="1"/>
  <c r="O386" i="11"/>
  <c r="Z386" i="11" s="1"/>
  <c r="O184" i="11"/>
  <c r="Z184" i="11" s="1"/>
  <c r="O171" i="11"/>
  <c r="Z171" i="11" s="1"/>
  <c r="V47" i="11"/>
  <c r="AF47" i="11" s="1"/>
  <c r="O253" i="11"/>
  <c r="Z253" i="11" s="1"/>
  <c r="F40" i="11"/>
  <c r="O40" i="11" s="1"/>
  <c r="Z40" i="11" s="1"/>
  <c r="O434" i="11"/>
  <c r="Z434" i="11" s="1"/>
  <c r="O203" i="11"/>
  <c r="Z203" i="11" s="1"/>
  <c r="O214" i="11"/>
  <c r="Z214" i="11" s="1"/>
  <c r="V431" i="11"/>
  <c r="AF431" i="11" s="1"/>
  <c r="O140" i="11"/>
  <c r="Z140" i="11" s="1"/>
  <c r="O327" i="11"/>
  <c r="Z327" i="11" s="1"/>
  <c r="O145" i="11"/>
  <c r="Z145" i="11" s="1"/>
  <c r="O391" i="11"/>
  <c r="Z391" i="11" s="1"/>
  <c r="O380" i="11"/>
  <c r="Z380" i="11" s="1"/>
  <c r="O367" i="11"/>
  <c r="Z367" i="11" s="1"/>
  <c r="O313" i="11"/>
  <c r="Z313" i="11" s="1"/>
  <c r="O387" i="11"/>
  <c r="Z387" i="11" s="1"/>
  <c r="F75" i="11"/>
  <c r="O75" i="11" s="1"/>
  <c r="Z75" i="11" s="1"/>
  <c r="F25" i="11"/>
  <c r="O25" i="11" s="1"/>
  <c r="Z25" i="11" s="1"/>
  <c r="O280" i="11"/>
  <c r="Z280" i="11" s="1"/>
  <c r="O417" i="11"/>
  <c r="Z417" i="11" s="1"/>
  <c r="V449" i="11"/>
  <c r="AF449" i="11" s="1"/>
  <c r="V119" i="11"/>
  <c r="AF119" i="11" s="1"/>
  <c r="O290" i="11"/>
  <c r="Z290" i="11" s="1"/>
  <c r="O345" i="11"/>
  <c r="Z345" i="11" s="1"/>
  <c r="F33" i="11"/>
  <c r="O33" i="11" s="1"/>
  <c r="Z33" i="11" s="1"/>
  <c r="F119" i="11"/>
  <c r="O119" i="11" s="1"/>
  <c r="Z119" i="11" s="1"/>
  <c r="O190" i="11"/>
  <c r="Z190" i="11" s="1"/>
  <c r="O427" i="11"/>
  <c r="Z427" i="11" s="1"/>
  <c r="F70" i="11"/>
  <c r="O70" i="11" s="1"/>
  <c r="Z70" i="11" s="1"/>
  <c r="F29" i="11"/>
  <c r="O29" i="11" s="1"/>
  <c r="Z29" i="11" s="1"/>
  <c r="O400" i="11"/>
  <c r="Z400" i="11" s="1"/>
  <c r="V392" i="11"/>
  <c r="AF392" i="11" s="1"/>
  <c r="V201" i="11"/>
  <c r="AF201" i="11" s="1"/>
  <c r="F106" i="11"/>
  <c r="O106" i="11" s="1"/>
  <c r="Z106" i="11" s="1"/>
  <c r="O425" i="11"/>
  <c r="Z425" i="11" s="1"/>
  <c r="O395" i="11"/>
  <c r="Z395" i="11" s="1"/>
  <c r="O344" i="11"/>
  <c r="Z344" i="11" s="1"/>
  <c r="O404" i="11"/>
  <c r="Z404" i="11" s="1"/>
  <c r="F55" i="11"/>
  <c r="O55" i="11" s="1"/>
  <c r="Z55" i="11" s="1"/>
  <c r="F57" i="11"/>
  <c r="O57" i="11" s="1"/>
  <c r="Z57" i="11" s="1"/>
  <c r="O294" i="11"/>
  <c r="Z294" i="11" s="1"/>
  <c r="F114" i="11"/>
  <c r="O114" i="11" s="1"/>
  <c r="Z114" i="11" s="1"/>
  <c r="V384" i="11"/>
  <c r="AF384" i="11" s="1"/>
  <c r="V101" i="11"/>
  <c r="AF101" i="11" s="1"/>
  <c r="V185" i="11"/>
  <c r="AF185" i="11" s="1"/>
  <c r="V416" i="11"/>
  <c r="AF416" i="11" s="1"/>
  <c r="V309" i="11"/>
  <c r="AF309" i="11" s="1"/>
  <c r="V333" i="11"/>
  <c r="AF333" i="11" s="1"/>
  <c r="L60" i="9"/>
  <c r="V402" i="11"/>
  <c r="AF402" i="11" s="1"/>
  <c r="V30" i="11"/>
  <c r="AF30" i="11" s="1"/>
  <c r="V400" i="11"/>
  <c r="AF400" i="11" s="1"/>
  <c r="V375" i="11"/>
  <c r="AF375" i="11" s="1"/>
  <c r="V299" i="11"/>
  <c r="AF299" i="11" s="1"/>
  <c r="V397" i="11"/>
  <c r="AF397" i="11" s="1"/>
  <c r="V448" i="11"/>
  <c r="AF448" i="11" s="1"/>
  <c r="H356" i="11"/>
  <c r="O462" i="11"/>
  <c r="Z462" i="11" s="1"/>
  <c r="F30" i="11"/>
  <c r="O30" i="11" s="1"/>
  <c r="Z30" i="11" s="1"/>
  <c r="O429" i="11"/>
  <c r="Z429" i="11" s="1"/>
  <c r="O168" i="11"/>
  <c r="Z168" i="11" s="1"/>
  <c r="O264" i="11"/>
  <c r="Z264" i="11" s="1"/>
  <c r="O150" i="11"/>
  <c r="Z150" i="11" s="1"/>
  <c r="O263" i="11"/>
  <c r="Z263" i="11" s="1"/>
  <c r="O217" i="11"/>
  <c r="Z217" i="11" s="1"/>
  <c r="O371" i="11"/>
  <c r="Z371" i="11" s="1"/>
  <c r="F118" i="11"/>
  <c r="O118" i="11" s="1"/>
  <c r="Z118" i="11" s="1"/>
  <c r="V302" i="11"/>
  <c r="AF302" i="11" s="1"/>
  <c r="V341" i="11"/>
  <c r="AF341" i="11" s="1"/>
  <c r="V27" i="11"/>
  <c r="AF27" i="11" s="1"/>
  <c r="V285" i="11"/>
  <c r="AF285" i="11" s="1"/>
  <c r="V274" i="11"/>
  <c r="AF274" i="11" s="1"/>
  <c r="V456" i="11"/>
  <c r="AF456" i="11" s="1"/>
  <c r="F46" i="11"/>
  <c r="O46" i="11" s="1"/>
  <c r="Z46" i="11" s="1"/>
  <c r="O227" i="11"/>
  <c r="Z227" i="11" s="1"/>
  <c r="O141" i="11"/>
  <c r="Z141" i="11" s="1"/>
  <c r="O443" i="11"/>
  <c r="Z443" i="11" s="1"/>
  <c r="O185" i="11"/>
  <c r="Z185" i="11" s="1"/>
  <c r="O306" i="11"/>
  <c r="Z306" i="11" s="1"/>
  <c r="O161" i="11"/>
  <c r="Z161" i="11" s="1"/>
  <c r="O277" i="11"/>
  <c r="Z277" i="11" s="1"/>
  <c r="F121" i="11"/>
  <c r="O121" i="11" s="1"/>
  <c r="Z121" i="11" s="1"/>
  <c r="O399" i="11"/>
  <c r="Z399" i="11" s="1"/>
  <c r="O160" i="11"/>
  <c r="Z160" i="11" s="1"/>
  <c r="V102" i="11"/>
  <c r="AF102" i="11" s="1"/>
  <c r="V418" i="11"/>
  <c r="AF418" i="11" s="1"/>
  <c r="V398" i="11"/>
  <c r="AF398" i="11" s="1"/>
  <c r="V269" i="11"/>
  <c r="AF269" i="11" s="1"/>
  <c r="O363" i="11"/>
  <c r="Z363" i="11" s="1"/>
  <c r="O326" i="11"/>
  <c r="Z326" i="11" s="1"/>
  <c r="O265" i="11"/>
  <c r="Z265" i="11" s="1"/>
  <c r="O197" i="11"/>
  <c r="Z197" i="11" s="1"/>
  <c r="O340" i="11"/>
  <c r="Z340" i="11" s="1"/>
  <c r="O146" i="11"/>
  <c r="Z146" i="11" s="1"/>
  <c r="O211" i="11"/>
  <c r="Z211" i="11" s="1"/>
  <c r="O322" i="11"/>
  <c r="Z322" i="11" s="1"/>
  <c r="O159" i="11"/>
  <c r="Z159" i="11" s="1"/>
  <c r="O461" i="11"/>
  <c r="Z461" i="11" s="1"/>
  <c r="O199" i="11"/>
  <c r="Z199" i="11" s="1"/>
  <c r="V338" i="11"/>
  <c r="AF338" i="11" s="1"/>
  <c r="V221" i="11"/>
  <c r="AF221" i="11" s="1"/>
  <c r="O374" i="11"/>
  <c r="Z374" i="11" s="1"/>
  <c r="F111" i="11"/>
  <c r="O111" i="11" s="1"/>
  <c r="Z111" i="11" s="1"/>
  <c r="O324" i="11"/>
  <c r="Z324" i="11" s="1"/>
  <c r="O225" i="11"/>
  <c r="Z225" i="11" s="1"/>
  <c r="O372" i="11"/>
  <c r="Z372" i="11" s="1"/>
  <c r="F24" i="11"/>
  <c r="O24" i="11" s="1"/>
  <c r="Z24" i="11" s="1"/>
  <c r="F122" i="11"/>
  <c r="O122" i="11" s="1"/>
  <c r="Z122" i="11" s="1"/>
  <c r="O333" i="11"/>
  <c r="Z333" i="11" s="1"/>
  <c r="O220" i="11"/>
  <c r="Z220" i="11" s="1"/>
  <c r="O445" i="11"/>
  <c r="Z445" i="11" s="1"/>
  <c r="O295" i="11"/>
  <c r="Z295" i="11" s="1"/>
  <c r="V390" i="11"/>
  <c r="AF390" i="11" s="1"/>
  <c r="V440" i="11"/>
  <c r="AF440" i="11" s="1"/>
  <c r="Y434" i="11"/>
  <c r="V86" i="11"/>
  <c r="AF86" i="11" s="1"/>
  <c r="V106" i="11"/>
  <c r="AF106" i="11" s="1"/>
  <c r="O193" i="11"/>
  <c r="Z193" i="11" s="1"/>
  <c r="O215" i="11"/>
  <c r="Z215" i="11" s="1"/>
  <c r="F71" i="11"/>
  <c r="O71" i="11" s="1"/>
  <c r="Z71" i="11" s="1"/>
  <c r="O335" i="11"/>
  <c r="Z335" i="11" s="1"/>
  <c r="O254" i="11"/>
  <c r="Z254" i="11" s="1"/>
  <c r="O281" i="11"/>
  <c r="Z281" i="11" s="1"/>
  <c r="F78" i="11"/>
  <c r="O78" i="11" s="1"/>
  <c r="Z78" i="11" s="1"/>
  <c r="F82" i="11"/>
  <c r="O82" i="11" s="1"/>
  <c r="Z82" i="11" s="1"/>
  <c r="O365" i="11"/>
  <c r="Z365" i="11" s="1"/>
  <c r="O266" i="11"/>
  <c r="Z266" i="11" s="1"/>
  <c r="F76" i="11"/>
  <c r="O76" i="11" s="1"/>
  <c r="Z76" i="11" s="1"/>
  <c r="O298" i="11"/>
  <c r="Z298" i="11" s="1"/>
  <c r="Y176" i="11"/>
  <c r="V223" i="11"/>
  <c r="AF223" i="11" s="1"/>
  <c r="V443" i="11"/>
  <c r="AF443" i="11" s="1"/>
  <c r="V345" i="11"/>
  <c r="AF345" i="11" s="1"/>
  <c r="V310" i="11"/>
  <c r="AF310" i="11" s="1"/>
  <c r="V382" i="11"/>
  <c r="AF382" i="11" s="1"/>
  <c r="O261" i="11"/>
  <c r="Z261" i="11" s="1"/>
  <c r="O275" i="11"/>
  <c r="Z275" i="11" s="1"/>
  <c r="O411" i="11"/>
  <c r="Z411" i="11" s="1"/>
  <c r="O138" i="11"/>
  <c r="Z138" i="11" s="1"/>
  <c r="O307" i="11"/>
  <c r="Z307" i="11" s="1"/>
  <c r="O338" i="11"/>
  <c r="Z338" i="11" s="1"/>
  <c r="O437" i="11"/>
  <c r="Z437" i="11" s="1"/>
  <c r="F85" i="11"/>
  <c r="O85" i="11" s="1"/>
  <c r="Z85" i="11" s="1"/>
  <c r="O285" i="11"/>
  <c r="Z285" i="11" s="1"/>
  <c r="O312" i="11"/>
  <c r="Z312" i="11" s="1"/>
  <c r="O186" i="11"/>
  <c r="Z186" i="11" s="1"/>
  <c r="O153" i="11"/>
  <c r="Z153" i="11" s="1"/>
  <c r="O304" i="11"/>
  <c r="Z304" i="11" s="1"/>
  <c r="O273" i="11"/>
  <c r="Z273" i="11" s="1"/>
  <c r="O206" i="11"/>
  <c r="Z206" i="11" s="1"/>
  <c r="O252" i="11"/>
  <c r="Z252" i="11" s="1"/>
  <c r="O170" i="11"/>
  <c r="Z170" i="11" s="1"/>
  <c r="O397" i="11"/>
  <c r="Z397" i="11" s="1"/>
  <c r="F107" i="11"/>
  <c r="O107" i="11" s="1"/>
  <c r="Z107" i="11" s="1"/>
  <c r="O416" i="11"/>
  <c r="Z416" i="11" s="1"/>
  <c r="L54" i="9"/>
  <c r="V137" i="11"/>
  <c r="AF137" i="11" s="1"/>
  <c r="V340" i="11"/>
  <c r="AF340" i="11" s="1"/>
  <c r="V408" i="11"/>
  <c r="AF408" i="11" s="1"/>
  <c r="V58" i="11"/>
  <c r="AF58" i="11" s="1"/>
  <c r="V348" i="11"/>
  <c r="AF348" i="11" s="1"/>
  <c r="V305" i="11"/>
  <c r="AF305" i="11" s="1"/>
  <c r="O269" i="11"/>
  <c r="Z269" i="11" s="1"/>
  <c r="O187" i="11"/>
  <c r="Z187" i="11" s="1"/>
  <c r="F65" i="11"/>
  <c r="O65" i="11" s="1"/>
  <c r="Z65" i="11" s="1"/>
  <c r="F87" i="11"/>
  <c r="O87" i="11" s="1"/>
  <c r="Z87" i="11" s="1"/>
  <c r="O450" i="11"/>
  <c r="Z450" i="11" s="1"/>
  <c r="L58" i="9"/>
  <c r="V405" i="11"/>
  <c r="AF405" i="11" s="1"/>
  <c r="Y256" i="11"/>
  <c r="V46" i="11"/>
  <c r="AF46" i="11" s="1"/>
  <c r="V108" i="11"/>
  <c r="AF108" i="11" s="1"/>
  <c r="V170" i="11"/>
  <c r="AF170" i="11" s="1"/>
  <c r="V78" i="11"/>
  <c r="AF78" i="11" s="1"/>
  <c r="V74" i="11"/>
  <c r="AF74" i="11" s="1"/>
  <c r="O135" i="11"/>
  <c r="F53" i="11"/>
  <c r="O53" i="11" s="1"/>
  <c r="Z53" i="11" s="1"/>
  <c r="O157" i="11"/>
  <c r="Z157" i="11" s="1"/>
  <c r="O188" i="11"/>
  <c r="Z188" i="11" s="1"/>
  <c r="F90" i="11"/>
  <c r="O90" i="11" s="1"/>
  <c r="Z90" i="11" s="1"/>
  <c r="F123" i="11"/>
  <c r="O123" i="11" s="1"/>
  <c r="Z123" i="11" s="1"/>
  <c r="O169" i="11"/>
  <c r="Z169" i="11" s="1"/>
  <c r="O415" i="11"/>
  <c r="Z415" i="11" s="1"/>
  <c r="O383" i="11"/>
  <c r="Z383" i="11" s="1"/>
  <c r="O432" i="11"/>
  <c r="Z432" i="11" s="1"/>
  <c r="H355" i="11"/>
  <c r="O200" i="11"/>
  <c r="Z200" i="11" s="1"/>
  <c r="O302" i="11"/>
  <c r="Z302" i="11" s="1"/>
  <c r="O393" i="11"/>
  <c r="Z393" i="11" s="1"/>
  <c r="O156" i="11"/>
  <c r="Z156" i="11" s="1"/>
  <c r="O396" i="11"/>
  <c r="Z396" i="11" s="1"/>
  <c r="O410" i="11"/>
  <c r="Z410" i="11" s="1"/>
  <c r="O402" i="11"/>
  <c r="Z402" i="11" s="1"/>
  <c r="O210" i="11"/>
  <c r="Z210" i="11" s="1"/>
  <c r="F60" i="11"/>
  <c r="O60" i="11" s="1"/>
  <c r="Z60" i="11" s="1"/>
  <c r="V298" i="11"/>
  <c r="AF298" i="11" s="1"/>
  <c r="V455" i="11"/>
  <c r="AF455" i="11" s="1"/>
  <c r="V141" i="11"/>
  <c r="AF141" i="11" s="1"/>
  <c r="L53" i="9"/>
  <c r="V379" i="11"/>
  <c r="AF379" i="11" s="1"/>
  <c r="O453" i="11"/>
  <c r="Z453" i="11" s="1"/>
  <c r="O303" i="11"/>
  <c r="Z303" i="11" s="1"/>
  <c r="O366" i="11"/>
  <c r="Z366" i="11" s="1"/>
  <c r="F44" i="11"/>
  <c r="O44" i="11" s="1"/>
  <c r="Z44" i="11" s="1"/>
  <c r="F50" i="11"/>
  <c r="O50" i="11" s="1"/>
  <c r="Z50" i="11" s="1"/>
  <c r="F83" i="11"/>
  <c r="O83" i="11" s="1"/>
  <c r="Z83" i="11" s="1"/>
  <c r="O208" i="11"/>
  <c r="Z208" i="11" s="1"/>
  <c r="O436" i="11"/>
  <c r="Z436" i="11" s="1"/>
  <c r="O318" i="11"/>
  <c r="Z318" i="11" s="1"/>
  <c r="O218" i="11"/>
  <c r="Z218" i="11" s="1"/>
  <c r="O451" i="11"/>
  <c r="Z451" i="11" s="1"/>
  <c r="O228" i="11"/>
  <c r="Z228" i="11" s="1"/>
  <c r="O330" i="11"/>
  <c r="Z330" i="11" s="1"/>
  <c r="O438" i="11"/>
  <c r="Z438" i="11" s="1"/>
  <c r="O195" i="11"/>
  <c r="Z195" i="11" s="1"/>
  <c r="O441" i="11"/>
  <c r="Z441" i="11" s="1"/>
  <c r="O444" i="11"/>
  <c r="Z444" i="11" s="1"/>
  <c r="O447" i="11"/>
  <c r="Z447" i="11" s="1"/>
  <c r="O213" i="11"/>
  <c r="Z213" i="11" s="1"/>
  <c r="O162" i="11"/>
  <c r="Z162" i="11" s="1"/>
  <c r="V100" i="11"/>
  <c r="AF100" i="11" s="1"/>
  <c r="V428" i="11"/>
  <c r="AF428" i="11" s="1"/>
  <c r="V203" i="11"/>
  <c r="AF203" i="11" s="1"/>
  <c r="V104" i="11"/>
  <c r="AF104" i="11" s="1"/>
  <c r="V461" i="11"/>
  <c r="AF461" i="11" s="1"/>
  <c r="V220" i="11"/>
  <c r="AF220" i="11" s="1"/>
  <c r="F26" i="11"/>
  <c r="O26" i="11" s="1"/>
  <c r="Z26" i="11" s="1"/>
  <c r="O286" i="11"/>
  <c r="Z286" i="11" s="1"/>
  <c r="F112" i="11"/>
  <c r="O112" i="11" s="1"/>
  <c r="Z112" i="11" s="1"/>
  <c r="O233" i="11"/>
  <c r="Z233" i="11" s="1"/>
  <c r="O158" i="11"/>
  <c r="Z158" i="11" s="1"/>
  <c r="O144" i="11"/>
  <c r="Z144" i="11" s="1"/>
  <c r="O271" i="11"/>
  <c r="Z271" i="11" s="1"/>
  <c r="O439" i="11"/>
  <c r="Z439" i="11" s="1"/>
  <c r="O155" i="11"/>
  <c r="Z155" i="11" s="1"/>
  <c r="O334" i="11"/>
  <c r="Z334" i="11" s="1"/>
  <c r="O259" i="11"/>
  <c r="Z259" i="11" s="1"/>
  <c r="F62" i="11"/>
  <c r="O62" i="11" s="1"/>
  <c r="Z62" i="11" s="1"/>
  <c r="O407" i="11"/>
  <c r="Z407" i="11" s="1"/>
  <c r="F38" i="11"/>
  <c r="O38" i="11" s="1"/>
  <c r="Z38" i="11" s="1"/>
  <c r="F101" i="11"/>
  <c r="O101" i="11" s="1"/>
  <c r="Z101" i="11" s="1"/>
  <c r="F96" i="11"/>
  <c r="O96" i="11" s="1"/>
  <c r="Z96" i="11" s="1"/>
  <c r="O448" i="11"/>
  <c r="Z448" i="11" s="1"/>
  <c r="O278" i="11"/>
  <c r="Z278" i="11" s="1"/>
  <c r="O194" i="11"/>
  <c r="Z194" i="11" s="1"/>
  <c r="O229" i="11"/>
  <c r="Z229" i="11" s="1"/>
  <c r="V120" i="11"/>
  <c r="AF120" i="11" s="1"/>
  <c r="V267" i="11"/>
  <c r="AF267" i="11" s="1"/>
  <c r="V98" i="11"/>
  <c r="AF98" i="11" s="1"/>
  <c r="V56" i="11"/>
  <c r="AF56" i="11" s="1"/>
  <c r="V148" i="11"/>
  <c r="AF148" i="11" s="1"/>
  <c r="V284" i="11"/>
  <c r="AF284" i="11" s="1"/>
  <c r="V293" i="11"/>
  <c r="AF293" i="11" s="1"/>
  <c r="Y293" i="11"/>
  <c r="V451" i="11"/>
  <c r="AF451" i="11" s="1"/>
  <c r="O204" i="11"/>
  <c r="Z204" i="11" s="1"/>
  <c r="O154" i="11"/>
  <c r="Z154" i="11" s="1"/>
  <c r="F52" i="11"/>
  <c r="O52" i="11" s="1"/>
  <c r="Z52" i="11" s="1"/>
  <c r="O301" i="11"/>
  <c r="Z301" i="11" s="1"/>
  <c r="O180" i="11"/>
  <c r="Z180" i="11" s="1"/>
  <c r="O183" i="11"/>
  <c r="Z183" i="11" s="1"/>
  <c r="O341" i="11"/>
  <c r="Z341" i="11" s="1"/>
  <c r="F92" i="11"/>
  <c r="O92" i="11" s="1"/>
  <c r="Z92" i="11" s="1"/>
  <c r="F102" i="11"/>
  <c r="O102" i="11" s="1"/>
  <c r="Z102" i="11" s="1"/>
  <c r="O394" i="11"/>
  <c r="Z394" i="11" s="1"/>
  <c r="O389" i="11"/>
  <c r="Z389" i="11" s="1"/>
  <c r="F42" i="11"/>
  <c r="O42" i="11" s="1"/>
  <c r="Z42" i="11" s="1"/>
  <c r="O421" i="11"/>
  <c r="Z421" i="11" s="1"/>
  <c r="O414" i="11"/>
  <c r="Z414" i="11" s="1"/>
  <c r="F81" i="11"/>
  <c r="O81" i="11" s="1"/>
  <c r="Z81" i="11" s="1"/>
  <c r="F28" i="11"/>
  <c r="O28" i="11" s="1"/>
  <c r="Z28" i="11" s="1"/>
  <c r="F37" i="11"/>
  <c r="O37" i="11" s="1"/>
  <c r="Z37" i="11" s="1"/>
  <c r="O323" i="11"/>
  <c r="Z323" i="11" s="1"/>
  <c r="O276" i="11"/>
  <c r="Z276" i="11" s="1"/>
  <c r="O272" i="11"/>
  <c r="Z272" i="11" s="1"/>
  <c r="V199" i="11"/>
  <c r="AF199" i="11" s="1"/>
  <c r="V291" i="11"/>
  <c r="AF291" i="11" s="1"/>
  <c r="Y235" i="11"/>
  <c r="V164" i="11"/>
  <c r="AF164" i="11" s="1"/>
  <c r="V26" i="11"/>
  <c r="AF26" i="11" s="1"/>
  <c r="V268" i="11"/>
  <c r="AF268" i="11" s="1"/>
  <c r="V186" i="11"/>
  <c r="AF186" i="11" s="1"/>
  <c r="V406" i="11"/>
  <c r="AF406" i="11" s="1"/>
  <c r="O331" i="11"/>
  <c r="Z331" i="11" s="1"/>
  <c r="O176" i="11"/>
  <c r="Z176" i="11" s="1"/>
  <c r="O196" i="11"/>
  <c r="Z196" i="11" s="1"/>
  <c r="O329" i="11"/>
  <c r="Z329" i="11" s="1"/>
  <c r="O205" i="11"/>
  <c r="Z205" i="11" s="1"/>
  <c r="O222" i="11"/>
  <c r="Z222" i="11" s="1"/>
  <c r="O401" i="11"/>
  <c r="Z401" i="11" s="1"/>
  <c r="F72" i="11"/>
  <c r="O72" i="11" s="1"/>
  <c r="Z72" i="11" s="1"/>
  <c r="O164" i="11"/>
  <c r="Z164" i="11" s="1"/>
  <c r="O267" i="11"/>
  <c r="Z267" i="11" s="1"/>
  <c r="O406" i="11"/>
  <c r="Z406" i="11" s="1"/>
  <c r="F115" i="11"/>
  <c r="O115" i="11" s="1"/>
  <c r="Z115" i="11" s="1"/>
  <c r="O435" i="11"/>
  <c r="Z435" i="11" s="1"/>
  <c r="O202" i="11"/>
  <c r="Z202" i="11" s="1"/>
  <c r="F61" i="11"/>
  <c r="O61" i="11" s="1"/>
  <c r="Z61" i="11" s="1"/>
  <c r="F54" i="11"/>
  <c r="O54" i="11" s="1"/>
  <c r="Z54" i="11" s="1"/>
  <c r="O321" i="11"/>
  <c r="Z321" i="11" s="1"/>
  <c r="O459" i="11"/>
  <c r="Z459" i="11" s="1"/>
  <c r="O378" i="11"/>
  <c r="Z378" i="11" s="1"/>
  <c r="O283" i="11"/>
  <c r="Z283" i="11" s="1"/>
  <c r="V32" i="11"/>
  <c r="AF32" i="11" s="1"/>
  <c r="V54" i="11"/>
  <c r="AF54" i="11" s="1"/>
  <c r="V303" i="11"/>
  <c r="AF303" i="11" s="1"/>
  <c r="V289" i="11"/>
  <c r="AF289" i="11" s="1"/>
  <c r="O388" i="11"/>
  <c r="Z388" i="11" s="1"/>
  <c r="O300" i="11"/>
  <c r="Z300" i="11" s="1"/>
  <c r="O250" i="11"/>
  <c r="Z250" i="11" s="1"/>
  <c r="O349" i="11"/>
  <c r="Z349" i="11" s="1"/>
  <c r="O219" i="11"/>
  <c r="Z219" i="11" s="1"/>
  <c r="O251" i="11"/>
  <c r="Z251" i="11" s="1"/>
  <c r="O412" i="11"/>
  <c r="Z412" i="11" s="1"/>
  <c r="O143" i="11"/>
  <c r="Z143" i="11" s="1"/>
  <c r="O189" i="11"/>
  <c r="Z189" i="11" s="1"/>
  <c r="O309" i="11"/>
  <c r="Z309" i="11" s="1"/>
  <c r="O420" i="11"/>
  <c r="Z420" i="11" s="1"/>
  <c r="F95" i="11"/>
  <c r="O95" i="11" s="1"/>
  <c r="Z95" i="11" s="1"/>
  <c r="O455" i="11"/>
  <c r="Z455" i="11" s="1"/>
  <c r="O315" i="11"/>
  <c r="Z315" i="11" s="1"/>
  <c r="F41" i="11"/>
  <c r="O41" i="11" s="1"/>
  <c r="Z41" i="11" s="1"/>
  <c r="F34" i="11"/>
  <c r="O34" i="11" s="1"/>
  <c r="Z34" i="11" s="1"/>
  <c r="O457" i="11"/>
  <c r="Z457" i="11" s="1"/>
  <c r="F32" i="11"/>
  <c r="O32" i="11" s="1"/>
  <c r="Z32" i="11" s="1"/>
  <c r="F36" i="11"/>
  <c r="O36" i="11" s="1"/>
  <c r="Z36" i="11" s="1"/>
  <c r="O297" i="11"/>
  <c r="Z297" i="11" s="1"/>
  <c r="V110" i="11"/>
  <c r="AF110" i="11" s="1"/>
  <c r="V231" i="11"/>
  <c r="AF231" i="11" s="1"/>
  <c r="V330" i="11"/>
  <c r="AF330" i="11" s="1"/>
  <c r="V52" i="11"/>
  <c r="AF52" i="11" s="1"/>
  <c r="V60" i="11"/>
  <c r="AF60" i="11" s="1"/>
  <c r="N48" i="11"/>
  <c r="Y48" i="11" s="1"/>
  <c r="L61" i="9"/>
  <c r="V112" i="11"/>
  <c r="AF112" i="11" s="1"/>
  <c r="V80" i="11"/>
  <c r="AF80" i="11" s="1"/>
  <c r="L56" i="9"/>
  <c r="V217" i="11"/>
  <c r="AF217" i="11" s="1"/>
  <c r="V92" i="11"/>
  <c r="AF92" i="11" s="1"/>
  <c r="F93" i="11"/>
  <c r="O93" i="11" s="1"/>
  <c r="Z93" i="11" s="1"/>
  <c r="O173" i="11"/>
  <c r="Z173" i="11" s="1"/>
  <c r="O207" i="11"/>
  <c r="Z207" i="11" s="1"/>
  <c r="F97" i="11"/>
  <c r="O97" i="11" s="1"/>
  <c r="Z97" i="11" s="1"/>
  <c r="O279" i="11"/>
  <c r="Z279" i="11" s="1"/>
  <c r="O310" i="11"/>
  <c r="Z310" i="11" s="1"/>
  <c r="O230" i="11"/>
  <c r="Z230" i="11" s="1"/>
  <c r="O428" i="11"/>
  <c r="Z428" i="11" s="1"/>
  <c r="O231" i="11"/>
  <c r="Z231" i="11" s="1"/>
  <c r="O270" i="11"/>
  <c r="Z270" i="11" s="1"/>
  <c r="F116" i="11"/>
  <c r="O116" i="11" s="1"/>
  <c r="Z116" i="11" s="1"/>
  <c r="F35" i="11"/>
  <c r="O35" i="11" s="1"/>
  <c r="Z35" i="11" s="1"/>
  <c r="O287" i="11"/>
  <c r="Z287" i="11" s="1"/>
  <c r="F64" i="11"/>
  <c r="O64" i="11" s="1"/>
  <c r="Z64" i="11" s="1"/>
  <c r="O181" i="11"/>
  <c r="Z181" i="11" s="1"/>
  <c r="O223" i="11"/>
  <c r="Z223" i="11" s="1"/>
  <c r="O148" i="11"/>
  <c r="Z148" i="11" s="1"/>
  <c r="O369" i="11"/>
  <c r="Z369" i="11" s="1"/>
  <c r="F74" i="11"/>
  <c r="O74" i="11" s="1"/>
  <c r="Z74" i="11" s="1"/>
  <c r="V433" i="11"/>
  <c r="AF433" i="11" s="1"/>
  <c r="V430" i="11"/>
  <c r="AF430" i="11" s="1"/>
  <c r="V404" i="11"/>
  <c r="AF404" i="11" s="1"/>
  <c r="V138" i="11"/>
  <c r="AF138" i="11" s="1"/>
  <c r="L55" i="9"/>
  <c r="V409" i="11"/>
  <c r="AF409" i="11" s="1"/>
  <c r="V306" i="11"/>
  <c r="AF306" i="11" s="1"/>
  <c r="V208" i="11"/>
  <c r="AF208" i="11" s="1"/>
  <c r="V191" i="11"/>
  <c r="AF191" i="11" s="1"/>
  <c r="V64" i="11"/>
  <c r="AF64" i="11" s="1"/>
  <c r="V35" i="11"/>
  <c r="AF35" i="11" s="1"/>
  <c r="Y151" i="11"/>
  <c r="V153" i="11"/>
  <c r="AF153" i="11" s="1"/>
  <c r="V286" i="11"/>
  <c r="AF286" i="11" s="1"/>
  <c r="L59" i="9"/>
  <c r="V403" i="11"/>
  <c r="AF403" i="11" s="1"/>
  <c r="V296" i="11"/>
  <c r="AF296" i="11" s="1"/>
  <c r="N61" i="11"/>
  <c r="Y61" i="11" s="1"/>
  <c r="V75" i="11"/>
  <c r="AF75" i="11" s="1"/>
  <c r="V366" i="11"/>
  <c r="AF366" i="11" s="1"/>
  <c r="V140" i="11"/>
  <c r="AF140" i="11" s="1"/>
  <c r="V200" i="11"/>
  <c r="AF200" i="11" s="1"/>
  <c r="V282" i="11"/>
  <c r="AF282" i="11" s="1"/>
  <c r="V175" i="11"/>
  <c r="AF175" i="11" s="1"/>
  <c r="V280" i="11"/>
  <c r="AF280" i="11" s="1"/>
  <c r="V344" i="11"/>
  <c r="AF344" i="11" s="1"/>
  <c r="V264" i="11"/>
  <c r="AF264" i="11" s="1"/>
  <c r="Y147" i="11"/>
  <c r="V442" i="11"/>
  <c r="AF442" i="11" s="1"/>
  <c r="V320" i="11"/>
  <c r="AF320" i="11" s="1"/>
  <c r="V278" i="11"/>
  <c r="AF278" i="11" s="1"/>
  <c r="V331" i="11"/>
  <c r="AF331" i="11" s="1"/>
  <c r="V158" i="11"/>
  <c r="AF158" i="11" s="1"/>
  <c r="V68" i="11"/>
  <c r="AF68" i="11" s="1"/>
  <c r="V84" i="11"/>
  <c r="AF84" i="11" s="1"/>
  <c r="V453" i="11"/>
  <c r="AF453" i="11" s="1"/>
  <c r="V420" i="11"/>
  <c r="AF420" i="11" s="1"/>
  <c r="V261" i="11"/>
  <c r="AF261" i="11" s="1"/>
  <c r="V329" i="11"/>
  <c r="AF329" i="11" s="1"/>
  <c r="N332" i="11"/>
  <c r="Y332" i="11" s="1"/>
  <c r="V85" i="11"/>
  <c r="AF85" i="11" s="1"/>
  <c r="V96" i="11"/>
  <c r="AF96" i="11" s="1"/>
  <c r="V423" i="11"/>
  <c r="AF423" i="11" s="1"/>
  <c r="V295" i="11"/>
  <c r="AF295" i="11" s="1"/>
  <c r="V342" i="11"/>
  <c r="AF342" i="11" s="1"/>
  <c r="V177" i="11"/>
  <c r="AF177" i="11" s="1"/>
  <c r="V25" i="11"/>
  <c r="AF25" i="11" s="1"/>
  <c r="V213" i="11"/>
  <c r="AF213" i="11" s="1"/>
  <c r="V24" i="11"/>
  <c r="AF24" i="11" s="1"/>
  <c r="V254" i="11"/>
  <c r="AF254" i="11" s="1"/>
  <c r="V53" i="11"/>
  <c r="AF53" i="11" s="1"/>
  <c r="V45" i="11"/>
  <c r="AF45" i="11" s="1"/>
  <c r="N343" i="11"/>
  <c r="Y343" i="11" s="1"/>
  <c r="N323" i="11"/>
  <c r="Y323" i="11" s="1"/>
  <c r="N372" i="11"/>
  <c r="Y372" i="11" s="1"/>
  <c r="N50" i="11"/>
  <c r="Y50" i="11" s="1"/>
  <c r="N441" i="11"/>
  <c r="Y441" i="11" s="1"/>
  <c r="N211" i="11"/>
  <c r="Y211" i="11" s="1"/>
  <c r="N462" i="11"/>
  <c r="Y462" i="11" s="1"/>
  <c r="N415" i="11"/>
  <c r="Y415" i="11" s="1"/>
  <c r="N277" i="11"/>
  <c r="Y277" i="11" s="1"/>
  <c r="N163" i="11"/>
  <c r="Y163" i="11" s="1"/>
  <c r="V44" i="11"/>
  <c r="AF44" i="11" s="1"/>
  <c r="V365" i="11"/>
  <c r="AF365" i="11" s="1"/>
  <c r="V219" i="11"/>
  <c r="AF219" i="11" s="1"/>
  <c r="N95" i="11"/>
  <c r="Y95" i="11" s="1"/>
  <c r="N300" i="11"/>
  <c r="Y300" i="11" s="1"/>
  <c r="N290" i="11"/>
  <c r="Y290" i="11" s="1"/>
  <c r="N28" i="11"/>
  <c r="Y28" i="11" s="1"/>
  <c r="N55" i="11"/>
  <c r="Y55" i="11" s="1"/>
  <c r="N266" i="11"/>
  <c r="Y266" i="11" s="1"/>
  <c r="V364" i="11"/>
  <c r="AF364" i="11" s="1"/>
  <c r="V325" i="11"/>
  <c r="AF325" i="11" s="1"/>
  <c r="V460" i="11"/>
  <c r="AF460" i="11" s="1"/>
  <c r="V174" i="11"/>
  <c r="AF174" i="11" s="1"/>
  <c r="V214" i="11"/>
  <c r="AF214" i="11" s="1"/>
  <c r="V327" i="11"/>
  <c r="AF327" i="11" s="1"/>
  <c r="V407" i="11"/>
  <c r="AF407" i="11" s="1"/>
  <c r="L42" i="9"/>
  <c r="S67" i="2"/>
  <c r="D48" i="9"/>
  <c r="L44" i="9"/>
  <c r="E44" i="9"/>
  <c r="D44" i="9"/>
  <c r="D49" i="9"/>
  <c r="E49" i="9"/>
  <c r="D43" i="9"/>
  <c r="E43" i="9"/>
  <c r="E45" i="9"/>
  <c r="D45" i="9"/>
  <c r="L46" i="9"/>
  <c r="E47" i="9"/>
  <c r="D47" i="9"/>
  <c r="L49" i="9"/>
  <c r="D13" i="9"/>
  <c r="E13" i="9"/>
  <c r="D17" i="9"/>
  <c r="E17" i="9"/>
  <c r="E12" i="9"/>
  <c r="D12" i="9"/>
  <c r="D15" i="9"/>
  <c r="E15" i="9"/>
  <c r="D23" i="9"/>
  <c r="E23" i="9"/>
  <c r="E28" i="9"/>
  <c r="D28" i="9"/>
  <c r="E26" i="9"/>
  <c r="D26" i="9"/>
  <c r="E24" i="9"/>
  <c r="D24" i="9"/>
  <c r="F14" i="10"/>
  <c r="F13" i="10"/>
  <c r="F11" i="10"/>
  <c r="F9" i="10"/>
  <c r="F12" i="10"/>
  <c r="F16" i="10"/>
  <c r="F15" i="10"/>
  <c r="F10" i="10"/>
  <c r="F8" i="10"/>
  <c r="F5" i="10"/>
  <c r="H23" i="2"/>
  <c r="H24" i="2"/>
  <c r="G23" i="2"/>
  <c r="E18" i="3"/>
  <c r="F18" i="3"/>
  <c r="G18" i="3"/>
  <c r="E19" i="3"/>
  <c r="F19" i="3"/>
  <c r="G19" i="3"/>
  <c r="E20" i="3"/>
  <c r="F20" i="3"/>
  <c r="G20" i="3"/>
  <c r="E21" i="3"/>
  <c r="F21" i="3"/>
  <c r="G21" i="3"/>
  <c r="G24" i="3" s="1"/>
  <c r="F17" i="3"/>
  <c r="G17" i="3"/>
  <c r="E17" i="3"/>
  <c r="E23" i="2"/>
  <c r="N6" i="8"/>
  <c r="N7" i="8"/>
  <c r="N8" i="8"/>
  <c r="N9" i="8"/>
  <c r="N10" i="8"/>
  <c r="N5" i="8"/>
  <c r="K6" i="8"/>
  <c r="L6" i="8"/>
  <c r="M6" i="8"/>
  <c r="K7" i="8"/>
  <c r="L7" i="8"/>
  <c r="M7" i="8"/>
  <c r="K8" i="8"/>
  <c r="L8" i="8"/>
  <c r="M8" i="8"/>
  <c r="K9" i="8"/>
  <c r="L9" i="8"/>
  <c r="M9" i="8"/>
  <c r="K10" i="8"/>
  <c r="L10" i="8"/>
  <c r="M10" i="8"/>
  <c r="L5" i="8"/>
  <c r="M5" i="8"/>
  <c r="K5" i="8"/>
  <c r="F6" i="8"/>
  <c r="G6" i="8"/>
  <c r="F7" i="8"/>
  <c r="G7" i="8"/>
  <c r="F8" i="8"/>
  <c r="G8" i="8"/>
  <c r="F9" i="8"/>
  <c r="G9" i="8"/>
  <c r="F10" i="8"/>
  <c r="G10" i="8"/>
  <c r="G5" i="8"/>
  <c r="F5" i="8"/>
  <c r="J28" i="4"/>
  <c r="Q6" i="7"/>
  <c r="R6" i="7"/>
  <c r="Q7" i="7"/>
  <c r="R7" i="7"/>
  <c r="Q8" i="7"/>
  <c r="R8" i="7"/>
  <c r="Q9" i="7"/>
  <c r="R9" i="7"/>
  <c r="Q10" i="7"/>
  <c r="R10" i="7"/>
  <c r="Q11" i="7"/>
  <c r="R11" i="7"/>
  <c r="Q12" i="7"/>
  <c r="R12" i="7"/>
  <c r="Q13" i="7"/>
  <c r="R13" i="7"/>
  <c r="Q14" i="7"/>
  <c r="R14" i="7"/>
  <c r="Q15" i="7"/>
  <c r="R15" i="7"/>
  <c r="Q16" i="7"/>
  <c r="R16" i="7"/>
  <c r="Q17" i="7"/>
  <c r="R17" i="7"/>
  <c r="Q18" i="7"/>
  <c r="R18" i="7"/>
  <c r="Q19" i="7"/>
  <c r="R19" i="7"/>
  <c r="Q20" i="7"/>
  <c r="R20" i="7"/>
  <c r="Q21" i="7"/>
  <c r="R21" i="7"/>
  <c r="Q22" i="7"/>
  <c r="R22" i="7"/>
  <c r="Q23" i="7"/>
  <c r="R23" i="7"/>
  <c r="Q24" i="7"/>
  <c r="R24" i="7"/>
  <c r="Q25" i="7"/>
  <c r="R25" i="7"/>
  <c r="Q26" i="7"/>
  <c r="R26" i="7"/>
  <c r="Q27" i="7"/>
  <c r="R27" i="7"/>
  <c r="Q28" i="7"/>
  <c r="R28" i="7"/>
  <c r="Q29" i="7"/>
  <c r="R29" i="7"/>
  <c r="Q30" i="7"/>
  <c r="R30" i="7"/>
  <c r="Q31" i="7"/>
  <c r="R31" i="7"/>
  <c r="Q32" i="7"/>
  <c r="R32" i="7"/>
  <c r="Q33" i="7"/>
  <c r="R33" i="7"/>
  <c r="Q34" i="7"/>
  <c r="R34" i="7"/>
  <c r="Q35" i="7"/>
  <c r="R35" i="7"/>
  <c r="Q36" i="7"/>
  <c r="R36" i="7"/>
  <c r="Q37" i="7"/>
  <c r="R37" i="7"/>
  <c r="Q38" i="7"/>
  <c r="R38" i="7"/>
  <c r="Q39" i="7"/>
  <c r="R39" i="7"/>
  <c r="Q40" i="7"/>
  <c r="R40" i="7"/>
  <c r="Q41" i="7"/>
  <c r="R41" i="7"/>
  <c r="Q42" i="7"/>
  <c r="R42" i="7"/>
  <c r="Q43" i="7"/>
  <c r="R43" i="7"/>
  <c r="Q44" i="7"/>
  <c r="R44" i="7"/>
  <c r="Q45" i="7"/>
  <c r="R45" i="7"/>
  <c r="Q46" i="7"/>
  <c r="R46" i="7"/>
  <c r="Q47" i="7"/>
  <c r="R47" i="7"/>
  <c r="Q48" i="7"/>
  <c r="R48" i="7"/>
  <c r="Q49" i="7"/>
  <c r="R49" i="7"/>
  <c r="Q50" i="7"/>
  <c r="R50" i="7"/>
  <c r="Q51" i="7"/>
  <c r="R51" i="7"/>
  <c r="Q52" i="7"/>
  <c r="R52" i="7"/>
  <c r="Q53" i="7"/>
  <c r="R53" i="7"/>
  <c r="Q54" i="7"/>
  <c r="R54" i="7"/>
  <c r="Q55" i="7"/>
  <c r="R55" i="7"/>
  <c r="Q56" i="7"/>
  <c r="R56" i="7"/>
  <c r="Q57" i="7"/>
  <c r="R57" i="7"/>
  <c r="Q58" i="7"/>
  <c r="R58" i="7"/>
  <c r="Q59" i="7"/>
  <c r="R59" i="7"/>
  <c r="Q60" i="7"/>
  <c r="R60" i="7"/>
  <c r="Q61" i="7"/>
  <c r="R61" i="7"/>
  <c r="Q62" i="7"/>
  <c r="R62" i="7"/>
  <c r="Q63" i="7"/>
  <c r="R63" i="7"/>
  <c r="Q64" i="7"/>
  <c r="R64" i="7"/>
  <c r="Q65" i="7"/>
  <c r="R65" i="7"/>
  <c r="Q66" i="7"/>
  <c r="R66" i="7"/>
  <c r="Q67" i="7"/>
  <c r="R67" i="7"/>
  <c r="Q68" i="7"/>
  <c r="R68" i="7"/>
  <c r="Q69" i="7"/>
  <c r="R69" i="7"/>
  <c r="Q70" i="7"/>
  <c r="R70" i="7"/>
  <c r="Q71" i="7"/>
  <c r="R71" i="7"/>
  <c r="Q72" i="7"/>
  <c r="R72" i="7"/>
  <c r="Q73" i="7"/>
  <c r="R73" i="7"/>
  <c r="Q74" i="7"/>
  <c r="R74" i="7"/>
  <c r="Q75" i="7"/>
  <c r="R75" i="7"/>
  <c r="Q76" i="7"/>
  <c r="R76" i="7"/>
  <c r="Q77" i="7"/>
  <c r="R77" i="7"/>
  <c r="Q78" i="7"/>
  <c r="R78" i="7"/>
  <c r="Q79" i="7"/>
  <c r="R79" i="7"/>
  <c r="Q80" i="7"/>
  <c r="R80" i="7"/>
  <c r="Q81" i="7"/>
  <c r="R81" i="7"/>
  <c r="Q82" i="7"/>
  <c r="R82" i="7"/>
  <c r="Q83" i="7"/>
  <c r="R83" i="7"/>
  <c r="Q84" i="7"/>
  <c r="R84" i="7"/>
  <c r="Q85" i="7"/>
  <c r="R85" i="7"/>
  <c r="Q86" i="7"/>
  <c r="R86" i="7"/>
  <c r="Q87" i="7"/>
  <c r="R87" i="7"/>
  <c r="Q88" i="7"/>
  <c r="R88" i="7"/>
  <c r="Q89" i="7"/>
  <c r="R89" i="7"/>
  <c r="Q90" i="7"/>
  <c r="R90" i="7"/>
  <c r="Q91" i="7"/>
  <c r="R91" i="7"/>
  <c r="Q92" i="7"/>
  <c r="R92" i="7"/>
  <c r="Q93" i="7"/>
  <c r="R93" i="7"/>
  <c r="Q94" i="7"/>
  <c r="R94" i="7"/>
  <c r="Q95" i="7"/>
  <c r="R95" i="7"/>
  <c r="Q96" i="7"/>
  <c r="R96" i="7"/>
  <c r="Q97" i="7"/>
  <c r="R97" i="7"/>
  <c r="Q98" i="7"/>
  <c r="R98" i="7"/>
  <c r="Q99" i="7"/>
  <c r="R99" i="7"/>
  <c r="Q100" i="7"/>
  <c r="R100" i="7"/>
  <c r="Q101" i="7"/>
  <c r="R101" i="7"/>
  <c r="Q102" i="7"/>
  <c r="R102" i="7"/>
  <c r="Q103" i="7"/>
  <c r="R103" i="7"/>
  <c r="Q104" i="7"/>
  <c r="R104" i="7"/>
  <c r="R5" i="7"/>
  <c r="Q5" i="7"/>
  <c r="E5" i="6"/>
  <c r="E6" i="6"/>
  <c r="E7" i="6"/>
  <c r="E8" i="6"/>
  <c r="E9" i="6"/>
  <c r="E10" i="6"/>
  <c r="E11" i="6"/>
  <c r="E12" i="6"/>
  <c r="E13" i="6"/>
  <c r="E14" i="6"/>
  <c r="E4" i="6"/>
  <c r="J29" i="4"/>
  <c r="J30" i="4"/>
  <c r="J31" i="4"/>
  <c r="J32" i="4"/>
  <c r="J33" i="4"/>
  <c r="X16" i="5"/>
  <c r="W16" i="5"/>
  <c r="Z2" i="7"/>
  <c r="Y2" i="7"/>
  <c r="O3" i="7"/>
  <c r="AD13" i="5"/>
  <c r="AA11" i="4"/>
  <c r="AJ11" i="4" s="1"/>
  <c r="AA12" i="4"/>
  <c r="AJ12" i="4" s="1"/>
  <c r="AA13" i="4"/>
  <c r="AJ13" i="4" s="1"/>
  <c r="AA14" i="4"/>
  <c r="AJ14" i="4" s="1"/>
  <c r="R45" i="9" s="1"/>
  <c r="AA15" i="4"/>
  <c r="AJ15" i="4" s="1"/>
  <c r="R47" i="9" s="1"/>
  <c r="AA16" i="4"/>
  <c r="AJ16" i="4" s="1"/>
  <c r="R48" i="9" s="1"/>
  <c r="AA17" i="4"/>
  <c r="AJ17" i="4" s="1"/>
  <c r="AA18" i="4"/>
  <c r="AJ18" i="4" s="1"/>
  <c r="AA19" i="4"/>
  <c r="AJ19" i="4" s="1"/>
  <c r="AA20" i="4"/>
  <c r="AJ20" i="4" s="1"/>
  <c r="R50" i="9" s="1"/>
  <c r="AA21" i="4"/>
  <c r="AJ21" i="4" s="1"/>
  <c r="AA10" i="4"/>
  <c r="AJ10" i="4" s="1"/>
  <c r="R43" i="9" s="1"/>
  <c r="AB11" i="4"/>
  <c r="AB12" i="4"/>
  <c r="AB13" i="4"/>
  <c r="AB14" i="4"/>
  <c r="AB15" i="4"/>
  <c r="AB16" i="4"/>
  <c r="AB17" i="4"/>
  <c r="AB18" i="4"/>
  <c r="AB19" i="4"/>
  <c r="AB20" i="4"/>
  <c r="AB21" i="4"/>
  <c r="AB10" i="4"/>
  <c r="H6" i="5"/>
  <c r="I6" i="5" s="1"/>
  <c r="H7" i="5"/>
  <c r="H5" i="5"/>
  <c r="O8" i="5"/>
  <c r="O14" i="5" s="1"/>
  <c r="H16" i="4"/>
  <c r="I26" i="4" s="1"/>
  <c r="I28" i="4" s="1"/>
  <c r="H241" i="11" l="1"/>
  <c r="K241" i="11" s="1"/>
  <c r="U54" i="9"/>
  <c r="U53" i="9"/>
  <c r="U59" i="9"/>
  <c r="U58" i="9"/>
  <c r="U60" i="9"/>
  <c r="O236" i="11"/>
  <c r="Z236" i="11" s="1"/>
  <c r="U55" i="9"/>
  <c r="V50" i="11"/>
  <c r="AF50" i="11" s="1"/>
  <c r="U57" i="9"/>
  <c r="O348" i="11"/>
  <c r="Z348" i="11" s="1"/>
  <c r="O347" i="11"/>
  <c r="Z347" i="11" s="1"/>
  <c r="U56" i="9"/>
  <c r="M56" i="9"/>
  <c r="V61" i="11"/>
  <c r="AF61" i="11" s="1"/>
  <c r="O361" i="11"/>
  <c r="O235" i="11"/>
  <c r="Z235" i="11" s="1"/>
  <c r="H240" i="11"/>
  <c r="M53" i="9"/>
  <c r="M55" i="9"/>
  <c r="V211" i="11"/>
  <c r="AF211" i="11" s="1"/>
  <c r="O22" i="11"/>
  <c r="M58" i="9"/>
  <c r="M54" i="9"/>
  <c r="H353" i="11"/>
  <c r="M61" i="9"/>
  <c r="M57" i="9"/>
  <c r="M60" i="9"/>
  <c r="O137" i="11"/>
  <c r="Z137" i="11" s="1"/>
  <c r="H242" i="11"/>
  <c r="K242" i="11" s="1"/>
  <c r="O346" i="11"/>
  <c r="Z346" i="11" s="1"/>
  <c r="H357" i="11"/>
  <c r="O248" i="11"/>
  <c r="V48" i="11"/>
  <c r="AF48" i="11" s="1"/>
  <c r="V332" i="11"/>
  <c r="AF332" i="11" s="1"/>
  <c r="V323" i="11"/>
  <c r="AF323" i="11" s="1"/>
  <c r="V343" i="11"/>
  <c r="AF343" i="11" s="1"/>
  <c r="V415" i="11"/>
  <c r="AF415" i="11" s="1"/>
  <c r="V28" i="11"/>
  <c r="AF28" i="11" s="1"/>
  <c r="V95" i="11"/>
  <c r="AF95" i="11" s="1"/>
  <c r="V277" i="11"/>
  <c r="AF277" i="11" s="1"/>
  <c r="V462" i="11"/>
  <c r="AF462" i="11" s="1"/>
  <c r="V441" i="11"/>
  <c r="AF441" i="11" s="1"/>
  <c r="V290" i="11"/>
  <c r="AF290" i="11" s="1"/>
  <c r="V300" i="11"/>
  <c r="AF300" i="11" s="1"/>
  <c r="V372" i="11"/>
  <c r="AF372" i="11" s="1"/>
  <c r="K243" i="11"/>
  <c r="V163" i="11"/>
  <c r="AF163" i="11" s="1"/>
  <c r="V266" i="11"/>
  <c r="AF266" i="11" s="1"/>
  <c r="V55" i="11"/>
  <c r="AF55" i="11" s="1"/>
  <c r="K244" i="11"/>
  <c r="Q10" i="8"/>
  <c r="P7" i="8"/>
  <c r="Q8" i="8"/>
  <c r="Q9" i="8"/>
  <c r="P6" i="8"/>
  <c r="F14" i="8"/>
  <c r="J14" i="8" s="1"/>
  <c r="N28" i="4" s="1"/>
  <c r="J15" i="7"/>
  <c r="J5" i="7"/>
  <c r="AB5" i="7" s="1"/>
  <c r="J8" i="7"/>
  <c r="J14" i="7"/>
  <c r="J12" i="7"/>
  <c r="J7" i="7"/>
  <c r="J13" i="7"/>
  <c r="J11" i="7"/>
  <c r="J10" i="7"/>
  <c r="J9" i="7"/>
  <c r="J6" i="7"/>
  <c r="P18" i="9"/>
  <c r="Q18" i="9"/>
  <c r="N21" i="9"/>
  <c r="M21" i="9" s="1"/>
  <c r="R18" i="9"/>
  <c r="N11" i="9"/>
  <c r="M11" i="9" s="1"/>
  <c r="R26" i="9"/>
  <c r="N16" i="9"/>
  <c r="M16" i="9" s="1"/>
  <c r="O14" i="9"/>
  <c r="O16" i="9"/>
  <c r="P14" i="9"/>
  <c r="P16" i="9"/>
  <c r="N14" i="9"/>
  <c r="M14" i="9" s="1"/>
  <c r="Q14" i="9"/>
  <c r="R24" i="9"/>
  <c r="Q16" i="9"/>
  <c r="R16" i="9"/>
  <c r="R25" i="9"/>
  <c r="R23" i="9"/>
  <c r="R11" i="9"/>
  <c r="R12" i="9"/>
  <c r="N25" i="9"/>
  <c r="M25" i="9" s="1"/>
  <c r="R29" i="9"/>
  <c r="O25" i="9"/>
  <c r="Q25" i="9"/>
  <c r="N28" i="9"/>
  <c r="M28" i="9" s="1"/>
  <c r="R17" i="9"/>
  <c r="P11" i="9"/>
  <c r="R21" i="9"/>
  <c r="O18" i="9"/>
  <c r="R27" i="9"/>
  <c r="R13" i="9"/>
  <c r="R22" i="9"/>
  <c r="R14" i="9"/>
  <c r="P25" i="9"/>
  <c r="R10" i="9"/>
  <c r="O11" i="9"/>
  <c r="N23" i="9"/>
  <c r="M23" i="9" s="1"/>
  <c r="R15" i="9"/>
  <c r="Q11" i="9"/>
  <c r="N18" i="9"/>
  <c r="M18" i="9" s="1"/>
  <c r="R28" i="9"/>
  <c r="H25" i="3"/>
  <c r="H24" i="3"/>
  <c r="S9" i="8"/>
  <c r="S8" i="8"/>
  <c r="S7" i="8"/>
  <c r="Q7" i="8"/>
  <c r="Q6" i="8"/>
  <c r="P5" i="8"/>
  <c r="P10" i="8"/>
  <c r="P9" i="8"/>
  <c r="P8" i="8"/>
  <c r="Q5" i="8"/>
  <c r="I7" i="5"/>
  <c r="Z20" i="5"/>
  <c r="Z23" i="5"/>
  <c r="Z27" i="5"/>
  <c r="Z30" i="5"/>
  <c r="Z34" i="5"/>
  <c r="Z44" i="5"/>
  <c r="Z47" i="5"/>
  <c r="Z62" i="5"/>
  <c r="Z65" i="5"/>
  <c r="Z73" i="5"/>
  <c r="Z76" i="5"/>
  <c r="Z80" i="5"/>
  <c r="Z83" i="5"/>
  <c r="Z87" i="5"/>
  <c r="Z90" i="5"/>
  <c r="Z101" i="5"/>
  <c r="Z105" i="5"/>
  <c r="Z109" i="5"/>
  <c r="Z112" i="5"/>
  <c r="Z19" i="5"/>
  <c r="Z22" i="5"/>
  <c r="Z26" i="5"/>
  <c r="Z29" i="5"/>
  <c r="Z33" i="5"/>
  <c r="Z36" i="5"/>
  <c r="Z43" i="5"/>
  <c r="Z46" i="5"/>
  <c r="Z50" i="5"/>
  <c r="Z54" i="5"/>
  <c r="Z61" i="5"/>
  <c r="Z64" i="5"/>
  <c r="Z68" i="5"/>
  <c r="Z75" i="5"/>
  <c r="Z79" i="5"/>
  <c r="Z82" i="5"/>
  <c r="Z89" i="5"/>
  <c r="Z96" i="5"/>
  <c r="Z100" i="5"/>
  <c r="Z107" i="5"/>
  <c r="Z111" i="5"/>
  <c r="Z32" i="5"/>
  <c r="Z39" i="5"/>
  <c r="Z42" i="5"/>
  <c r="Z53" i="5"/>
  <c r="Z57" i="5"/>
  <c r="Z60" i="5"/>
  <c r="Z71" i="5"/>
  <c r="Z78" i="5"/>
  <c r="Z85" i="5"/>
  <c r="Z92" i="5"/>
  <c r="Z95" i="5"/>
  <c r="Z99" i="5"/>
  <c r="Z103" i="5"/>
  <c r="Z24" i="5"/>
  <c r="Z31" i="5"/>
  <c r="Z38" i="5"/>
  <c r="Z41" i="5"/>
  <c r="Z48" i="5"/>
  <c r="Z52" i="5"/>
  <c r="Z21" i="5"/>
  <c r="Z51" i="5"/>
  <c r="Z66" i="5"/>
  <c r="Z91" i="5"/>
  <c r="Z94" i="5"/>
  <c r="Z113" i="5"/>
  <c r="Z117" i="5"/>
  <c r="Z93" i="5"/>
  <c r="Z115" i="5"/>
  <c r="Z28" i="5"/>
  <c r="Z63" i="5"/>
  <c r="Z77" i="5"/>
  <c r="Z110" i="5"/>
  <c r="Z35" i="5"/>
  <c r="Z55" i="5"/>
  <c r="Z58" i="5"/>
  <c r="Z69" i="5"/>
  <c r="Z72" i="5"/>
  <c r="Z86" i="5"/>
  <c r="Z97" i="5"/>
  <c r="Z108" i="5"/>
  <c r="Z37" i="5"/>
  <c r="Z88" i="5"/>
  <c r="Z114" i="5"/>
  <c r="Z40" i="5"/>
  <c r="Z67" i="5"/>
  <c r="Z81" i="5"/>
  <c r="Z84" i="5"/>
  <c r="Z106" i="5"/>
  <c r="Z116" i="5"/>
  <c r="Z18" i="5"/>
  <c r="Z25" i="5"/>
  <c r="Z45" i="5"/>
  <c r="Z49" i="5"/>
  <c r="Z56" i="5"/>
  <c r="Z59" i="5"/>
  <c r="Z70" i="5"/>
  <c r="Z98" i="5"/>
  <c r="Z104" i="5"/>
  <c r="Z74" i="5"/>
  <c r="Z102" i="5"/>
  <c r="AF10" i="4"/>
  <c r="K353" i="11" l="1"/>
  <c r="K357" i="11"/>
  <c r="K355" i="11"/>
  <c r="K240" i="11"/>
  <c r="K245" i="11" s="1"/>
  <c r="F247" i="11" s="1"/>
  <c r="K354" i="11"/>
  <c r="K356" i="11"/>
  <c r="H358" i="11"/>
  <c r="A52" i="9"/>
  <c r="H245" i="11"/>
  <c r="AB63" i="7"/>
  <c r="AB71" i="7"/>
  <c r="AB54" i="7"/>
  <c r="AB74" i="7"/>
  <c r="AB60" i="7"/>
  <c r="AB83" i="7"/>
  <c r="AB79" i="7"/>
  <c r="AB82" i="7"/>
  <c r="AB41" i="7"/>
  <c r="AB55" i="7"/>
  <c r="AB37" i="7"/>
  <c r="AB25" i="7"/>
  <c r="AB12" i="7"/>
  <c r="AB21" i="7"/>
  <c r="AB23" i="7"/>
  <c r="AB32" i="7"/>
  <c r="AB40" i="7"/>
  <c r="AB28" i="7"/>
  <c r="AB62" i="7"/>
  <c r="AB36" i="7"/>
  <c r="AB45" i="7"/>
  <c r="AB53" i="7"/>
  <c r="AB61" i="7"/>
  <c r="AB103" i="7"/>
  <c r="AB16" i="7"/>
  <c r="AB35" i="7"/>
  <c r="AB6" i="7"/>
  <c r="AB92" i="7"/>
  <c r="AB58" i="7"/>
  <c r="AB56" i="7"/>
  <c r="AB89" i="7"/>
  <c r="AB77" i="7"/>
  <c r="AB22" i="7"/>
  <c r="AB90" i="7"/>
  <c r="AB99" i="7"/>
  <c r="AB93" i="7"/>
  <c r="AB15" i="7"/>
  <c r="AB31" i="7"/>
  <c r="AB10" i="7"/>
  <c r="AB24" i="7"/>
  <c r="AB64" i="7"/>
  <c r="AB98" i="7"/>
  <c r="AB14" i="7"/>
  <c r="AB26" i="7"/>
  <c r="AB34" i="7"/>
  <c r="AB18" i="7"/>
  <c r="AB52" i="7"/>
  <c r="AB17" i="7"/>
  <c r="AB94" i="7"/>
  <c r="AB87" i="7"/>
  <c r="AB42" i="7"/>
  <c r="AB27" i="7"/>
  <c r="AB78" i="7"/>
  <c r="AB19" i="7"/>
  <c r="AB51" i="7"/>
  <c r="AB38" i="7"/>
  <c r="AB88" i="7"/>
  <c r="AB68" i="7"/>
  <c r="AB76" i="7"/>
  <c r="AB84" i="7"/>
  <c r="AB81" i="7"/>
  <c r="AB59" i="7"/>
  <c r="AB46" i="7"/>
  <c r="AB8" i="7"/>
  <c r="AB95" i="7"/>
  <c r="AB72" i="7"/>
  <c r="AB91" i="7"/>
  <c r="AB69" i="7"/>
  <c r="AB33" i="7"/>
  <c r="AB101" i="7"/>
  <c r="AB102" i="7"/>
  <c r="AB29" i="7"/>
  <c r="AB49" i="7"/>
  <c r="AB43" i="7"/>
  <c r="AB97" i="7"/>
  <c r="AB48" i="7"/>
  <c r="AB67" i="7"/>
  <c r="AB30" i="7"/>
  <c r="AB44" i="7"/>
  <c r="AB100" i="7"/>
  <c r="AB57" i="7"/>
  <c r="AB70" i="7"/>
  <c r="AB39" i="7"/>
  <c r="AB66" i="7"/>
  <c r="AB13" i="7"/>
  <c r="H5" i="7"/>
  <c r="AB65" i="7"/>
  <c r="AB9" i="7"/>
  <c r="AB47" i="7"/>
  <c r="AB75" i="7"/>
  <c r="AB85" i="7"/>
  <c r="AB11" i="7"/>
  <c r="AB50" i="7"/>
  <c r="AB80" i="7"/>
  <c r="AB96" i="7"/>
  <c r="AB73" i="7"/>
  <c r="AB20" i="7"/>
  <c r="AB7" i="7"/>
  <c r="AB86" i="7"/>
  <c r="AB104" i="7"/>
  <c r="V18" i="5"/>
  <c r="L18" i="9"/>
  <c r="L25" i="9"/>
  <c r="L16" i="9"/>
  <c r="L11" i="9"/>
  <c r="L14" i="9"/>
  <c r="H23" i="3"/>
  <c r="E32" i="3" s="1"/>
  <c r="Q2" i="8"/>
  <c r="R6" i="8" s="1"/>
  <c r="S6" i="8" s="1"/>
  <c r="AG11" i="4"/>
  <c r="AH11" i="4"/>
  <c r="AI11" i="4"/>
  <c r="AG12" i="4"/>
  <c r="AH12" i="4"/>
  <c r="AI12" i="4"/>
  <c r="I7" i="7" s="1"/>
  <c r="AG13" i="4"/>
  <c r="AH13" i="4"/>
  <c r="AI13" i="4"/>
  <c r="I8" i="7" s="1"/>
  <c r="AG14" i="4"/>
  <c r="O45" i="9" s="1"/>
  <c r="AH14" i="4"/>
  <c r="P45" i="9" s="1"/>
  <c r="AI14" i="4"/>
  <c r="Q45" i="9" s="1"/>
  <c r="AG15" i="4"/>
  <c r="O47" i="9" s="1"/>
  <c r="AH15" i="4"/>
  <c r="P47" i="9" s="1"/>
  <c r="AI15" i="4"/>
  <c r="AG16" i="4"/>
  <c r="AH16" i="4"/>
  <c r="AI16" i="4"/>
  <c r="AG17" i="4"/>
  <c r="AH17" i="4"/>
  <c r="AI17" i="4"/>
  <c r="I12" i="7" s="1"/>
  <c r="AG18" i="4"/>
  <c r="AH18" i="4"/>
  <c r="AI18" i="4"/>
  <c r="I13" i="7" s="1"/>
  <c r="AG19" i="4"/>
  <c r="AH19" i="4"/>
  <c r="AI19" i="4"/>
  <c r="I14" i="7" s="1"/>
  <c r="AG20" i="4"/>
  <c r="AH20" i="4"/>
  <c r="AI20" i="4"/>
  <c r="AG21" i="4"/>
  <c r="AH21" i="4"/>
  <c r="AI21" i="4"/>
  <c r="AH10" i="4"/>
  <c r="AI10" i="4"/>
  <c r="AG10" i="4"/>
  <c r="AF11" i="4"/>
  <c r="Y11" i="4"/>
  <c r="Y12" i="4"/>
  <c r="Y13" i="4"/>
  <c r="Y14" i="4"/>
  <c r="Y15" i="4"/>
  <c r="Y16" i="4"/>
  <c r="Y17" i="4"/>
  <c r="Y18" i="4"/>
  <c r="Y19" i="4"/>
  <c r="Y20" i="4"/>
  <c r="Y21" i="4"/>
  <c r="Y10" i="4"/>
  <c r="T11" i="4"/>
  <c r="T12" i="4"/>
  <c r="T13" i="4"/>
  <c r="T14" i="4"/>
  <c r="T15" i="4"/>
  <c r="T16" i="4"/>
  <c r="T17" i="4"/>
  <c r="T18" i="4"/>
  <c r="T19" i="4"/>
  <c r="T20" i="4"/>
  <c r="T21" i="4"/>
  <c r="T10" i="4"/>
  <c r="AC11" i="4"/>
  <c r="E6" i="7" s="1"/>
  <c r="AC12" i="4"/>
  <c r="E7" i="7" s="1"/>
  <c r="AC13" i="4"/>
  <c r="E8" i="7" s="1"/>
  <c r="AC14" i="4"/>
  <c r="E9" i="7" s="1"/>
  <c r="AC15" i="4"/>
  <c r="E10" i="7" s="1"/>
  <c r="AC16" i="4"/>
  <c r="E11" i="7" s="1"/>
  <c r="AC17" i="4"/>
  <c r="E12" i="7" s="1"/>
  <c r="AC18" i="4"/>
  <c r="E13" i="7" s="1"/>
  <c r="AC19" i="4"/>
  <c r="E14" i="7" s="1"/>
  <c r="AC20" i="4"/>
  <c r="E15" i="7" s="1"/>
  <c r="AC21" i="4"/>
  <c r="AC10" i="4"/>
  <c r="E5" i="7" s="1"/>
  <c r="K28" i="4"/>
  <c r="L28" i="4"/>
  <c r="K29" i="4"/>
  <c r="L29" i="4"/>
  <c r="K30" i="4"/>
  <c r="L30" i="4"/>
  <c r="K31" i="4"/>
  <c r="L31" i="4"/>
  <c r="K32" i="4"/>
  <c r="L32" i="4"/>
  <c r="K33" i="4"/>
  <c r="L33" i="4"/>
  <c r="AF15" i="4"/>
  <c r="F8" i="5"/>
  <c r="F7" i="5"/>
  <c r="P18" i="5"/>
  <c r="G21" i="2"/>
  <c r="G17" i="2"/>
  <c r="G18" i="2"/>
  <c r="G19" i="2"/>
  <c r="G20" i="2"/>
  <c r="N16" i="3"/>
  <c r="N44" i="3" s="1"/>
  <c r="E21" i="2"/>
  <c r="E42" i="1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Q19" i="5"/>
  <c r="Q20" i="5"/>
  <c r="Q21" i="5"/>
  <c r="Q22" i="5"/>
  <c r="Q23" i="5"/>
  <c r="Q24" i="5"/>
  <c r="Q25" i="5"/>
  <c r="Q26" i="5"/>
  <c r="Q27" i="5"/>
  <c r="Q28" i="5"/>
  <c r="Q29" i="5"/>
  <c r="Q18" i="5"/>
  <c r="P19" i="5"/>
  <c r="P20" i="5"/>
  <c r="P21" i="5"/>
  <c r="P22" i="5"/>
  <c r="P23" i="5"/>
  <c r="P24" i="5"/>
  <c r="P25" i="5"/>
  <c r="P26" i="5"/>
  <c r="P27" i="5"/>
  <c r="P28" i="5"/>
  <c r="P29" i="5"/>
  <c r="O19" i="5"/>
  <c r="O20" i="5"/>
  <c r="O21" i="5"/>
  <c r="O22" i="5"/>
  <c r="O23" i="5"/>
  <c r="O24" i="5"/>
  <c r="O25" i="5"/>
  <c r="O26" i="5"/>
  <c r="O27" i="5"/>
  <c r="O28" i="5"/>
  <c r="O29" i="5"/>
  <c r="O18" i="5"/>
  <c r="K358" i="11" l="1"/>
  <c r="F360" i="11" s="1"/>
  <c r="O48" i="9"/>
  <c r="O27" i="9"/>
  <c r="O43" i="9"/>
  <c r="O22" i="9"/>
  <c r="I10" i="7"/>
  <c r="Q47" i="9"/>
  <c r="P43" i="9"/>
  <c r="P22" i="9"/>
  <c r="Q50" i="9"/>
  <c r="Q29" i="9"/>
  <c r="H6" i="7"/>
  <c r="P50" i="9"/>
  <c r="P29" i="9"/>
  <c r="O50" i="9"/>
  <c r="O29" i="9"/>
  <c r="H10" i="7"/>
  <c r="Q43" i="9"/>
  <c r="Q22" i="9"/>
  <c r="P48" i="9"/>
  <c r="P27" i="9"/>
  <c r="Q48" i="9"/>
  <c r="Q27" i="9"/>
  <c r="I11" i="7"/>
  <c r="Q26" i="9"/>
  <c r="Q15" i="9"/>
  <c r="P26" i="9"/>
  <c r="P15" i="9"/>
  <c r="O21" i="9"/>
  <c r="O10" i="9"/>
  <c r="O15" i="9"/>
  <c r="O26" i="9"/>
  <c r="I5" i="7"/>
  <c r="AA27" i="7" s="1"/>
  <c r="S27" i="7" s="1"/>
  <c r="Q10" i="9"/>
  <c r="Q21" i="9"/>
  <c r="P21" i="9"/>
  <c r="P10" i="9"/>
  <c r="I9" i="7"/>
  <c r="Q13" i="9"/>
  <c r="Q24" i="9"/>
  <c r="P13" i="9"/>
  <c r="P24" i="9"/>
  <c r="I15" i="7"/>
  <c r="Q28" i="9"/>
  <c r="Q17" i="9"/>
  <c r="O24" i="9"/>
  <c r="O13" i="9"/>
  <c r="P28" i="9"/>
  <c r="P17" i="9"/>
  <c r="O17" i="9"/>
  <c r="O28" i="9"/>
  <c r="I6" i="7"/>
  <c r="Q23" i="9"/>
  <c r="Q12" i="9"/>
  <c r="P12" i="9"/>
  <c r="P23" i="9"/>
  <c r="O23" i="9"/>
  <c r="O12" i="9"/>
  <c r="E28" i="3"/>
  <c r="E29" i="3"/>
  <c r="E31" i="3" s="1"/>
  <c r="E30" i="3"/>
  <c r="R5" i="8"/>
  <c r="R10" i="8"/>
  <c r="S10" i="8" s="1"/>
  <c r="Y37" i="5"/>
  <c r="Y40" i="5"/>
  <c r="Y51" i="5"/>
  <c r="Y55" i="5"/>
  <c r="Y58" i="5"/>
  <c r="Y69" i="5"/>
  <c r="Y72" i="5"/>
  <c r="Y86" i="5"/>
  <c r="Y93" i="5"/>
  <c r="Y97" i="5"/>
  <c r="Y104" i="5"/>
  <c r="Y108" i="5"/>
  <c r="Y19" i="5"/>
  <c r="Y22" i="5"/>
  <c r="Y26" i="5"/>
  <c r="Y29" i="5"/>
  <c r="Y32" i="5"/>
  <c r="Y39" i="5"/>
  <c r="Y42" i="5"/>
  <c r="Y53" i="5"/>
  <c r="Y57" i="5"/>
  <c r="Y60" i="5"/>
  <c r="Y71" i="5"/>
  <c r="Y78" i="5"/>
  <c r="Y85" i="5"/>
  <c r="Y92" i="5"/>
  <c r="Y95" i="5"/>
  <c r="Y99" i="5"/>
  <c r="Y103" i="5"/>
  <c r="Y21" i="5"/>
  <c r="Y25" i="5"/>
  <c r="Y28" i="5"/>
  <c r="Y35" i="5"/>
  <c r="Y45" i="5"/>
  <c r="Y49" i="5"/>
  <c r="Y63" i="5"/>
  <c r="Y67" i="5"/>
  <c r="Y74" i="5"/>
  <c r="Y77" i="5"/>
  <c r="Y81" i="5"/>
  <c r="Y84" i="5"/>
  <c r="Y88" i="5"/>
  <c r="Y102" i="5"/>
  <c r="Y106" i="5"/>
  <c r="Y110" i="5"/>
  <c r="Y20" i="5"/>
  <c r="Y23" i="5"/>
  <c r="Y27" i="5"/>
  <c r="Y30" i="5"/>
  <c r="Y34" i="5"/>
  <c r="Y44" i="5"/>
  <c r="Y47" i="5"/>
  <c r="Y43" i="5"/>
  <c r="Y80" i="5"/>
  <c r="Y83" i="5"/>
  <c r="Y105" i="5"/>
  <c r="Y109" i="5"/>
  <c r="Y115" i="5"/>
  <c r="Y54" i="5"/>
  <c r="Y107" i="5"/>
  <c r="Y94" i="5"/>
  <c r="Y31" i="5"/>
  <c r="Y48" i="5"/>
  <c r="Y52" i="5"/>
  <c r="Y61" i="5"/>
  <c r="Y64" i="5"/>
  <c r="Y75" i="5"/>
  <c r="Y89" i="5"/>
  <c r="Y100" i="5"/>
  <c r="Y111" i="5"/>
  <c r="Y116" i="5"/>
  <c r="Y73" i="5"/>
  <c r="Y87" i="5"/>
  <c r="Y90" i="5"/>
  <c r="Y101" i="5"/>
  <c r="Y112" i="5"/>
  <c r="Y50" i="5"/>
  <c r="Y68" i="5"/>
  <c r="Y79" i="5"/>
  <c r="Y96" i="5"/>
  <c r="Y114" i="5"/>
  <c r="Y38" i="5"/>
  <c r="Y24" i="5"/>
  <c r="Y36" i="5"/>
  <c r="Y56" i="5"/>
  <c r="Y59" i="5"/>
  <c r="Y70" i="5"/>
  <c r="Y98" i="5"/>
  <c r="Y41" i="5"/>
  <c r="Y62" i="5"/>
  <c r="Y65" i="5"/>
  <c r="Y76" i="5"/>
  <c r="Y18" i="5"/>
  <c r="Y33" i="5"/>
  <c r="Y46" i="5"/>
  <c r="Y82" i="5"/>
  <c r="Y66" i="5"/>
  <c r="Y91" i="5"/>
  <c r="Y113" i="5"/>
  <c r="Y117" i="5"/>
  <c r="X19" i="5"/>
  <c r="X22" i="5"/>
  <c r="X26" i="5"/>
  <c r="X29" i="5"/>
  <c r="X33" i="5"/>
  <c r="X36" i="5"/>
  <c r="X43" i="5"/>
  <c r="X46" i="5"/>
  <c r="X50" i="5"/>
  <c r="X54" i="5"/>
  <c r="X61" i="5"/>
  <c r="X64" i="5"/>
  <c r="X68" i="5"/>
  <c r="X75" i="5"/>
  <c r="X79" i="5"/>
  <c r="X82" i="5"/>
  <c r="X89" i="5"/>
  <c r="X96" i="5"/>
  <c r="X100" i="5"/>
  <c r="X107" i="5"/>
  <c r="X111" i="5"/>
  <c r="X21" i="5"/>
  <c r="X25" i="5"/>
  <c r="X28" i="5"/>
  <c r="X35" i="5"/>
  <c r="X45" i="5"/>
  <c r="X49" i="5"/>
  <c r="X63" i="5"/>
  <c r="X67" i="5"/>
  <c r="X74" i="5"/>
  <c r="X77" i="5"/>
  <c r="X81" i="5"/>
  <c r="X84" i="5"/>
  <c r="X88" i="5"/>
  <c r="X102" i="5"/>
  <c r="X106" i="5"/>
  <c r="X110" i="5"/>
  <c r="X113" i="5"/>
  <c r="X24" i="5"/>
  <c r="X31" i="5"/>
  <c r="X38" i="5"/>
  <c r="X41" i="5"/>
  <c r="X48" i="5"/>
  <c r="X52" i="5"/>
  <c r="X56" i="5"/>
  <c r="X59" i="5"/>
  <c r="X66" i="5"/>
  <c r="X70" i="5"/>
  <c r="X91" i="5"/>
  <c r="X94" i="5"/>
  <c r="X98" i="5"/>
  <c r="X37" i="5"/>
  <c r="X40" i="5"/>
  <c r="X51" i="5"/>
  <c r="X30" i="5"/>
  <c r="X39" i="5"/>
  <c r="X55" i="5"/>
  <c r="X58" i="5"/>
  <c r="X69" i="5"/>
  <c r="X72" i="5"/>
  <c r="X86" i="5"/>
  <c r="X97" i="5"/>
  <c r="X108" i="5"/>
  <c r="X116" i="5"/>
  <c r="X104" i="5"/>
  <c r="X42" i="5"/>
  <c r="X71" i="5"/>
  <c r="X85" i="5"/>
  <c r="X18" i="5"/>
  <c r="X34" i="5"/>
  <c r="X105" i="5"/>
  <c r="X23" i="5"/>
  <c r="X44" i="5"/>
  <c r="X78" i="5"/>
  <c r="X92" i="5"/>
  <c r="X95" i="5"/>
  <c r="X103" i="5"/>
  <c r="X60" i="5"/>
  <c r="X80" i="5"/>
  <c r="X32" i="5"/>
  <c r="X53" i="5"/>
  <c r="X62" i="5"/>
  <c r="X65" i="5"/>
  <c r="X73" i="5"/>
  <c r="X76" i="5"/>
  <c r="X87" i="5"/>
  <c r="X90" i="5"/>
  <c r="X101" i="5"/>
  <c r="X109" i="5"/>
  <c r="X112" i="5"/>
  <c r="X115" i="5"/>
  <c r="X93" i="5"/>
  <c r="X114" i="5"/>
  <c r="X27" i="5"/>
  <c r="X57" i="5"/>
  <c r="X99" i="5"/>
  <c r="X117" i="5"/>
  <c r="X20" i="5"/>
  <c r="X47" i="5"/>
  <c r="X83" i="5"/>
  <c r="W32" i="5"/>
  <c r="W39" i="5"/>
  <c r="W42" i="5"/>
  <c r="W53" i="5"/>
  <c r="W57" i="5"/>
  <c r="W60" i="5"/>
  <c r="W71" i="5"/>
  <c r="W78" i="5"/>
  <c r="W85" i="5"/>
  <c r="W92" i="5"/>
  <c r="W95" i="5"/>
  <c r="W99" i="5"/>
  <c r="W103" i="5"/>
  <c r="W21" i="5"/>
  <c r="W25" i="5"/>
  <c r="W28" i="5"/>
  <c r="W24" i="5"/>
  <c r="W31" i="5"/>
  <c r="W38" i="5"/>
  <c r="W41" i="5"/>
  <c r="W48" i="5"/>
  <c r="W52" i="5"/>
  <c r="W56" i="5"/>
  <c r="W59" i="5"/>
  <c r="W66" i="5"/>
  <c r="W70" i="5"/>
  <c r="W91" i="5"/>
  <c r="W94" i="5"/>
  <c r="W98" i="5"/>
  <c r="W20" i="5"/>
  <c r="W23" i="5"/>
  <c r="W27" i="5"/>
  <c r="W30" i="5"/>
  <c r="W34" i="5"/>
  <c r="W44" i="5"/>
  <c r="W47" i="5"/>
  <c r="W62" i="5"/>
  <c r="W65" i="5"/>
  <c r="W73" i="5"/>
  <c r="W76" i="5"/>
  <c r="W80" i="5"/>
  <c r="W83" i="5"/>
  <c r="W87" i="5"/>
  <c r="W90" i="5"/>
  <c r="W101" i="5"/>
  <c r="W105" i="5"/>
  <c r="W109" i="5"/>
  <c r="W112" i="5"/>
  <c r="W19" i="5"/>
  <c r="W22" i="5"/>
  <c r="W26" i="5"/>
  <c r="W29" i="5"/>
  <c r="W33" i="5"/>
  <c r="W36" i="5"/>
  <c r="W43" i="5"/>
  <c r="W46" i="5"/>
  <c r="W50" i="5"/>
  <c r="W54" i="5"/>
  <c r="W35" i="5"/>
  <c r="W61" i="5"/>
  <c r="W64" i="5"/>
  <c r="W75" i="5"/>
  <c r="W89" i="5"/>
  <c r="W100" i="5"/>
  <c r="W111" i="5"/>
  <c r="W79" i="5"/>
  <c r="W96" i="5"/>
  <c r="W63" i="5"/>
  <c r="W77" i="5"/>
  <c r="W102" i="5"/>
  <c r="W55" i="5"/>
  <c r="W72" i="5"/>
  <c r="W86" i="5"/>
  <c r="W116" i="5"/>
  <c r="W40" i="5"/>
  <c r="W67" i="5"/>
  <c r="W81" i="5"/>
  <c r="W84" i="5"/>
  <c r="W106" i="5"/>
  <c r="W115" i="5"/>
  <c r="W68" i="5"/>
  <c r="W82" i="5"/>
  <c r="W117" i="5"/>
  <c r="W88" i="5"/>
  <c r="W110" i="5"/>
  <c r="W51" i="5"/>
  <c r="W69" i="5"/>
  <c r="W97" i="5"/>
  <c r="W108" i="5"/>
  <c r="W18" i="5"/>
  <c r="W45" i="5"/>
  <c r="W49" i="5"/>
  <c r="W93" i="5"/>
  <c r="W104" i="5"/>
  <c r="W114" i="5"/>
  <c r="W37" i="5"/>
  <c r="W107" i="5"/>
  <c r="W74" i="5"/>
  <c r="W113" i="5"/>
  <c r="W58" i="5"/>
  <c r="AF14" i="4"/>
  <c r="AF13" i="4"/>
  <c r="H8" i="7" s="1"/>
  <c r="AF12" i="4"/>
  <c r="H7" i="7" s="1"/>
  <c r="AF21" i="4"/>
  <c r="AF20" i="4"/>
  <c r="AF19" i="4"/>
  <c r="H14" i="7" s="1"/>
  <c r="AF18" i="4"/>
  <c r="H13" i="7" s="1"/>
  <c r="AF17" i="4"/>
  <c r="H12" i="7" s="1"/>
  <c r="AF16" i="4"/>
  <c r="I31" i="4"/>
  <c r="I33" i="4"/>
  <c r="I32" i="4"/>
  <c r="I29" i="4"/>
  <c r="I30" i="4"/>
  <c r="E39" i="1"/>
  <c r="F6" i="5"/>
  <c r="F5" i="5"/>
  <c r="G7" i="5" s="1"/>
  <c r="H15" i="7" l="1"/>
  <c r="H9" i="7"/>
  <c r="H11" i="7"/>
  <c r="AA52" i="7"/>
  <c r="S52" i="7" s="1"/>
  <c r="AA25" i="7"/>
  <c r="S25" i="7" s="1"/>
  <c r="AA89" i="7"/>
  <c r="S89" i="7" s="1"/>
  <c r="AA64" i="7"/>
  <c r="S64" i="7" s="1"/>
  <c r="AA66" i="7"/>
  <c r="S66" i="7" s="1"/>
  <c r="AA7" i="7"/>
  <c r="S7" i="7" s="1"/>
  <c r="AA5" i="7"/>
  <c r="S5" i="7" s="1"/>
  <c r="AA60" i="7"/>
  <c r="S60" i="7" s="1"/>
  <c r="AA42" i="7"/>
  <c r="S42" i="7" s="1"/>
  <c r="AA57" i="7"/>
  <c r="S57" i="7" s="1"/>
  <c r="AA100" i="7"/>
  <c r="S100" i="7" s="1"/>
  <c r="AA62" i="7"/>
  <c r="S62" i="7" s="1"/>
  <c r="AA102" i="7"/>
  <c r="S102" i="7" s="1"/>
  <c r="AA44" i="7"/>
  <c r="S44" i="7" s="1"/>
  <c r="AA34" i="7"/>
  <c r="S34" i="7" s="1"/>
  <c r="AA68" i="7"/>
  <c r="S68" i="7" s="1"/>
  <c r="AA50" i="7"/>
  <c r="S50" i="7" s="1"/>
  <c r="AA38" i="7"/>
  <c r="S38" i="7" s="1"/>
  <c r="AA40" i="7"/>
  <c r="S40" i="7" s="1"/>
  <c r="AA53" i="7"/>
  <c r="S53" i="7" s="1"/>
  <c r="AA104" i="7"/>
  <c r="S104" i="7" s="1"/>
  <c r="AA56" i="7"/>
  <c r="S56" i="7" s="1"/>
  <c r="AA103" i="7"/>
  <c r="S103" i="7" s="1"/>
  <c r="AA6" i="7"/>
  <c r="S6" i="7" s="1"/>
  <c r="AA84" i="7"/>
  <c r="S84" i="7" s="1"/>
  <c r="AA61" i="7"/>
  <c r="S61" i="7" s="1"/>
  <c r="AA73" i="7"/>
  <c r="S73" i="7" s="1"/>
  <c r="AA82" i="7"/>
  <c r="S82" i="7" s="1"/>
  <c r="AA95" i="7"/>
  <c r="S95" i="7" s="1"/>
  <c r="AA93" i="7"/>
  <c r="S93" i="7" s="1"/>
  <c r="AA54" i="7"/>
  <c r="S54" i="7" s="1"/>
  <c r="AA29" i="7"/>
  <c r="S29" i="7" s="1"/>
  <c r="AA97" i="7"/>
  <c r="S97" i="7" s="1"/>
  <c r="AA79" i="7"/>
  <c r="S79" i="7" s="1"/>
  <c r="AA46" i="7"/>
  <c r="S46" i="7" s="1"/>
  <c r="L21" i="9"/>
  <c r="AA43" i="7"/>
  <c r="S43" i="7" s="1"/>
  <c r="AA30" i="7"/>
  <c r="S30" i="7" s="1"/>
  <c r="AA77" i="7"/>
  <c r="S77" i="7" s="1"/>
  <c r="AA11" i="7"/>
  <c r="S11" i="7" s="1"/>
  <c r="AA94" i="7"/>
  <c r="S94" i="7" s="1"/>
  <c r="AA9" i="7"/>
  <c r="S9" i="7" s="1"/>
  <c r="AA14" i="7"/>
  <c r="S14" i="7" s="1"/>
  <c r="AA80" i="7"/>
  <c r="S80" i="7" s="1"/>
  <c r="AA24" i="7"/>
  <c r="S24" i="7" s="1"/>
  <c r="AA87" i="7"/>
  <c r="S87" i="7" s="1"/>
  <c r="AA20" i="7"/>
  <c r="S20" i="7" s="1"/>
  <c r="AA13" i="7"/>
  <c r="S13" i="7" s="1"/>
  <c r="AA72" i="7"/>
  <c r="S72" i="7" s="1"/>
  <c r="AA10" i="7"/>
  <c r="S10" i="7" s="1"/>
  <c r="AA59" i="7"/>
  <c r="S59" i="7" s="1"/>
  <c r="AA33" i="7"/>
  <c r="S33" i="7" s="1"/>
  <c r="AA49" i="7"/>
  <c r="S49" i="7" s="1"/>
  <c r="AA48" i="7"/>
  <c r="S48" i="7" s="1"/>
  <c r="AA55" i="7"/>
  <c r="S55" i="7" s="1"/>
  <c r="AA74" i="7"/>
  <c r="S74" i="7" s="1"/>
  <c r="AA65" i="7"/>
  <c r="S65" i="7" s="1"/>
  <c r="AA75" i="7"/>
  <c r="S75" i="7" s="1"/>
  <c r="AA19" i="7"/>
  <c r="S19" i="7" s="1"/>
  <c r="AA22" i="7"/>
  <c r="S22" i="7" s="1"/>
  <c r="AA35" i="7"/>
  <c r="S35" i="7" s="1"/>
  <c r="AA18" i="7"/>
  <c r="S18" i="7" s="1"/>
  <c r="AA63" i="7"/>
  <c r="S63" i="7" s="1"/>
  <c r="AA31" i="7"/>
  <c r="S31" i="7" s="1"/>
  <c r="AA21" i="7"/>
  <c r="S21" i="7" s="1"/>
  <c r="AA99" i="7"/>
  <c r="S99" i="7" s="1"/>
  <c r="AA92" i="7"/>
  <c r="S92" i="7" s="1"/>
  <c r="AA36" i="7"/>
  <c r="S36" i="7" s="1"/>
  <c r="AA70" i="7"/>
  <c r="S70" i="7" s="1"/>
  <c r="AA96" i="7"/>
  <c r="S96" i="7" s="1"/>
  <c r="AA101" i="7"/>
  <c r="S101" i="7" s="1"/>
  <c r="AA16" i="7"/>
  <c r="S16" i="7" s="1"/>
  <c r="AA58" i="7"/>
  <c r="S58" i="7" s="1"/>
  <c r="AA8" i="7"/>
  <c r="S8" i="7" s="1"/>
  <c r="AA45" i="7"/>
  <c r="S45" i="7" s="1"/>
  <c r="AA78" i="7"/>
  <c r="S78" i="7" s="1"/>
  <c r="AA12" i="7"/>
  <c r="S12" i="7" s="1"/>
  <c r="AA88" i="7"/>
  <c r="S88" i="7" s="1"/>
  <c r="AA47" i="7"/>
  <c r="S47" i="7" s="1"/>
  <c r="L23" i="9"/>
  <c r="AA86" i="7"/>
  <c r="S86" i="7" s="1"/>
  <c r="AA98" i="7"/>
  <c r="S98" i="7" s="1"/>
  <c r="AA17" i="7"/>
  <c r="S17" i="7" s="1"/>
  <c r="AA81" i="7"/>
  <c r="S81" i="7" s="1"/>
  <c r="AA15" i="7"/>
  <c r="S15" i="7" s="1"/>
  <c r="AA37" i="7"/>
  <c r="S37" i="7" s="1"/>
  <c r="AA26" i="7"/>
  <c r="S26" i="7" s="1"/>
  <c r="AA76" i="7"/>
  <c r="S76" i="7" s="1"/>
  <c r="AA90" i="7"/>
  <c r="S90" i="7" s="1"/>
  <c r="AA28" i="7"/>
  <c r="S28" i="7" s="1"/>
  <c r="AA71" i="7"/>
  <c r="S71" i="7" s="1"/>
  <c r="AA67" i="7"/>
  <c r="S67" i="7" s="1"/>
  <c r="AA69" i="7"/>
  <c r="S69" i="7" s="1"/>
  <c r="AA41" i="7"/>
  <c r="S41" i="7" s="1"/>
  <c r="AA51" i="7"/>
  <c r="S51" i="7" s="1"/>
  <c r="AA83" i="7"/>
  <c r="S83" i="7" s="1"/>
  <c r="AA85" i="7"/>
  <c r="S85" i="7" s="1"/>
  <c r="AA91" i="7"/>
  <c r="S91" i="7" s="1"/>
  <c r="AA23" i="7"/>
  <c r="S23" i="7" s="1"/>
  <c r="AA39" i="7"/>
  <c r="S39" i="7" s="1"/>
  <c r="AA32" i="7"/>
  <c r="S32" i="7" s="1"/>
  <c r="L28" i="9"/>
  <c r="F29" i="3"/>
  <c r="F32" i="3"/>
  <c r="E36" i="3" s="1"/>
  <c r="F31" i="3"/>
  <c r="F28" i="3"/>
  <c r="F30" i="3"/>
  <c r="R2" i="8"/>
  <c r="S5" i="8"/>
  <c r="G8" i="5"/>
  <c r="G6" i="5"/>
  <c r="M17" i="4"/>
  <c r="E44" i="1"/>
  <c r="E43" i="1"/>
  <c r="E40" i="1"/>
  <c r="L17" i="4"/>
  <c r="E35" i="3" l="1"/>
  <c r="E34" i="3"/>
  <c r="N10" i="3"/>
  <c r="M10" i="3"/>
  <c r="M16" i="3" s="1"/>
  <c r="M44" i="3" s="1"/>
  <c r="M7" i="3"/>
  <c r="M13" i="3" s="1"/>
  <c r="O8" i="2"/>
  <c r="O10" i="2"/>
  <c r="O6" i="2"/>
  <c r="R10" i="3" l="1"/>
  <c r="M6" i="2"/>
  <c r="N6" i="2"/>
  <c r="N10" i="2"/>
  <c r="N15" i="2" s="1"/>
  <c r="N9" i="2"/>
  <c r="M10" i="2"/>
  <c r="M15" i="2" s="1"/>
  <c r="M7" i="2"/>
  <c r="R9" i="3"/>
  <c r="L7" i="3"/>
  <c r="M8" i="3"/>
  <c r="N8" i="3"/>
  <c r="R8" i="3"/>
  <c r="S8" i="3"/>
  <c r="L9" i="3"/>
  <c r="M9" i="3"/>
  <c r="M15" i="3" s="1"/>
  <c r="S9" i="3"/>
  <c r="S15" i="3" s="1"/>
  <c r="R6" i="3"/>
  <c r="N7" i="3"/>
  <c r="N13" i="3" s="1"/>
  <c r="T6" i="3"/>
  <c r="N9" i="3"/>
  <c r="N15" i="3" s="1"/>
  <c r="T9" i="3"/>
  <c r="L8" i="3"/>
  <c r="T8" i="3"/>
  <c r="R7" i="3"/>
  <c r="S7" i="3"/>
  <c r="S13" i="3" s="1"/>
  <c r="T7" i="3"/>
  <c r="T10" i="3"/>
  <c r="T16" i="3" s="1"/>
  <c r="S10" i="3"/>
  <c r="S16" i="3" s="1"/>
  <c r="L6" i="3"/>
  <c r="M6" i="3"/>
  <c r="N6" i="3"/>
  <c r="S6" i="3"/>
  <c r="L10" i="3"/>
  <c r="F17" i="2"/>
  <c r="E17" i="2"/>
  <c r="E20" i="2"/>
  <c r="E19" i="2"/>
  <c r="E18" i="2"/>
  <c r="F20" i="2"/>
  <c r="F19" i="2"/>
  <c r="F18" i="2"/>
  <c r="F21" i="2"/>
  <c r="E27" i="2"/>
  <c r="T7" i="2"/>
  <c r="T8" i="2"/>
  <c r="U7" i="2"/>
  <c r="S7" i="2"/>
  <c r="T6" i="2"/>
  <c r="S6" i="2"/>
  <c r="U6" i="2"/>
  <c r="U10" i="2"/>
  <c r="T10" i="2"/>
  <c r="T15" i="2" s="1"/>
  <c r="U9" i="2"/>
  <c r="T9" i="2"/>
  <c r="S9" i="2"/>
  <c r="U8" i="2"/>
  <c r="S8" i="2"/>
  <c r="S10" i="2"/>
  <c r="S15" i="2" s="1"/>
  <c r="M8" i="2"/>
  <c r="M9" i="2"/>
  <c r="N8" i="2"/>
  <c r="O7" i="2"/>
  <c r="N7" i="2"/>
  <c r="O9" i="2"/>
  <c r="O14" i="2" s="1"/>
  <c r="L16" i="3" l="1"/>
  <c r="L44" i="3" s="1"/>
  <c r="L12" i="3"/>
  <c r="R16" i="3"/>
  <c r="P44" i="3" s="1"/>
  <c r="U12" i="2"/>
  <c r="U13" i="2"/>
  <c r="U14" i="2"/>
  <c r="S11" i="2"/>
  <c r="N12" i="3"/>
  <c r="H27" i="2"/>
  <c r="N14" i="2"/>
  <c r="R13" i="3"/>
  <c r="R15" i="3"/>
  <c r="N13" i="2"/>
  <c r="L15" i="3"/>
  <c r="F12" i="4"/>
  <c r="F14" i="4"/>
  <c r="F13" i="4"/>
  <c r="F15" i="4"/>
  <c r="M14" i="2"/>
  <c r="G15" i="4"/>
  <c r="G12" i="4"/>
  <c r="G14" i="4"/>
  <c r="G13" i="4"/>
  <c r="F11" i="4"/>
  <c r="G11" i="4"/>
  <c r="G10" i="4"/>
  <c r="R14" i="3"/>
  <c r="M12" i="3"/>
  <c r="N14" i="3"/>
  <c r="L13" i="3"/>
  <c r="N22" i="3"/>
  <c r="L14" i="3"/>
  <c r="N32" i="3" s="1"/>
  <c r="M14" i="3"/>
  <c r="Q44" i="3"/>
  <c r="T13" i="3"/>
  <c r="T14" i="3"/>
  <c r="P31" i="3" s="1"/>
  <c r="S14" i="3"/>
  <c r="T15" i="3"/>
  <c r="R12" i="3"/>
  <c r="N21" i="3" s="1"/>
  <c r="T12" i="3"/>
  <c r="S12" i="3"/>
  <c r="O11" i="2"/>
  <c r="M11" i="2"/>
  <c r="M13" i="2"/>
  <c r="E24" i="2"/>
  <c r="E25" i="2"/>
  <c r="E26" i="2"/>
  <c r="U11" i="2"/>
  <c r="S12" i="2"/>
  <c r="S13" i="2"/>
  <c r="S14" i="2"/>
  <c r="M12" i="2"/>
  <c r="O12" i="2"/>
  <c r="O13" i="2"/>
  <c r="F27" i="2"/>
  <c r="F25" i="2"/>
  <c r="F24" i="2"/>
  <c r="F23" i="2"/>
  <c r="F26" i="2"/>
  <c r="G26" i="2"/>
  <c r="G24" i="2"/>
  <c r="G25" i="2"/>
  <c r="N12" i="2"/>
  <c r="T12" i="2"/>
  <c r="T11" i="2"/>
  <c r="T13" i="2"/>
  <c r="T14" i="2"/>
  <c r="N11" i="2"/>
  <c r="P21" i="3" l="1"/>
  <c r="P32" i="3"/>
  <c r="N31" i="3"/>
  <c r="O31" i="3" s="1"/>
  <c r="R31" i="3" s="1"/>
  <c r="P22" i="3"/>
  <c r="W21" i="4"/>
  <c r="W20" i="4"/>
  <c r="W16" i="4"/>
  <c r="W17" i="4"/>
  <c r="W18" i="4"/>
  <c r="W19" i="4"/>
  <c r="W11" i="4"/>
  <c r="W10" i="4"/>
  <c r="W15" i="4"/>
  <c r="W14" i="4"/>
  <c r="W12" i="4"/>
  <c r="W13" i="4"/>
  <c r="K12" i="2"/>
  <c r="G26" i="4"/>
  <c r="O18" i="2"/>
  <c r="K10" i="4"/>
  <c r="H10" i="4"/>
  <c r="K13" i="4"/>
  <c r="H13" i="4"/>
  <c r="H11" i="4"/>
  <c r="K11" i="4"/>
  <c r="K15" i="4"/>
  <c r="H15" i="4"/>
  <c r="K14" i="4"/>
  <c r="H14" i="4"/>
  <c r="H12" i="4"/>
  <c r="K12" i="4"/>
  <c r="R44" i="3"/>
  <c r="H26" i="2"/>
  <c r="H25" i="2"/>
  <c r="Q18" i="2"/>
  <c r="H30" i="2" l="1"/>
  <c r="H28" i="2"/>
  <c r="H29" i="2" s="1"/>
  <c r="F24" i="4"/>
  <c r="L24" i="4" s="1"/>
  <c r="H10" i="8"/>
  <c r="AD10" i="4"/>
  <c r="F23" i="4"/>
  <c r="L23" i="4" s="1"/>
  <c r="H9" i="8"/>
  <c r="F21" i="4"/>
  <c r="L21" i="4" s="1"/>
  <c r="H7" i="8"/>
  <c r="F20" i="4"/>
  <c r="L20" i="4" s="1"/>
  <c r="H6" i="8"/>
  <c r="F19" i="4"/>
  <c r="L19" i="4" s="1"/>
  <c r="G28" i="4"/>
  <c r="H5" i="8"/>
  <c r="F22" i="4"/>
  <c r="L22" i="4" s="1"/>
  <c r="H8" i="8"/>
  <c r="X19" i="4"/>
  <c r="V19" i="4" s="1"/>
  <c r="X17" i="4"/>
  <c r="V17" i="4" s="1"/>
  <c r="X13" i="4"/>
  <c r="AD13" i="4"/>
  <c r="F8" i="7" s="1"/>
  <c r="X15" i="4"/>
  <c r="AD15" i="4"/>
  <c r="AD19" i="4"/>
  <c r="F14" i="7" s="1"/>
  <c r="X18" i="4"/>
  <c r="AD18" i="4"/>
  <c r="F13" i="7" s="1"/>
  <c r="X14" i="4"/>
  <c r="AD14" i="4"/>
  <c r="AD17" i="4"/>
  <c r="F12" i="7" s="1"/>
  <c r="L10" i="4"/>
  <c r="X11" i="4"/>
  <c r="AD11" i="4"/>
  <c r="X12" i="4"/>
  <c r="X16" i="4"/>
  <c r="AD16" i="4"/>
  <c r="X20" i="4"/>
  <c r="AD20" i="4"/>
  <c r="AD12" i="4"/>
  <c r="F7" i="7" s="1"/>
  <c r="X10" i="4"/>
  <c r="V10" i="4" s="1"/>
  <c r="X21" i="4"/>
  <c r="AD21" i="4"/>
  <c r="E15" i="5"/>
  <c r="G30" i="4"/>
  <c r="G32" i="4"/>
  <c r="G29" i="4"/>
  <c r="F15" i="5"/>
  <c r="H26" i="4"/>
  <c r="P18" i="2"/>
  <c r="L13" i="4"/>
  <c r="I8" i="8" s="1"/>
  <c r="G17" i="8" s="1"/>
  <c r="L15" i="4"/>
  <c r="I10" i="8" s="1"/>
  <c r="G19" i="8" s="1"/>
  <c r="I30" i="2"/>
  <c r="L14" i="4"/>
  <c r="I9" i="8" s="1"/>
  <c r="G18" i="8" s="1"/>
  <c r="L12" i="4"/>
  <c r="I7" i="8" s="1"/>
  <c r="G16" i="8" s="1"/>
  <c r="L11" i="4"/>
  <c r="I6" i="8" s="1"/>
  <c r="G15" i="8" s="1"/>
  <c r="O21" i="3"/>
  <c r="Q33" i="3"/>
  <c r="P34" i="3" s="1"/>
  <c r="O32" i="3"/>
  <c r="M33" i="3"/>
  <c r="F15" i="7" l="1"/>
  <c r="F6" i="7"/>
  <c r="F9" i="7"/>
  <c r="F5" i="7"/>
  <c r="F11" i="7"/>
  <c r="F10" i="7"/>
  <c r="O22" i="3"/>
  <c r="O14" i="8"/>
  <c r="S14" i="8" s="1"/>
  <c r="L18" i="8"/>
  <c r="P18" i="8"/>
  <c r="K17" i="8"/>
  <c r="F17" i="8"/>
  <c r="J17" i="8" s="1"/>
  <c r="N31" i="4" s="1"/>
  <c r="O17" i="8"/>
  <c r="L16" i="8"/>
  <c r="P16" i="8"/>
  <c r="K15" i="8"/>
  <c r="F15" i="8"/>
  <c r="J15" i="8" s="1"/>
  <c r="N29" i="4" s="1"/>
  <c r="O15" i="8"/>
  <c r="S15" i="8" s="1"/>
  <c r="K16" i="8"/>
  <c r="F16" i="8"/>
  <c r="J16" i="8" s="1"/>
  <c r="N30" i="4" s="1"/>
  <c r="O16" i="8"/>
  <c r="L15" i="8"/>
  <c r="P15" i="8"/>
  <c r="L19" i="8"/>
  <c r="P19" i="8"/>
  <c r="L17" i="8"/>
  <c r="P17" i="8"/>
  <c r="J10" i="4"/>
  <c r="H19" i="4"/>
  <c r="M19" i="4" s="1"/>
  <c r="N19" i="4" s="1"/>
  <c r="I5" i="8"/>
  <c r="G14" i="8" s="1"/>
  <c r="K18" i="8"/>
  <c r="F18" i="8"/>
  <c r="J18" i="8" s="1"/>
  <c r="N32" i="4" s="1"/>
  <c r="O18" i="8"/>
  <c r="K19" i="8"/>
  <c r="F19" i="8"/>
  <c r="J19" i="8" s="1"/>
  <c r="N33" i="4" s="1"/>
  <c r="O19" i="8"/>
  <c r="S19" i="8" s="1"/>
  <c r="AE19" i="4"/>
  <c r="G14" i="7" s="1"/>
  <c r="AE17" i="4"/>
  <c r="G12" i="7" s="1"/>
  <c r="AE20" i="4"/>
  <c r="V20" i="4"/>
  <c r="V12" i="4"/>
  <c r="AE12" i="4"/>
  <c r="G7" i="7" s="1"/>
  <c r="V14" i="4"/>
  <c r="AE14" i="4"/>
  <c r="AE21" i="4"/>
  <c r="V21" i="4"/>
  <c r="V18" i="4"/>
  <c r="AE18" i="4"/>
  <c r="G13" i="7" s="1"/>
  <c r="V15" i="4"/>
  <c r="AE15" i="4"/>
  <c r="V16" i="4"/>
  <c r="AE16" i="4"/>
  <c r="V11" i="4"/>
  <c r="AE11" i="4"/>
  <c r="AE10" i="4"/>
  <c r="U18" i="5" s="1"/>
  <c r="AE13" i="4"/>
  <c r="G8" i="7" s="1"/>
  <c r="V13" i="4"/>
  <c r="H24" i="4"/>
  <c r="M24" i="4" s="1"/>
  <c r="N24" i="4" s="1"/>
  <c r="H33" i="4"/>
  <c r="J13" i="4"/>
  <c r="H31" i="4"/>
  <c r="G31" i="4"/>
  <c r="H29" i="4"/>
  <c r="G33" i="4"/>
  <c r="H28" i="4"/>
  <c r="H30" i="4"/>
  <c r="H23" i="4"/>
  <c r="M23" i="4" s="1"/>
  <c r="H32" i="4"/>
  <c r="H22" i="4"/>
  <c r="M22" i="4" s="1"/>
  <c r="J15" i="4"/>
  <c r="J14" i="4"/>
  <c r="J12" i="4"/>
  <c r="H21" i="4"/>
  <c r="M21" i="4" s="1"/>
  <c r="N21" i="4" s="1"/>
  <c r="J11" i="4"/>
  <c r="H20" i="4"/>
  <c r="M20" i="4" s="1"/>
  <c r="M23" i="3"/>
  <c r="Q23" i="3"/>
  <c r="P24" i="3" s="1"/>
  <c r="P33" i="3"/>
  <c r="R21" i="3"/>
  <c r="N33" i="3"/>
  <c r="N34" i="3"/>
  <c r="S18" i="2"/>
  <c r="M19" i="8" l="1"/>
  <c r="L14" i="8"/>
  <c r="M14" i="8"/>
  <c r="G11" i="7"/>
  <c r="G10" i="7"/>
  <c r="G9" i="7"/>
  <c r="G15" i="7"/>
  <c r="G5" i="7"/>
  <c r="G6" i="7"/>
  <c r="K8" i="10"/>
  <c r="K7" i="10"/>
  <c r="V50" i="9"/>
  <c r="V29" i="9"/>
  <c r="V43" i="9"/>
  <c r="V22" i="9"/>
  <c r="I14" i="10"/>
  <c r="I13" i="10"/>
  <c r="I16" i="10"/>
  <c r="I15" i="10"/>
  <c r="I11" i="10"/>
  <c r="I12" i="10"/>
  <c r="I5" i="10"/>
  <c r="I6" i="10"/>
  <c r="I8" i="10"/>
  <c r="I7" i="10"/>
  <c r="V10" i="9"/>
  <c r="V21" i="9"/>
  <c r="V23" i="9"/>
  <c r="V12" i="9"/>
  <c r="V17" i="9"/>
  <c r="V28" i="9"/>
  <c r="T19" i="8"/>
  <c r="T15" i="8"/>
  <c r="N16" i="8"/>
  <c r="N14" i="8"/>
  <c r="R14" i="8" s="1"/>
  <c r="N23" i="3"/>
  <c r="N17" i="8"/>
  <c r="R17" i="8" s="1"/>
  <c r="N19" i="8"/>
  <c r="R19" i="8" s="1"/>
  <c r="N18" i="8"/>
  <c r="R18" i="8" s="1"/>
  <c r="Q19" i="8"/>
  <c r="U19" i="8" s="1"/>
  <c r="Q14" i="8"/>
  <c r="U14" i="8" s="1"/>
  <c r="P14" i="8"/>
  <c r="T14" i="8" s="1"/>
  <c r="N15" i="8"/>
  <c r="R15" i="8" s="1"/>
  <c r="N24" i="3"/>
  <c r="N22" i="4"/>
  <c r="N23" i="4"/>
  <c r="N20" i="4"/>
  <c r="O33" i="3"/>
  <c r="Q35" i="3" s="1"/>
  <c r="P23" i="3"/>
  <c r="N20" i="2"/>
  <c r="R20" i="2"/>
  <c r="P19" i="2"/>
  <c r="K6" i="10" l="1"/>
  <c r="W12" i="9" s="1"/>
  <c r="K5" i="10"/>
  <c r="W22" i="9" s="1"/>
  <c r="L16" i="10"/>
  <c r="L15" i="10"/>
  <c r="X17" i="9" s="1"/>
  <c r="U43" i="9"/>
  <c r="U22" i="9"/>
  <c r="U50" i="9"/>
  <c r="U29" i="9"/>
  <c r="X43" i="9"/>
  <c r="X22" i="9"/>
  <c r="U48" i="9"/>
  <c r="U27" i="9"/>
  <c r="W50" i="9"/>
  <c r="W29" i="9"/>
  <c r="N18" i="4"/>
  <c r="I9" i="10"/>
  <c r="I10" i="10"/>
  <c r="X28" i="9"/>
  <c r="U12" i="9"/>
  <c r="U23" i="9"/>
  <c r="U10" i="9"/>
  <c r="U21" i="9"/>
  <c r="W21" i="9"/>
  <c r="W23" i="9"/>
  <c r="U17" i="9"/>
  <c r="U28" i="9"/>
  <c r="X10" i="9"/>
  <c r="X12" i="9"/>
  <c r="X21" i="9"/>
  <c r="X23" i="9"/>
  <c r="U15" i="9"/>
  <c r="W17" i="9"/>
  <c r="W28" i="9"/>
  <c r="R16" i="8"/>
  <c r="O34" i="3"/>
  <c r="M35" i="3"/>
  <c r="N36" i="3" s="1"/>
  <c r="R33" i="3"/>
  <c r="O23" i="3"/>
  <c r="O24" i="3" s="1"/>
  <c r="P36" i="3"/>
  <c r="O20" i="2"/>
  <c r="Q20" i="2"/>
  <c r="W10" i="9" l="1"/>
  <c r="W43" i="9"/>
  <c r="X29" i="9"/>
  <c r="X50" i="9"/>
  <c r="U47" i="9"/>
  <c r="U45" i="9"/>
  <c r="U26" i="9"/>
  <c r="U24" i="9"/>
  <c r="U13" i="9"/>
  <c r="N35" i="3"/>
  <c r="P35" i="3"/>
  <c r="M25" i="3"/>
  <c r="R23" i="3"/>
  <c r="Q25" i="3"/>
  <c r="P26" i="3" s="1"/>
  <c r="P20" i="2"/>
  <c r="O35" i="3" l="1"/>
  <c r="O36" i="3" s="1"/>
  <c r="N26" i="3"/>
  <c r="N25" i="3"/>
  <c r="P25" i="3"/>
  <c r="S20" i="2"/>
  <c r="R22" i="2"/>
  <c r="N22" i="2"/>
  <c r="P21" i="2"/>
  <c r="M37" i="3" l="1"/>
  <c r="Q37" i="3"/>
  <c r="R35" i="3"/>
  <c r="O22" i="2"/>
  <c r="Q22" i="2"/>
  <c r="M38" i="3" l="1"/>
  <c r="N43" i="3" s="1"/>
  <c r="M39" i="3"/>
  <c r="N40" i="3" s="1"/>
  <c r="L43" i="3" s="1"/>
  <c r="P37" i="3"/>
  <c r="Q39" i="3"/>
  <c r="P40" i="3" s="1"/>
  <c r="P43" i="3" s="1"/>
  <c r="P38" i="3"/>
  <c r="Q38" i="3"/>
  <c r="R43" i="3" s="1"/>
  <c r="N37" i="3"/>
  <c r="N38" i="3"/>
  <c r="P22" i="2"/>
  <c r="R24" i="2" s="1"/>
  <c r="O37" i="3" l="1"/>
  <c r="O38" i="3" s="1"/>
  <c r="M43" i="3" s="1"/>
  <c r="N24" i="2"/>
  <c r="S22" i="2"/>
  <c r="P23" i="2"/>
  <c r="R37" i="3" l="1"/>
  <c r="R39" i="3" s="1"/>
  <c r="Q43" i="3"/>
  <c r="Q24" i="2"/>
  <c r="O24" i="2"/>
  <c r="P24" i="2" l="1"/>
  <c r="P25" i="2" l="1"/>
  <c r="N26" i="2"/>
  <c r="S24" i="2"/>
  <c r="R26" i="2"/>
  <c r="O26" i="2" l="1"/>
  <c r="Q26" i="2"/>
  <c r="P26" i="2" l="1"/>
  <c r="S26" i="2" s="1"/>
  <c r="P27" i="2" l="1"/>
  <c r="N28" i="2"/>
  <c r="R28" i="2"/>
  <c r="Q28" i="2" l="1"/>
  <c r="O28" i="2"/>
  <c r="P28" i="2" l="1"/>
  <c r="S28" i="2" s="1"/>
  <c r="R30" i="2" l="1"/>
  <c r="P29" i="2"/>
  <c r="N30" i="2"/>
  <c r="Q30" i="2" l="1"/>
  <c r="O30" i="2"/>
  <c r="P30" i="2" l="1"/>
  <c r="S30" i="2" s="1"/>
  <c r="N32" i="2" l="1"/>
  <c r="P31" i="2"/>
  <c r="R32" i="2"/>
  <c r="Q32" i="2" l="1"/>
  <c r="O32" i="2"/>
  <c r="P32" i="2" l="1"/>
  <c r="S32" i="2" s="1"/>
  <c r="P33" i="2" l="1"/>
  <c r="R34" i="2"/>
  <c r="N34" i="2"/>
  <c r="Q34" i="2" l="1"/>
  <c r="O34" i="2"/>
  <c r="P34" i="2" l="1"/>
  <c r="R36" i="2" s="1"/>
  <c r="S34" i="2" l="1"/>
  <c r="N36" i="2"/>
  <c r="P35" i="2"/>
  <c r="O25" i="3"/>
  <c r="O26" i="3" l="1"/>
  <c r="O36" i="2"/>
  <c r="Q36" i="2"/>
  <c r="Q27" i="3"/>
  <c r="M27" i="3"/>
  <c r="R25" i="3"/>
  <c r="M29" i="3" l="1"/>
  <c r="N30" i="3" s="1"/>
  <c r="L42" i="3" s="1"/>
  <c r="Q29" i="3"/>
  <c r="P30" i="3" s="1"/>
  <c r="P42" i="3" s="1"/>
  <c r="P28" i="3"/>
  <c r="N27" i="3"/>
  <c r="P36" i="2"/>
  <c r="S36" i="2" s="1"/>
  <c r="S38" i="2" s="1"/>
  <c r="M28" i="3"/>
  <c r="N42" i="3" s="1"/>
  <c r="Q28" i="3"/>
  <c r="R42" i="3" s="1"/>
  <c r="N28" i="3"/>
  <c r="P27" i="3"/>
  <c r="O42" i="3" l="1"/>
  <c r="O43" i="3" s="1"/>
  <c r="M47" i="3"/>
  <c r="K42" i="3"/>
  <c r="K43" i="3" s="1"/>
  <c r="Q47" i="3"/>
  <c r="O27" i="3"/>
  <c r="O28" i="3" s="1"/>
  <c r="M42" i="3" s="1"/>
  <c r="Q42" i="3" l="1"/>
  <c r="N47" i="3"/>
  <c r="P48" i="3"/>
  <c r="N48" i="3"/>
  <c r="P47" i="3"/>
  <c r="R27" i="3"/>
  <c r="R29" i="3" s="1"/>
  <c r="O47" i="3" l="1"/>
  <c r="R47" i="3" s="1"/>
  <c r="Q49" i="3" l="1"/>
  <c r="P50" i="3" s="1"/>
  <c r="M49" i="3"/>
  <c r="N50" i="3" s="1"/>
  <c r="O48" i="3"/>
  <c r="N49" i="3" l="1"/>
  <c r="P49" i="3"/>
  <c r="O49" i="3" l="1"/>
  <c r="M51" i="3" s="1"/>
  <c r="O50" i="3" l="1"/>
  <c r="Q51" i="3"/>
  <c r="O18" i="3" s="1"/>
  <c r="R49" i="3"/>
  <c r="N52" i="3"/>
  <c r="P52" i="3" l="1"/>
  <c r="P51" i="3"/>
  <c r="N51" i="3"/>
  <c r="O51" i="3" l="1"/>
  <c r="R51" i="3" s="1"/>
  <c r="R52" i="3" s="1"/>
  <c r="R19" i="3" s="1"/>
  <c r="O52" i="3"/>
  <c r="G15" i="5" l="1"/>
  <c r="U16" i="5" l="1"/>
  <c r="X5" i="7"/>
  <c r="N14" i="5"/>
  <c r="AJ18" i="5" l="1"/>
  <c r="V19" i="5"/>
  <c r="U19" i="5" s="1"/>
  <c r="AI19" i="5" s="1"/>
  <c r="X6" i="7"/>
  <c r="P5" i="7"/>
  <c r="W5" i="7"/>
  <c r="O5" i="7" s="1"/>
  <c r="AI18" i="5"/>
  <c r="AD18" i="5"/>
  <c r="M18" i="5"/>
  <c r="N19" i="5"/>
  <c r="L5" i="7" l="1"/>
  <c r="V20" i="5"/>
  <c r="AJ20" i="5" s="1"/>
  <c r="X7" i="7"/>
  <c r="AJ19" i="5"/>
  <c r="AM19" i="5" s="1"/>
  <c r="P6" i="7"/>
  <c r="W6" i="7"/>
  <c r="O6" i="7" s="1"/>
  <c r="AL19" i="5"/>
  <c r="AD19" i="5"/>
  <c r="AI14" i="5"/>
  <c r="M19" i="5"/>
  <c r="K18" i="5" s="1"/>
  <c r="N20" i="5"/>
  <c r="U20" i="5" l="1"/>
  <c r="AI20" i="5" s="1"/>
  <c r="AL20" i="5" s="1"/>
  <c r="AM20" i="5"/>
  <c r="V21" i="5"/>
  <c r="U21" i="5" s="1"/>
  <c r="AI21" i="5" s="1"/>
  <c r="X8" i="7"/>
  <c r="L6" i="7"/>
  <c r="P7" i="7"/>
  <c r="W7" i="7"/>
  <c r="O7" i="7" s="1"/>
  <c r="M20" i="5"/>
  <c r="K19" i="5" s="1"/>
  <c r="N21" i="5"/>
  <c r="AL21" i="5" l="1"/>
  <c r="AD20" i="5"/>
  <c r="V22" i="5"/>
  <c r="AJ22" i="5" s="1"/>
  <c r="X9" i="7"/>
  <c r="AJ21" i="5"/>
  <c r="AM21" i="5" s="1"/>
  <c r="L7" i="7"/>
  <c r="P8" i="7"/>
  <c r="W8" i="7"/>
  <c r="O8" i="7" s="1"/>
  <c r="AD21" i="5"/>
  <c r="M21" i="5"/>
  <c r="N22" i="5"/>
  <c r="U22" i="5" l="1"/>
  <c r="AI22" i="5" s="1"/>
  <c r="AL22" i="5" s="1"/>
  <c r="AM22" i="5"/>
  <c r="L8" i="7"/>
  <c r="P9" i="7"/>
  <c r="W9" i="7"/>
  <c r="O9" i="7" s="1"/>
  <c r="V23" i="5"/>
  <c r="U23" i="5" s="1"/>
  <c r="AI23" i="5" s="1"/>
  <c r="X10" i="7"/>
  <c r="K20" i="5"/>
  <c r="M22" i="5"/>
  <c r="N23" i="5"/>
  <c r="AL23" i="5" l="1"/>
  <c r="AD22" i="5"/>
  <c r="L9" i="7"/>
  <c r="AJ23" i="5"/>
  <c r="AM23" i="5" s="1"/>
  <c r="P10" i="7"/>
  <c r="W10" i="7"/>
  <c r="O10" i="7" s="1"/>
  <c r="V24" i="5"/>
  <c r="AJ24" i="5" s="1"/>
  <c r="AM24" i="5" s="1"/>
  <c r="X11" i="7"/>
  <c r="AD23" i="5"/>
  <c r="K21" i="5"/>
  <c r="M23" i="5"/>
  <c r="N24" i="5"/>
  <c r="L10" i="7" l="1"/>
  <c r="P11" i="7"/>
  <c r="W11" i="7"/>
  <c r="O11" i="7" s="1"/>
  <c r="V25" i="5"/>
  <c r="U25" i="5" s="1"/>
  <c r="AI25" i="5" s="1"/>
  <c r="X12" i="7"/>
  <c r="U24" i="5"/>
  <c r="AI24" i="5" s="1"/>
  <c r="AL24" i="5" s="1"/>
  <c r="K22" i="5"/>
  <c r="M24" i="5"/>
  <c r="N25" i="5"/>
  <c r="L11" i="7" l="1"/>
  <c r="AL25" i="5"/>
  <c r="AD24" i="5"/>
  <c r="P12" i="7"/>
  <c r="W12" i="7"/>
  <c r="O12" i="7" s="1"/>
  <c r="V26" i="5"/>
  <c r="AJ26" i="5" s="1"/>
  <c r="X13" i="7"/>
  <c r="AJ25" i="5"/>
  <c r="AM25" i="5" s="1"/>
  <c r="AD25" i="5"/>
  <c r="K23" i="5"/>
  <c r="M25" i="5"/>
  <c r="N26" i="5"/>
  <c r="AM26" i="5" l="1"/>
  <c r="U26" i="5"/>
  <c r="AI26" i="5" s="1"/>
  <c r="AL26" i="5" s="1"/>
  <c r="P13" i="7"/>
  <c r="W13" i="7"/>
  <c r="O13" i="7" s="1"/>
  <c r="V27" i="5"/>
  <c r="U27" i="5" s="1"/>
  <c r="AI27" i="5" s="1"/>
  <c r="X14" i="7"/>
  <c r="L12" i="7"/>
  <c r="K24" i="5"/>
  <c r="M26" i="5"/>
  <c r="N27" i="5"/>
  <c r="AL27" i="5" l="1"/>
  <c r="AD26" i="5"/>
  <c r="AJ27" i="5"/>
  <c r="AM27" i="5" s="1"/>
  <c r="V28" i="5"/>
  <c r="AJ28" i="5" s="1"/>
  <c r="AM28" i="5" s="1"/>
  <c r="X15" i="7"/>
  <c r="P14" i="7"/>
  <c r="W14" i="7"/>
  <c r="O14" i="7" s="1"/>
  <c r="L13" i="7"/>
  <c r="AD27" i="5"/>
  <c r="K25" i="5"/>
  <c r="M27" i="5"/>
  <c r="N28" i="5"/>
  <c r="U28" i="5" l="1"/>
  <c r="AI28" i="5" s="1"/>
  <c r="AL28" i="5" s="1"/>
  <c r="L14" i="7"/>
  <c r="V29" i="5"/>
  <c r="AJ29" i="5" s="1"/>
  <c r="AM29" i="5" s="1"/>
  <c r="X16" i="7"/>
  <c r="P15" i="7"/>
  <c r="W15" i="7"/>
  <c r="O15" i="7" s="1"/>
  <c r="K26" i="5"/>
  <c r="M28" i="5"/>
  <c r="N29" i="5"/>
  <c r="AD28" i="5" l="1"/>
  <c r="L15" i="7"/>
  <c r="V30" i="5"/>
  <c r="U30" i="5" s="1"/>
  <c r="AI30" i="5" s="1"/>
  <c r="X17" i="7"/>
  <c r="U29" i="5"/>
  <c r="AI29" i="5" s="1"/>
  <c r="AL29" i="5" s="1"/>
  <c r="P16" i="7"/>
  <c r="W16" i="7"/>
  <c r="O16" i="7" s="1"/>
  <c r="K27" i="5"/>
  <c r="M29" i="5"/>
  <c r="N30" i="5"/>
  <c r="L16" i="7" l="1"/>
  <c r="AJ30" i="5"/>
  <c r="AM30" i="5" s="1"/>
  <c r="AL30" i="5"/>
  <c r="AD29" i="5"/>
  <c r="V31" i="5"/>
  <c r="U31" i="5" s="1"/>
  <c r="AI31" i="5" s="1"/>
  <c r="AL31" i="5" s="1"/>
  <c r="X18" i="7"/>
  <c r="P17" i="7"/>
  <c r="W17" i="7"/>
  <c r="O17" i="7" s="1"/>
  <c r="AD30" i="5"/>
  <c r="K28" i="5"/>
  <c r="M30" i="5"/>
  <c r="N31" i="5"/>
  <c r="L17" i="7" l="1"/>
  <c r="V32" i="5"/>
  <c r="AJ32" i="5" s="1"/>
  <c r="X19" i="7"/>
  <c r="AJ31" i="5"/>
  <c r="AM31" i="5" s="1"/>
  <c r="P18" i="7"/>
  <c r="W18" i="7"/>
  <c r="O18" i="7" s="1"/>
  <c r="AD31" i="5"/>
  <c r="K29" i="5"/>
  <c r="M31" i="5"/>
  <c r="N32" i="5"/>
  <c r="U32" i="5" l="1"/>
  <c r="AI32" i="5" s="1"/>
  <c r="AL32" i="5" s="1"/>
  <c r="AM32" i="5"/>
  <c r="L18" i="7"/>
  <c r="V33" i="5"/>
  <c r="AJ33" i="5" s="1"/>
  <c r="AM33" i="5" s="1"/>
  <c r="X20" i="7"/>
  <c r="P19" i="7"/>
  <c r="W19" i="7"/>
  <c r="O19" i="7" s="1"/>
  <c r="K30" i="5"/>
  <c r="M32" i="5"/>
  <c r="N33" i="5"/>
  <c r="AD32" i="5" l="1"/>
  <c r="U33" i="5"/>
  <c r="AI33" i="5" s="1"/>
  <c r="AL33" i="5" s="1"/>
  <c r="V34" i="5"/>
  <c r="AJ34" i="5" s="1"/>
  <c r="AM34" i="5" s="1"/>
  <c r="X21" i="7"/>
  <c r="L19" i="7"/>
  <c r="P20" i="7"/>
  <c r="W20" i="7"/>
  <c r="O20" i="7" s="1"/>
  <c r="K31" i="5"/>
  <c r="M33" i="5"/>
  <c r="N34" i="5"/>
  <c r="U34" i="5" l="1"/>
  <c r="AI34" i="5" s="1"/>
  <c r="AL34" i="5" s="1"/>
  <c r="AD33" i="5"/>
  <c r="L20" i="7"/>
  <c r="V35" i="5"/>
  <c r="AJ35" i="5" s="1"/>
  <c r="AM35" i="5" s="1"/>
  <c r="X22" i="7"/>
  <c r="P21" i="7"/>
  <c r="W21" i="7"/>
  <c r="O21" i="7" s="1"/>
  <c r="K32" i="5"/>
  <c r="M34" i="5"/>
  <c r="N35" i="5"/>
  <c r="AD34" i="5" l="1"/>
  <c r="U35" i="5"/>
  <c r="AI35" i="5" s="1"/>
  <c r="AL35" i="5" s="1"/>
  <c r="L21" i="7"/>
  <c r="V36" i="5"/>
  <c r="AJ36" i="5" s="1"/>
  <c r="AM36" i="5" s="1"/>
  <c r="X23" i="7"/>
  <c r="P22" i="7"/>
  <c r="W22" i="7"/>
  <c r="O22" i="7" s="1"/>
  <c r="K33" i="5"/>
  <c r="M35" i="5"/>
  <c r="N36" i="5"/>
  <c r="L22" i="7" l="1"/>
  <c r="U36" i="5"/>
  <c r="AI36" i="5" s="1"/>
  <c r="AL36" i="5" s="1"/>
  <c r="AD35" i="5"/>
  <c r="V37" i="5"/>
  <c r="AJ37" i="5" s="1"/>
  <c r="AM37" i="5" s="1"/>
  <c r="X24" i="7"/>
  <c r="P23" i="7"/>
  <c r="W23" i="7"/>
  <c r="O23" i="7" s="1"/>
  <c r="K34" i="5"/>
  <c r="M36" i="5"/>
  <c r="N37" i="5"/>
  <c r="AD36" i="5" l="1"/>
  <c r="U37" i="5"/>
  <c r="AI37" i="5" s="1"/>
  <c r="AL37" i="5" s="1"/>
  <c r="L23" i="7"/>
  <c r="V38" i="5"/>
  <c r="AJ38" i="5" s="1"/>
  <c r="AM38" i="5" s="1"/>
  <c r="X25" i="7"/>
  <c r="P24" i="7"/>
  <c r="W24" i="7"/>
  <c r="O24" i="7" s="1"/>
  <c r="K35" i="5"/>
  <c r="M37" i="5"/>
  <c r="N38" i="5"/>
  <c r="AD37" i="5" l="1"/>
  <c r="L24" i="7"/>
  <c r="U38" i="5"/>
  <c r="AI38" i="5" s="1"/>
  <c r="AL38" i="5" s="1"/>
  <c r="V39" i="5"/>
  <c r="AJ39" i="5" s="1"/>
  <c r="AM39" i="5" s="1"/>
  <c r="X26" i="7"/>
  <c r="P25" i="7"/>
  <c r="W25" i="7"/>
  <c r="O25" i="7" s="1"/>
  <c r="K36" i="5"/>
  <c r="M38" i="5"/>
  <c r="N39" i="5"/>
  <c r="AD38" i="5" l="1"/>
  <c r="U39" i="5"/>
  <c r="AI39" i="5" s="1"/>
  <c r="AL39" i="5" s="1"/>
  <c r="L25" i="7"/>
  <c r="V40" i="5"/>
  <c r="U40" i="5" s="1"/>
  <c r="AI40" i="5" s="1"/>
  <c r="X27" i="7"/>
  <c r="P26" i="7"/>
  <c r="W26" i="7"/>
  <c r="O26" i="7" s="1"/>
  <c r="K37" i="5"/>
  <c r="M39" i="5"/>
  <c r="N40" i="5"/>
  <c r="AL40" i="5" l="1"/>
  <c r="AD39" i="5"/>
  <c r="L26" i="7"/>
  <c r="AJ40" i="5"/>
  <c r="AM40" i="5" s="1"/>
  <c r="V41" i="5"/>
  <c r="U41" i="5" s="1"/>
  <c r="AI41" i="5" s="1"/>
  <c r="AL41" i="5" s="1"/>
  <c r="X28" i="7"/>
  <c r="P27" i="7"/>
  <c r="W27" i="7"/>
  <c r="O27" i="7" s="1"/>
  <c r="AD40" i="5"/>
  <c r="K38" i="5"/>
  <c r="M40" i="5"/>
  <c r="N41" i="5"/>
  <c r="L27" i="7" l="1"/>
  <c r="AJ41" i="5"/>
  <c r="AM41" i="5" s="1"/>
  <c r="V42" i="5"/>
  <c r="AJ42" i="5" s="1"/>
  <c r="X29" i="7"/>
  <c r="P28" i="7"/>
  <c r="W28" i="7"/>
  <c r="O28" i="7" s="1"/>
  <c r="AD41" i="5"/>
  <c r="K39" i="5"/>
  <c r="M41" i="5"/>
  <c r="N42" i="5"/>
  <c r="AM42" i="5" l="1"/>
  <c r="L28" i="7"/>
  <c r="V43" i="5"/>
  <c r="AJ43" i="5" s="1"/>
  <c r="AM43" i="5" s="1"/>
  <c r="X30" i="7"/>
  <c r="U42" i="5"/>
  <c r="AI42" i="5" s="1"/>
  <c r="AL42" i="5" s="1"/>
  <c r="P29" i="7"/>
  <c r="W29" i="7"/>
  <c r="O29" i="7" s="1"/>
  <c r="K40" i="5"/>
  <c r="M42" i="5"/>
  <c r="N43" i="5"/>
  <c r="U43" i="5" l="1"/>
  <c r="AI43" i="5" s="1"/>
  <c r="AL43" i="5" s="1"/>
  <c r="L29" i="7"/>
  <c r="AD42" i="5"/>
  <c r="V44" i="5"/>
  <c r="U44" i="5" s="1"/>
  <c r="AI44" i="5" s="1"/>
  <c r="X31" i="7"/>
  <c r="P30" i="7"/>
  <c r="W30" i="7"/>
  <c r="O30" i="7" s="1"/>
  <c r="K41" i="5"/>
  <c r="M43" i="5"/>
  <c r="N44" i="5"/>
  <c r="AL44" i="5" l="1"/>
  <c r="AD43" i="5"/>
  <c r="L30" i="7"/>
  <c r="AJ44" i="5"/>
  <c r="AM44" i="5" s="1"/>
  <c r="V45" i="5"/>
  <c r="U45" i="5" s="1"/>
  <c r="AI45" i="5" s="1"/>
  <c r="AL45" i="5" s="1"/>
  <c r="X32" i="7"/>
  <c r="P31" i="7"/>
  <c r="W31" i="7"/>
  <c r="O31" i="7" s="1"/>
  <c r="AD44" i="5"/>
  <c r="K42" i="5"/>
  <c r="M44" i="5"/>
  <c r="N45" i="5"/>
  <c r="L31" i="7" l="1"/>
  <c r="AJ45" i="5"/>
  <c r="AM45" i="5" s="1"/>
  <c r="V46" i="5"/>
  <c r="AJ46" i="5" s="1"/>
  <c r="AM46" i="5" s="1"/>
  <c r="X33" i="7"/>
  <c r="P32" i="7"/>
  <c r="W32" i="7"/>
  <c r="O32" i="7" s="1"/>
  <c r="AD45" i="5"/>
  <c r="K43" i="5"/>
  <c r="M45" i="5"/>
  <c r="N46" i="5"/>
  <c r="U46" i="5" l="1"/>
  <c r="AI46" i="5" s="1"/>
  <c r="AL46" i="5" s="1"/>
  <c r="V47" i="5"/>
  <c r="AJ47" i="5" s="1"/>
  <c r="AM47" i="5" s="1"/>
  <c r="X34" i="7"/>
  <c r="L32" i="7"/>
  <c r="P33" i="7"/>
  <c r="W33" i="7"/>
  <c r="O33" i="7" s="1"/>
  <c r="K44" i="5"/>
  <c r="M46" i="5"/>
  <c r="N47" i="5"/>
  <c r="AD46" i="5" l="1"/>
  <c r="L33" i="7"/>
  <c r="U47" i="5"/>
  <c r="AI47" i="5" s="1"/>
  <c r="AL47" i="5" s="1"/>
  <c r="V48" i="5"/>
  <c r="AJ48" i="5" s="1"/>
  <c r="AM48" i="5" s="1"/>
  <c r="X35" i="7"/>
  <c r="P34" i="7"/>
  <c r="W34" i="7"/>
  <c r="O34" i="7" s="1"/>
  <c r="K45" i="5"/>
  <c r="M47" i="5"/>
  <c r="N48" i="5"/>
  <c r="U48" i="5" l="1"/>
  <c r="AI48" i="5" s="1"/>
  <c r="AL48" i="5" s="1"/>
  <c r="L34" i="7"/>
  <c r="AD47" i="5"/>
  <c r="V49" i="5"/>
  <c r="AJ49" i="5" s="1"/>
  <c r="AM49" i="5" s="1"/>
  <c r="X36" i="7"/>
  <c r="P35" i="7"/>
  <c r="W35" i="7"/>
  <c r="O35" i="7" s="1"/>
  <c r="K46" i="5"/>
  <c r="M48" i="5"/>
  <c r="N49" i="5"/>
  <c r="AD48" i="5" l="1"/>
  <c r="U49" i="5"/>
  <c r="AI49" i="5" s="1"/>
  <c r="AL49" i="5" s="1"/>
  <c r="L35" i="7"/>
  <c r="V50" i="5"/>
  <c r="AJ50" i="5" s="1"/>
  <c r="AM50" i="5" s="1"/>
  <c r="X37" i="7"/>
  <c r="P36" i="7"/>
  <c r="W36" i="7"/>
  <c r="O36" i="7" s="1"/>
  <c r="K47" i="5"/>
  <c r="M49" i="5"/>
  <c r="N50" i="5"/>
  <c r="U50" i="5" l="1"/>
  <c r="AI50" i="5" s="1"/>
  <c r="AL50" i="5" s="1"/>
  <c r="AD49" i="5"/>
  <c r="L36" i="7"/>
  <c r="V51" i="5"/>
  <c r="AJ51" i="5" s="1"/>
  <c r="AM51" i="5" s="1"/>
  <c r="X38" i="7"/>
  <c r="P37" i="7"/>
  <c r="W37" i="7"/>
  <c r="O37" i="7" s="1"/>
  <c r="K48" i="5"/>
  <c r="M50" i="5"/>
  <c r="N51" i="5"/>
  <c r="AD50" i="5" l="1"/>
  <c r="L37" i="7"/>
  <c r="U51" i="5"/>
  <c r="AI51" i="5" s="1"/>
  <c r="AL51" i="5" s="1"/>
  <c r="V52" i="5"/>
  <c r="U52" i="5" s="1"/>
  <c r="AI52" i="5" s="1"/>
  <c r="X39" i="7"/>
  <c r="P38" i="7"/>
  <c r="W38" i="7"/>
  <c r="O38" i="7" s="1"/>
  <c r="K49" i="5"/>
  <c r="M51" i="5"/>
  <c r="N52" i="5"/>
  <c r="AL52" i="5" l="1"/>
  <c r="AD51" i="5"/>
  <c r="AJ52" i="5"/>
  <c r="AM52" i="5" s="1"/>
  <c r="L38" i="7"/>
  <c r="V53" i="5"/>
  <c r="AJ53" i="5" s="1"/>
  <c r="AM53" i="5" s="1"/>
  <c r="X40" i="7"/>
  <c r="P39" i="7"/>
  <c r="W39" i="7"/>
  <c r="O39" i="7" s="1"/>
  <c r="AD52" i="5"/>
  <c r="K50" i="5"/>
  <c r="M52" i="5"/>
  <c r="N53" i="5"/>
  <c r="L39" i="7" l="1"/>
  <c r="U53" i="5"/>
  <c r="AI53" i="5" s="1"/>
  <c r="AL53" i="5" s="1"/>
  <c r="V54" i="5"/>
  <c r="AJ54" i="5" s="1"/>
  <c r="AM54" i="5" s="1"/>
  <c r="X41" i="7"/>
  <c r="P40" i="7"/>
  <c r="W40" i="7"/>
  <c r="O40" i="7" s="1"/>
  <c r="K51" i="5"/>
  <c r="M53" i="5"/>
  <c r="N54" i="5"/>
  <c r="L40" i="7" l="1"/>
  <c r="AD53" i="5"/>
  <c r="U54" i="5"/>
  <c r="AI54" i="5" s="1"/>
  <c r="AL54" i="5" s="1"/>
  <c r="V55" i="5"/>
  <c r="AJ55" i="5" s="1"/>
  <c r="AM55" i="5" s="1"/>
  <c r="X42" i="7"/>
  <c r="P41" i="7"/>
  <c r="W41" i="7"/>
  <c r="O41" i="7" s="1"/>
  <c r="K52" i="5"/>
  <c r="M54" i="5"/>
  <c r="N55" i="5"/>
  <c r="AD54" i="5" l="1"/>
  <c r="U55" i="5"/>
  <c r="AI55" i="5" s="1"/>
  <c r="AL55" i="5" s="1"/>
  <c r="L41" i="7"/>
  <c r="V56" i="5"/>
  <c r="AJ56" i="5" s="1"/>
  <c r="AM56" i="5" s="1"/>
  <c r="X43" i="7"/>
  <c r="P42" i="7"/>
  <c r="W42" i="7"/>
  <c r="O42" i="7" s="1"/>
  <c r="K53" i="5"/>
  <c r="M55" i="5"/>
  <c r="N56" i="5"/>
  <c r="U56" i="5" l="1"/>
  <c r="AI56" i="5" s="1"/>
  <c r="AL56" i="5" s="1"/>
  <c r="AD55" i="5"/>
  <c r="L42" i="7"/>
  <c r="V57" i="5"/>
  <c r="AJ57" i="5" s="1"/>
  <c r="AM57" i="5" s="1"/>
  <c r="X44" i="7"/>
  <c r="P43" i="7"/>
  <c r="W43" i="7"/>
  <c r="O43" i="7" s="1"/>
  <c r="K54" i="5"/>
  <c r="M56" i="5"/>
  <c r="N57" i="5"/>
  <c r="U57" i="5" l="1"/>
  <c r="AI57" i="5" s="1"/>
  <c r="AL57" i="5" s="1"/>
  <c r="AD56" i="5"/>
  <c r="L43" i="7"/>
  <c r="V58" i="5"/>
  <c r="AJ58" i="5" s="1"/>
  <c r="AM58" i="5" s="1"/>
  <c r="X45" i="7"/>
  <c r="P44" i="7"/>
  <c r="W44" i="7"/>
  <c r="O44" i="7" s="1"/>
  <c r="K55" i="5"/>
  <c r="M57" i="5"/>
  <c r="N58" i="5"/>
  <c r="AD57" i="5" l="1"/>
  <c r="U58" i="5"/>
  <c r="AI58" i="5" s="1"/>
  <c r="AL58" i="5" s="1"/>
  <c r="L44" i="7"/>
  <c r="V59" i="5"/>
  <c r="U59" i="5" s="1"/>
  <c r="AI59" i="5" s="1"/>
  <c r="X46" i="7"/>
  <c r="P45" i="7"/>
  <c r="W45" i="7"/>
  <c r="O45" i="7" s="1"/>
  <c r="K56" i="5"/>
  <c r="M58" i="5"/>
  <c r="N59" i="5"/>
  <c r="AL59" i="5" l="1"/>
  <c r="AD58" i="5"/>
  <c r="L45" i="7"/>
  <c r="AJ59" i="5"/>
  <c r="AM59" i="5" s="1"/>
  <c r="V60" i="5"/>
  <c r="AJ60" i="5" s="1"/>
  <c r="X47" i="7"/>
  <c r="P46" i="7"/>
  <c r="W46" i="7"/>
  <c r="O46" i="7" s="1"/>
  <c r="AD59" i="5"/>
  <c r="K57" i="5"/>
  <c r="M59" i="5"/>
  <c r="N60" i="5"/>
  <c r="U60" i="5" l="1"/>
  <c r="AI60" i="5" s="1"/>
  <c r="AL60" i="5" s="1"/>
  <c r="AM60" i="5"/>
  <c r="L46" i="7"/>
  <c r="V61" i="5"/>
  <c r="AJ61" i="5" s="1"/>
  <c r="AM61" i="5" s="1"/>
  <c r="X48" i="7"/>
  <c r="P47" i="7"/>
  <c r="W47" i="7"/>
  <c r="O47" i="7" s="1"/>
  <c r="K58" i="5"/>
  <c r="M60" i="5"/>
  <c r="N61" i="5"/>
  <c r="U61" i="5" l="1"/>
  <c r="AI61" i="5" s="1"/>
  <c r="AL61" i="5" s="1"/>
  <c r="AD60" i="5"/>
  <c r="L47" i="7"/>
  <c r="P48" i="7"/>
  <c r="W48" i="7"/>
  <c r="O48" i="7" s="1"/>
  <c r="V62" i="5"/>
  <c r="AJ62" i="5" s="1"/>
  <c r="AM62" i="5" s="1"/>
  <c r="X49" i="7"/>
  <c r="K59" i="5"/>
  <c r="M61" i="5"/>
  <c r="N62" i="5"/>
  <c r="AD61" i="5" l="1"/>
  <c r="U62" i="5"/>
  <c r="AI62" i="5" s="1"/>
  <c r="AL62" i="5" s="1"/>
  <c r="L48" i="7"/>
  <c r="V63" i="5"/>
  <c r="U63" i="5" s="1"/>
  <c r="AI63" i="5" s="1"/>
  <c r="X50" i="7"/>
  <c r="P49" i="7"/>
  <c r="W49" i="7"/>
  <c r="O49" i="7" s="1"/>
  <c r="K60" i="5"/>
  <c r="M62" i="5"/>
  <c r="N63" i="5"/>
  <c r="AL63" i="5" l="1"/>
  <c r="AD62" i="5"/>
  <c r="L49" i="7"/>
  <c r="AJ63" i="5"/>
  <c r="AM63" i="5" s="1"/>
  <c r="V64" i="5"/>
  <c r="U64" i="5" s="1"/>
  <c r="AI64" i="5" s="1"/>
  <c r="AL64" i="5" s="1"/>
  <c r="X51" i="7"/>
  <c r="P50" i="7"/>
  <c r="W50" i="7"/>
  <c r="O50" i="7" s="1"/>
  <c r="AD63" i="5"/>
  <c r="K61" i="5"/>
  <c r="M63" i="5"/>
  <c r="N64" i="5"/>
  <c r="AJ64" i="5" l="1"/>
  <c r="AM64" i="5" s="1"/>
  <c r="L50" i="7"/>
  <c r="V65" i="5"/>
  <c r="U65" i="5" s="1"/>
  <c r="AI65" i="5" s="1"/>
  <c r="AL65" i="5" s="1"/>
  <c r="X52" i="7"/>
  <c r="P51" i="7"/>
  <c r="W51" i="7"/>
  <c r="O51" i="7" s="1"/>
  <c r="AD64" i="5"/>
  <c r="K62" i="5"/>
  <c r="M64" i="5"/>
  <c r="N65" i="5"/>
  <c r="AJ65" i="5" l="1"/>
  <c r="AM65" i="5" s="1"/>
  <c r="L51" i="7"/>
  <c r="V66" i="5"/>
  <c r="AJ66" i="5" s="1"/>
  <c r="X53" i="7"/>
  <c r="P52" i="7"/>
  <c r="W52" i="7"/>
  <c r="O52" i="7" s="1"/>
  <c r="AD65" i="5"/>
  <c r="K63" i="5"/>
  <c r="M65" i="5"/>
  <c r="N66" i="5"/>
  <c r="N22" i="9" l="1"/>
  <c r="M22" i="9" s="1"/>
  <c r="N10" i="9"/>
  <c r="M10" i="9" s="1"/>
  <c r="N26" i="9"/>
  <c r="M26" i="9" s="1"/>
  <c r="N12" i="9"/>
  <c r="M12" i="9" s="1"/>
  <c r="N17" i="9"/>
  <c r="M17" i="9" s="1"/>
  <c r="N29" i="9"/>
  <c r="M29" i="9" s="1"/>
  <c r="N27" i="9"/>
  <c r="M27" i="9" s="1"/>
  <c r="N24" i="9"/>
  <c r="M24" i="9" s="1"/>
  <c r="N15" i="9"/>
  <c r="M15" i="9" s="1"/>
  <c r="N13" i="9"/>
  <c r="M13" i="9" s="1"/>
  <c r="AM66" i="5"/>
  <c r="U66" i="5"/>
  <c r="AI66" i="5" s="1"/>
  <c r="AL66" i="5" s="1"/>
  <c r="L52" i="7"/>
  <c r="V67" i="5"/>
  <c r="AJ67" i="5" s="1"/>
  <c r="AM67" i="5" s="1"/>
  <c r="X54" i="7"/>
  <c r="P53" i="7"/>
  <c r="W53" i="7"/>
  <c r="O53" i="7" s="1"/>
  <c r="K64" i="5"/>
  <c r="M66" i="5"/>
  <c r="N67" i="5"/>
  <c r="A9" i="9" l="1"/>
  <c r="A20" i="9"/>
  <c r="AD66" i="5"/>
  <c r="U67" i="5"/>
  <c r="AI67" i="5" s="1"/>
  <c r="AL67" i="5" s="1"/>
  <c r="L53" i="7"/>
  <c r="V68" i="5"/>
  <c r="U68" i="5" s="1"/>
  <c r="AI68" i="5" s="1"/>
  <c r="X55" i="7"/>
  <c r="P54" i="7"/>
  <c r="W54" i="7"/>
  <c r="O54" i="7" s="1"/>
  <c r="K65" i="5"/>
  <c r="M67" i="5"/>
  <c r="N68" i="5"/>
  <c r="AL68" i="5" l="1"/>
  <c r="AD67" i="5"/>
  <c r="AJ68" i="5"/>
  <c r="AM68" i="5" s="1"/>
  <c r="L54" i="7"/>
  <c r="V69" i="5"/>
  <c r="AJ69" i="5" s="1"/>
  <c r="X56" i="7"/>
  <c r="P55" i="7"/>
  <c r="W55" i="7"/>
  <c r="O55" i="7" s="1"/>
  <c r="AD68" i="5"/>
  <c r="K66" i="5"/>
  <c r="M68" i="5"/>
  <c r="N69" i="5"/>
  <c r="N43" i="9" l="1"/>
  <c r="M43" i="9" s="1"/>
  <c r="N47" i="9"/>
  <c r="M47" i="9" s="1"/>
  <c r="N50" i="9"/>
  <c r="M50" i="9" s="1"/>
  <c r="N45" i="9"/>
  <c r="M45" i="9" s="1"/>
  <c r="N48" i="9"/>
  <c r="M48" i="9" s="1"/>
  <c r="AM69" i="5"/>
  <c r="U69" i="5"/>
  <c r="AI69" i="5" s="1"/>
  <c r="AL69" i="5" s="1"/>
  <c r="L55" i="7"/>
  <c r="P56" i="7"/>
  <c r="W56" i="7"/>
  <c r="O56" i="7" s="1"/>
  <c r="V70" i="5"/>
  <c r="U70" i="5" s="1"/>
  <c r="AI70" i="5" s="1"/>
  <c r="X57" i="7"/>
  <c r="K67" i="5"/>
  <c r="M69" i="5"/>
  <c r="N70" i="5"/>
  <c r="A41" i="9" l="1"/>
  <c r="AD69" i="5"/>
  <c r="AL70" i="5"/>
  <c r="L56" i="7"/>
  <c r="AJ70" i="5"/>
  <c r="AM70" i="5" s="1"/>
  <c r="V71" i="5"/>
  <c r="AJ71" i="5" s="1"/>
  <c r="AM71" i="5" s="1"/>
  <c r="X58" i="7"/>
  <c r="P57" i="7"/>
  <c r="W57" i="7"/>
  <c r="O57" i="7" s="1"/>
  <c r="AD70" i="5"/>
  <c r="K68" i="5"/>
  <c r="M70" i="5"/>
  <c r="N71" i="5"/>
  <c r="U71" i="5" l="1"/>
  <c r="AI71" i="5" s="1"/>
  <c r="AL71" i="5" s="1"/>
  <c r="L57" i="7"/>
  <c r="V72" i="5"/>
  <c r="AJ72" i="5" s="1"/>
  <c r="AM72" i="5" s="1"/>
  <c r="X59" i="7"/>
  <c r="P58" i="7"/>
  <c r="W58" i="7"/>
  <c r="O58" i="7" s="1"/>
  <c r="K69" i="5"/>
  <c r="M71" i="5"/>
  <c r="N72" i="5"/>
  <c r="AD71" i="5" l="1"/>
  <c r="U72" i="5"/>
  <c r="AI72" i="5" s="1"/>
  <c r="AL72" i="5" s="1"/>
  <c r="L58" i="7"/>
  <c r="V73" i="5"/>
  <c r="AJ73" i="5" s="1"/>
  <c r="AM73" i="5" s="1"/>
  <c r="X60" i="7"/>
  <c r="P59" i="7"/>
  <c r="W59" i="7"/>
  <c r="O59" i="7" s="1"/>
  <c r="K70" i="5"/>
  <c r="M72" i="5"/>
  <c r="N73" i="5"/>
  <c r="AD72" i="5" l="1"/>
  <c r="U73" i="5"/>
  <c r="AI73" i="5" s="1"/>
  <c r="AL73" i="5" s="1"/>
  <c r="V74" i="5"/>
  <c r="U74" i="5" s="1"/>
  <c r="AI74" i="5" s="1"/>
  <c r="X61" i="7"/>
  <c r="L59" i="7"/>
  <c r="P60" i="7"/>
  <c r="W60" i="7"/>
  <c r="O60" i="7" s="1"/>
  <c r="K71" i="5"/>
  <c r="M73" i="5"/>
  <c r="N74" i="5"/>
  <c r="AL74" i="5" l="1"/>
  <c r="AJ74" i="5"/>
  <c r="AM74" i="5" s="1"/>
  <c r="AD73" i="5"/>
  <c r="L60" i="7"/>
  <c r="V75" i="5"/>
  <c r="AJ75" i="5" s="1"/>
  <c r="X62" i="7"/>
  <c r="P61" i="7"/>
  <c r="W61" i="7"/>
  <c r="O61" i="7" s="1"/>
  <c r="AD74" i="5"/>
  <c r="K72" i="5"/>
  <c r="M74" i="5"/>
  <c r="N75" i="5"/>
  <c r="AM75" i="5" l="1"/>
  <c r="U75" i="5"/>
  <c r="AI75" i="5" s="1"/>
  <c r="AL75" i="5" s="1"/>
  <c r="L61" i="7"/>
  <c r="P62" i="7"/>
  <c r="W62" i="7"/>
  <c r="O62" i="7" s="1"/>
  <c r="V76" i="5"/>
  <c r="AJ76" i="5" s="1"/>
  <c r="AM76" i="5" s="1"/>
  <c r="X63" i="7"/>
  <c r="K73" i="5"/>
  <c r="M75" i="5"/>
  <c r="N76" i="5"/>
  <c r="AD75" i="5" l="1"/>
  <c r="L62" i="7"/>
  <c r="U76" i="5"/>
  <c r="AI76" i="5" s="1"/>
  <c r="AL76" i="5" s="1"/>
  <c r="V77" i="5"/>
  <c r="AJ77" i="5" s="1"/>
  <c r="AM77" i="5" s="1"/>
  <c r="X64" i="7"/>
  <c r="P63" i="7"/>
  <c r="W63" i="7"/>
  <c r="O63" i="7" s="1"/>
  <c r="K74" i="5"/>
  <c r="M76" i="5"/>
  <c r="N77" i="5"/>
  <c r="U77" i="5" l="1"/>
  <c r="AI77" i="5" s="1"/>
  <c r="AL77" i="5" s="1"/>
  <c r="L63" i="7"/>
  <c r="AD76" i="5"/>
  <c r="P64" i="7"/>
  <c r="W64" i="7"/>
  <c r="O64" i="7" s="1"/>
  <c r="V78" i="5"/>
  <c r="AJ78" i="5" s="1"/>
  <c r="AM78" i="5" s="1"/>
  <c r="X65" i="7"/>
  <c r="K75" i="5"/>
  <c r="M77" i="5"/>
  <c r="N78" i="5"/>
  <c r="AD77" i="5" l="1"/>
  <c r="L64" i="7"/>
  <c r="U78" i="5"/>
  <c r="AI78" i="5" s="1"/>
  <c r="AL78" i="5" s="1"/>
  <c r="V79" i="5"/>
  <c r="U79" i="5" s="1"/>
  <c r="AI79" i="5" s="1"/>
  <c r="X66" i="7"/>
  <c r="P65" i="7"/>
  <c r="W65" i="7"/>
  <c r="O65" i="7" s="1"/>
  <c r="K76" i="5"/>
  <c r="M78" i="5"/>
  <c r="N79" i="5"/>
  <c r="AD78" i="5" l="1"/>
  <c r="AL79" i="5"/>
  <c r="AJ79" i="5"/>
  <c r="AM79" i="5" s="1"/>
  <c r="L65" i="7"/>
  <c r="P66" i="7"/>
  <c r="W66" i="7"/>
  <c r="O66" i="7" s="1"/>
  <c r="V80" i="5"/>
  <c r="U80" i="5" s="1"/>
  <c r="AI80" i="5" s="1"/>
  <c r="AL80" i="5" s="1"/>
  <c r="X67" i="7"/>
  <c r="AD79" i="5"/>
  <c r="K77" i="5"/>
  <c r="M79" i="5"/>
  <c r="N80" i="5"/>
  <c r="L66" i="7" l="1"/>
  <c r="AJ80" i="5"/>
  <c r="AM80" i="5" s="1"/>
  <c r="P67" i="7"/>
  <c r="W67" i="7"/>
  <c r="O67" i="7" s="1"/>
  <c r="V81" i="5"/>
  <c r="AJ81" i="5" s="1"/>
  <c r="X68" i="7"/>
  <c r="AD80" i="5"/>
  <c r="K78" i="5"/>
  <c r="M80" i="5"/>
  <c r="N81" i="5"/>
  <c r="L67" i="7" l="1"/>
  <c r="U81" i="5"/>
  <c r="AI81" i="5" s="1"/>
  <c r="AL81" i="5" s="1"/>
  <c r="AM81" i="5"/>
  <c r="P68" i="7"/>
  <c r="W68" i="7"/>
  <c r="O68" i="7" s="1"/>
  <c r="V82" i="5"/>
  <c r="AJ82" i="5" s="1"/>
  <c r="AM82" i="5" s="1"/>
  <c r="X69" i="7"/>
  <c r="K79" i="5"/>
  <c r="M81" i="5"/>
  <c r="N82" i="5"/>
  <c r="AD81" i="5" l="1"/>
  <c r="L68" i="7"/>
  <c r="U82" i="5"/>
  <c r="AI82" i="5" s="1"/>
  <c r="AL82" i="5" s="1"/>
  <c r="P69" i="7"/>
  <c r="W69" i="7"/>
  <c r="O69" i="7" s="1"/>
  <c r="V83" i="5"/>
  <c r="AJ83" i="5" s="1"/>
  <c r="AM83" i="5" s="1"/>
  <c r="X70" i="7"/>
  <c r="K80" i="5"/>
  <c r="M82" i="5"/>
  <c r="N83" i="5"/>
  <c r="L69" i="7" l="1"/>
  <c r="U83" i="5"/>
  <c r="AI83" i="5" s="1"/>
  <c r="AL83" i="5" s="1"/>
  <c r="AD82" i="5"/>
  <c r="P70" i="7"/>
  <c r="W70" i="7"/>
  <c r="O70" i="7" s="1"/>
  <c r="V84" i="5"/>
  <c r="AJ84" i="5" s="1"/>
  <c r="AM84" i="5" s="1"/>
  <c r="X71" i="7"/>
  <c r="K81" i="5"/>
  <c r="M83" i="5"/>
  <c r="N84" i="5"/>
  <c r="L70" i="7" l="1"/>
  <c r="AD83" i="5"/>
  <c r="U84" i="5"/>
  <c r="AI84" i="5" s="1"/>
  <c r="AL84" i="5" s="1"/>
  <c r="P71" i="7"/>
  <c r="W71" i="7"/>
  <c r="O71" i="7" s="1"/>
  <c r="V85" i="5"/>
  <c r="AJ85" i="5" s="1"/>
  <c r="AM85" i="5" s="1"/>
  <c r="X72" i="7"/>
  <c r="K82" i="5"/>
  <c r="M84" i="5"/>
  <c r="N85" i="5"/>
  <c r="AD84" i="5" l="1"/>
  <c r="L71" i="7"/>
  <c r="U85" i="5"/>
  <c r="AI85" i="5" s="1"/>
  <c r="AL85" i="5" s="1"/>
  <c r="V86" i="5"/>
  <c r="AJ86" i="5" s="1"/>
  <c r="AM86" i="5" s="1"/>
  <c r="X73" i="7"/>
  <c r="P72" i="7"/>
  <c r="W72" i="7"/>
  <c r="O72" i="7" s="1"/>
  <c r="K83" i="5"/>
  <c r="M85" i="5"/>
  <c r="N86" i="5"/>
  <c r="AD85" i="5" l="1"/>
  <c r="U86" i="5"/>
  <c r="AI86" i="5" s="1"/>
  <c r="AL86" i="5" s="1"/>
  <c r="L72" i="7"/>
  <c r="V87" i="5"/>
  <c r="AJ87" i="5" s="1"/>
  <c r="AM87" i="5" s="1"/>
  <c r="X74" i="7"/>
  <c r="P73" i="7"/>
  <c r="W73" i="7"/>
  <c r="O73" i="7" s="1"/>
  <c r="K84" i="5"/>
  <c r="M86" i="5"/>
  <c r="N87" i="5"/>
  <c r="AD86" i="5" l="1"/>
  <c r="L73" i="7"/>
  <c r="U87" i="5"/>
  <c r="AI87" i="5" s="1"/>
  <c r="AL87" i="5" s="1"/>
  <c r="P74" i="7"/>
  <c r="W74" i="7"/>
  <c r="O74" i="7" s="1"/>
  <c r="V88" i="5"/>
  <c r="AJ88" i="5" s="1"/>
  <c r="AM88" i="5" s="1"/>
  <c r="X75" i="7"/>
  <c r="K85" i="5"/>
  <c r="M87" i="5"/>
  <c r="N88" i="5"/>
  <c r="U88" i="5" l="1"/>
  <c r="AI88" i="5" s="1"/>
  <c r="AL88" i="5" s="1"/>
  <c r="AD87" i="5"/>
  <c r="L74" i="7"/>
  <c r="V89" i="5"/>
  <c r="AJ89" i="5" s="1"/>
  <c r="AM89" i="5" s="1"/>
  <c r="X76" i="7"/>
  <c r="P75" i="7"/>
  <c r="W75" i="7"/>
  <c r="O75" i="7" s="1"/>
  <c r="K86" i="5"/>
  <c r="M88" i="5"/>
  <c r="N89" i="5"/>
  <c r="U89" i="5" l="1"/>
  <c r="AI89" i="5" s="1"/>
  <c r="AL89" i="5" s="1"/>
  <c r="AD88" i="5"/>
  <c r="L75" i="7"/>
  <c r="V90" i="5"/>
  <c r="U90" i="5" s="1"/>
  <c r="AI90" i="5" s="1"/>
  <c r="X77" i="7"/>
  <c r="P76" i="7"/>
  <c r="W76" i="7"/>
  <c r="O76" i="7" s="1"/>
  <c r="K87" i="5"/>
  <c r="M89" i="5"/>
  <c r="N90" i="5"/>
  <c r="AD89" i="5" l="1"/>
  <c r="AL90" i="5"/>
  <c r="L76" i="7"/>
  <c r="AJ90" i="5"/>
  <c r="AM90" i="5" s="1"/>
  <c r="V91" i="5"/>
  <c r="AJ91" i="5" s="1"/>
  <c r="AM91" i="5" s="1"/>
  <c r="X78" i="7"/>
  <c r="P77" i="7"/>
  <c r="W77" i="7"/>
  <c r="O77" i="7" s="1"/>
  <c r="AD90" i="5"/>
  <c r="K88" i="5"/>
  <c r="M90" i="5"/>
  <c r="N91" i="5"/>
  <c r="U91" i="5" l="1"/>
  <c r="AI91" i="5" s="1"/>
  <c r="AL91" i="5" s="1"/>
  <c r="L77" i="7"/>
  <c r="V92" i="5"/>
  <c r="AJ92" i="5" s="1"/>
  <c r="AM92" i="5" s="1"/>
  <c r="X79" i="7"/>
  <c r="P78" i="7"/>
  <c r="W78" i="7"/>
  <c r="O78" i="7" s="1"/>
  <c r="K89" i="5"/>
  <c r="M91" i="5"/>
  <c r="N92" i="5"/>
  <c r="AD91" i="5" l="1"/>
  <c r="U92" i="5"/>
  <c r="AI92" i="5" s="1"/>
  <c r="AL92" i="5" s="1"/>
  <c r="L78" i="7"/>
  <c r="V93" i="5"/>
  <c r="AJ93" i="5" s="1"/>
  <c r="AM93" i="5" s="1"/>
  <c r="X80" i="7"/>
  <c r="P79" i="7"/>
  <c r="W79" i="7"/>
  <c r="O79" i="7" s="1"/>
  <c r="K90" i="5"/>
  <c r="M92" i="5"/>
  <c r="N93" i="5"/>
  <c r="L79" i="7" l="1"/>
  <c r="AD92" i="5"/>
  <c r="U93" i="5"/>
  <c r="AI93" i="5" s="1"/>
  <c r="AL93" i="5" s="1"/>
  <c r="V94" i="5"/>
  <c r="U94" i="5" s="1"/>
  <c r="AI94" i="5" s="1"/>
  <c r="X81" i="7"/>
  <c r="P80" i="7"/>
  <c r="W80" i="7"/>
  <c r="O80" i="7" s="1"/>
  <c r="K91" i="5"/>
  <c r="M93" i="5"/>
  <c r="N94" i="5"/>
  <c r="AD93" i="5" l="1"/>
  <c r="AL94" i="5"/>
  <c r="AJ94" i="5"/>
  <c r="AM94" i="5" s="1"/>
  <c r="L80" i="7"/>
  <c r="P81" i="7"/>
  <c r="W81" i="7"/>
  <c r="O81" i="7" s="1"/>
  <c r="V95" i="5"/>
  <c r="AJ95" i="5" s="1"/>
  <c r="X82" i="7"/>
  <c r="AD94" i="5"/>
  <c r="K92" i="5"/>
  <c r="M94" i="5"/>
  <c r="N95" i="5"/>
  <c r="AM95" i="5" l="1"/>
  <c r="L81" i="7"/>
  <c r="U95" i="5"/>
  <c r="AI95" i="5" s="1"/>
  <c r="AL95" i="5" s="1"/>
  <c r="V96" i="5"/>
  <c r="U96" i="5" s="1"/>
  <c r="AI96" i="5" s="1"/>
  <c r="X83" i="7"/>
  <c r="P82" i="7"/>
  <c r="W82" i="7"/>
  <c r="O82" i="7" s="1"/>
  <c r="K93" i="5"/>
  <c r="M95" i="5"/>
  <c r="N96" i="5"/>
  <c r="AD95" i="5" l="1"/>
  <c r="L82" i="7"/>
  <c r="AL96" i="5"/>
  <c r="AJ96" i="5"/>
  <c r="AM96" i="5" s="1"/>
  <c r="V97" i="5"/>
  <c r="U97" i="5" s="1"/>
  <c r="AI97" i="5" s="1"/>
  <c r="AL97" i="5" s="1"/>
  <c r="X84" i="7"/>
  <c r="P83" i="7"/>
  <c r="W83" i="7"/>
  <c r="O83" i="7" s="1"/>
  <c r="AD96" i="5"/>
  <c r="K94" i="5"/>
  <c r="M96" i="5"/>
  <c r="N97" i="5"/>
  <c r="AJ97" i="5" l="1"/>
  <c r="AM97" i="5" s="1"/>
  <c r="L83" i="7"/>
  <c r="V98" i="5"/>
  <c r="AJ98" i="5" s="1"/>
  <c r="X85" i="7"/>
  <c r="P84" i="7"/>
  <c r="W84" i="7"/>
  <c r="O84" i="7" s="1"/>
  <c r="AD97" i="5"/>
  <c r="K95" i="5"/>
  <c r="M97" i="5"/>
  <c r="N98" i="5"/>
  <c r="AM98" i="5" l="1"/>
  <c r="U98" i="5"/>
  <c r="AI98" i="5" s="1"/>
  <c r="AL98" i="5" s="1"/>
  <c r="L84" i="7"/>
  <c r="V99" i="5"/>
  <c r="AJ99" i="5" s="1"/>
  <c r="AM99" i="5" s="1"/>
  <c r="X86" i="7"/>
  <c r="P85" i="7"/>
  <c r="W85" i="7"/>
  <c r="O85" i="7" s="1"/>
  <c r="K96" i="5"/>
  <c r="M98" i="5"/>
  <c r="N99" i="5"/>
  <c r="U99" i="5" l="1"/>
  <c r="AI99" i="5" s="1"/>
  <c r="AL99" i="5" s="1"/>
  <c r="AD98" i="5"/>
  <c r="L85" i="7"/>
  <c r="V100" i="5"/>
  <c r="AJ100" i="5" s="1"/>
  <c r="AM100" i="5" s="1"/>
  <c r="X87" i="7"/>
  <c r="P86" i="7"/>
  <c r="W86" i="7"/>
  <c r="O86" i="7" s="1"/>
  <c r="K97" i="5"/>
  <c r="M99" i="5"/>
  <c r="N100" i="5"/>
  <c r="AD99" i="5" l="1"/>
  <c r="U100" i="5"/>
  <c r="AI100" i="5" s="1"/>
  <c r="AL100" i="5" s="1"/>
  <c r="L86" i="7"/>
  <c r="V101" i="5"/>
  <c r="AJ101" i="5" s="1"/>
  <c r="AM101" i="5" s="1"/>
  <c r="X88" i="7"/>
  <c r="P87" i="7"/>
  <c r="W87" i="7"/>
  <c r="O87" i="7" s="1"/>
  <c r="K98" i="5"/>
  <c r="M100" i="5"/>
  <c r="N101" i="5"/>
  <c r="U101" i="5" l="1"/>
  <c r="AI101" i="5" s="1"/>
  <c r="AL101" i="5" s="1"/>
  <c r="AD100" i="5"/>
  <c r="L87" i="7"/>
  <c r="V102" i="5"/>
  <c r="AJ102" i="5" s="1"/>
  <c r="AM102" i="5" s="1"/>
  <c r="X89" i="7"/>
  <c r="P88" i="7"/>
  <c r="W88" i="7"/>
  <c r="O88" i="7" s="1"/>
  <c r="K99" i="5"/>
  <c r="M101" i="5"/>
  <c r="N102" i="5"/>
  <c r="AD101" i="5" l="1"/>
  <c r="U102" i="5"/>
  <c r="AI102" i="5" s="1"/>
  <c r="AL102" i="5" s="1"/>
  <c r="L88" i="7"/>
  <c r="V103" i="5"/>
  <c r="U103" i="5" s="1"/>
  <c r="AI103" i="5" s="1"/>
  <c r="X90" i="7"/>
  <c r="P89" i="7"/>
  <c r="W89" i="7"/>
  <c r="O89" i="7" s="1"/>
  <c r="K100" i="5"/>
  <c r="M102" i="5"/>
  <c r="N103" i="5"/>
  <c r="AL103" i="5" l="1"/>
  <c r="AD102" i="5"/>
  <c r="L89" i="7"/>
  <c r="AJ103" i="5"/>
  <c r="AM103" i="5" s="1"/>
  <c r="P90" i="7"/>
  <c r="W90" i="7"/>
  <c r="O90" i="7" s="1"/>
  <c r="V104" i="5"/>
  <c r="AJ104" i="5" s="1"/>
  <c r="AM104" i="5" s="1"/>
  <c r="X91" i="7"/>
  <c r="AD103" i="5"/>
  <c r="K101" i="5"/>
  <c r="M103" i="5"/>
  <c r="N104" i="5"/>
  <c r="U104" i="5" l="1"/>
  <c r="AI104" i="5" s="1"/>
  <c r="AL104" i="5" s="1"/>
  <c r="L90" i="7"/>
  <c r="V105" i="5"/>
  <c r="AJ105" i="5" s="1"/>
  <c r="AM105" i="5" s="1"/>
  <c r="X92" i="7"/>
  <c r="P91" i="7"/>
  <c r="W91" i="7"/>
  <c r="O91" i="7" s="1"/>
  <c r="K102" i="5"/>
  <c r="M104" i="5"/>
  <c r="N105" i="5"/>
  <c r="U105" i="5" l="1"/>
  <c r="AI105" i="5" s="1"/>
  <c r="AL105" i="5" s="1"/>
  <c r="AD104" i="5"/>
  <c r="L91" i="7"/>
  <c r="V106" i="5"/>
  <c r="AJ106" i="5" s="1"/>
  <c r="AM106" i="5" s="1"/>
  <c r="X93" i="7"/>
  <c r="P92" i="7"/>
  <c r="W92" i="7"/>
  <c r="O92" i="7" s="1"/>
  <c r="K103" i="5"/>
  <c r="M105" i="5"/>
  <c r="N106" i="5"/>
  <c r="AD105" i="5" l="1"/>
  <c r="U106" i="5"/>
  <c r="AI106" i="5" s="1"/>
  <c r="AL106" i="5" s="1"/>
  <c r="L92" i="7"/>
  <c r="V107" i="5"/>
  <c r="AJ107" i="5" s="1"/>
  <c r="AM107" i="5" s="1"/>
  <c r="X94" i="7"/>
  <c r="P93" i="7"/>
  <c r="W93" i="7"/>
  <c r="O93" i="7" s="1"/>
  <c r="K104" i="5"/>
  <c r="M106" i="5"/>
  <c r="N107" i="5"/>
  <c r="U107" i="5" l="1"/>
  <c r="AI107" i="5" s="1"/>
  <c r="AL107" i="5" s="1"/>
  <c r="AD106" i="5"/>
  <c r="L93" i="7"/>
  <c r="V108" i="5"/>
  <c r="AJ108" i="5" s="1"/>
  <c r="AM108" i="5" s="1"/>
  <c r="X95" i="7"/>
  <c r="P94" i="7"/>
  <c r="W94" i="7"/>
  <c r="O94" i="7" s="1"/>
  <c r="K105" i="5"/>
  <c r="M107" i="5"/>
  <c r="N108" i="5"/>
  <c r="AD107" i="5" l="1"/>
  <c r="U108" i="5"/>
  <c r="AI108" i="5" s="1"/>
  <c r="AL108" i="5" s="1"/>
  <c r="L94" i="7"/>
  <c r="V109" i="5"/>
  <c r="U109" i="5" s="1"/>
  <c r="AI109" i="5" s="1"/>
  <c r="X96" i="7"/>
  <c r="P95" i="7"/>
  <c r="W95" i="7"/>
  <c r="O95" i="7" s="1"/>
  <c r="K106" i="5"/>
  <c r="M108" i="5"/>
  <c r="N109" i="5"/>
  <c r="AL109" i="5" l="1"/>
  <c r="AD108" i="5"/>
  <c r="AJ109" i="5"/>
  <c r="AM109" i="5" s="1"/>
  <c r="L95" i="7"/>
  <c r="V110" i="5"/>
  <c r="AJ110" i="5" s="1"/>
  <c r="X97" i="7"/>
  <c r="P96" i="7"/>
  <c r="W96" i="7"/>
  <c r="O96" i="7" s="1"/>
  <c r="AD109" i="5"/>
  <c r="K107" i="5"/>
  <c r="M109" i="5"/>
  <c r="N110" i="5"/>
  <c r="AM110" i="5" l="1"/>
  <c r="U110" i="5"/>
  <c r="AI110" i="5" s="1"/>
  <c r="AL110" i="5" s="1"/>
  <c r="L96" i="7"/>
  <c r="V111" i="5"/>
  <c r="U111" i="5" s="1"/>
  <c r="AI111" i="5" s="1"/>
  <c r="X98" i="7"/>
  <c r="P97" i="7"/>
  <c r="W97" i="7"/>
  <c r="O97" i="7" s="1"/>
  <c r="K108" i="5"/>
  <c r="M110" i="5"/>
  <c r="N111" i="5"/>
  <c r="AL111" i="5" l="1"/>
  <c r="AJ111" i="5"/>
  <c r="AM111" i="5" s="1"/>
  <c r="AD110" i="5"/>
  <c r="L97" i="7"/>
  <c r="V112" i="5"/>
  <c r="AJ112" i="5" s="1"/>
  <c r="X99" i="7"/>
  <c r="P98" i="7"/>
  <c r="W98" i="7"/>
  <c r="O98" i="7" s="1"/>
  <c r="AD111" i="5"/>
  <c r="K109" i="5"/>
  <c r="M111" i="5"/>
  <c r="N112" i="5"/>
  <c r="AM112" i="5" l="1"/>
  <c r="U112" i="5"/>
  <c r="AI112" i="5" s="1"/>
  <c r="AL112" i="5" s="1"/>
  <c r="L98" i="7"/>
  <c r="V113" i="5"/>
  <c r="U113" i="5" s="1"/>
  <c r="AI113" i="5" s="1"/>
  <c r="X100" i="7"/>
  <c r="P99" i="7"/>
  <c r="W99" i="7"/>
  <c r="O99" i="7" s="1"/>
  <c r="K110" i="5"/>
  <c r="M112" i="5"/>
  <c r="N113" i="5"/>
  <c r="AD112" i="5" l="1"/>
  <c r="AL113" i="5"/>
  <c r="AJ113" i="5"/>
  <c r="AM113" i="5" s="1"/>
  <c r="L99" i="7"/>
  <c r="V114" i="5"/>
  <c r="AJ114" i="5" s="1"/>
  <c r="X101" i="7"/>
  <c r="P100" i="7"/>
  <c r="W100" i="7"/>
  <c r="O100" i="7" s="1"/>
  <c r="AD113" i="5"/>
  <c r="K111" i="5"/>
  <c r="M113" i="5"/>
  <c r="N114" i="5"/>
  <c r="U114" i="5" l="1"/>
  <c r="AI114" i="5" s="1"/>
  <c r="AL114" i="5" s="1"/>
  <c r="AM114" i="5"/>
  <c r="L100" i="7"/>
  <c r="P101" i="7"/>
  <c r="W101" i="7"/>
  <c r="O101" i="7" s="1"/>
  <c r="V115" i="5"/>
  <c r="AJ115" i="5" s="1"/>
  <c r="AM115" i="5" s="1"/>
  <c r="X102" i="7"/>
  <c r="K112" i="5"/>
  <c r="M114" i="5"/>
  <c r="N115" i="5"/>
  <c r="AD114" i="5" l="1"/>
  <c r="L101" i="7"/>
  <c r="U115" i="5"/>
  <c r="AI115" i="5" s="1"/>
  <c r="AL115" i="5" s="1"/>
  <c r="P102" i="7"/>
  <c r="W102" i="7"/>
  <c r="O102" i="7" s="1"/>
  <c r="V116" i="5"/>
  <c r="AJ116" i="5" s="1"/>
  <c r="AM116" i="5" s="1"/>
  <c r="X103" i="7"/>
  <c r="K113" i="5"/>
  <c r="M115" i="5"/>
  <c r="N116" i="5"/>
  <c r="AD115" i="5" l="1"/>
  <c r="L102" i="7"/>
  <c r="U116" i="5"/>
  <c r="AI116" i="5" s="1"/>
  <c r="AL116" i="5" s="1"/>
  <c r="V117" i="5"/>
  <c r="U117" i="5" s="1"/>
  <c r="AI117" i="5" s="1"/>
  <c r="X104" i="7"/>
  <c r="P103" i="7"/>
  <c r="W103" i="7"/>
  <c r="O103" i="7" s="1"/>
  <c r="K114" i="5"/>
  <c r="M116" i="5"/>
  <c r="N117" i="5"/>
  <c r="AD116" i="5" l="1"/>
  <c r="AJ117" i="5"/>
  <c r="AM117" i="5" s="1"/>
  <c r="L103" i="7"/>
  <c r="P104" i="7"/>
  <c r="W104" i="7"/>
  <c r="O104" i="7" s="1"/>
  <c r="AD117" i="5"/>
  <c r="V118" i="5"/>
  <c r="AL117" i="5"/>
  <c r="M117" i="5"/>
  <c r="P15" i="5"/>
  <c r="K115" i="5"/>
  <c r="N119" i="5"/>
  <c r="N121" i="5" s="1"/>
  <c r="L104" i="7" l="1"/>
  <c r="L4" i="7" s="1"/>
  <c r="M119" i="5"/>
  <c r="M121" i="5" s="1"/>
  <c r="N118" i="5"/>
  <c r="K116" i="5"/>
  <c r="AJ118" i="5"/>
  <c r="AM118" i="5" s="1"/>
  <c r="V6" i="7"/>
  <c r="N6" i="7" s="1"/>
  <c r="T6" i="7" s="1"/>
  <c r="V5" i="7"/>
  <c r="N5" i="7" s="1"/>
  <c r="T5" i="7" s="1"/>
  <c r="T19" i="5"/>
  <c r="AC19" i="5" s="1"/>
  <c r="AE19" i="5" s="1"/>
  <c r="L21" i="5"/>
  <c r="T18" i="5"/>
  <c r="AC18" i="5" s="1"/>
  <c r="AE18" i="5" s="1"/>
  <c r="B20" i="5"/>
  <c r="L18" i="5"/>
  <c r="U5" i="7" l="1"/>
  <c r="AH19" i="5"/>
  <c r="AF19" i="5"/>
  <c r="T21" i="5"/>
  <c r="V8" i="7"/>
  <c r="N8" i="7" s="1"/>
  <c r="T8" i="7" s="1"/>
  <c r="T20" i="5"/>
  <c r="V7" i="7"/>
  <c r="N7" i="7" s="1"/>
  <c r="T7" i="7" s="1"/>
  <c r="U6" i="7" s="1"/>
  <c r="L20" i="5"/>
  <c r="L19" i="5"/>
  <c r="T16" i="5"/>
  <c r="AH18" i="5"/>
  <c r="U7" i="7" l="1"/>
  <c r="AK19" i="5"/>
  <c r="AH14" i="5"/>
  <c r="AH20" i="5"/>
  <c r="AK20" i="5" s="1"/>
  <c r="AC20" i="5"/>
  <c r="AE20" i="5" s="1"/>
  <c r="AF20" i="5" s="1"/>
  <c r="V9" i="7"/>
  <c r="N9" i="7" s="1"/>
  <c r="T9" i="7" s="1"/>
  <c r="U8" i="7" s="1"/>
  <c r="L22" i="5"/>
  <c r="T22" i="5"/>
  <c r="AC21" i="5"/>
  <c r="AE21" i="5" s="1"/>
  <c r="AH21" i="5"/>
  <c r="AK21" i="5" s="1"/>
  <c r="AF21" i="5" l="1"/>
  <c r="T23" i="5"/>
  <c r="L23" i="5"/>
  <c r="V10" i="7"/>
  <c r="N10" i="7" s="1"/>
  <c r="T10" i="7" s="1"/>
  <c r="U9" i="7" s="1"/>
  <c r="AC22" i="5"/>
  <c r="AE22" i="5" s="1"/>
  <c r="AF22" i="5" s="1"/>
  <c r="AH22" i="5"/>
  <c r="AK22" i="5" s="1"/>
  <c r="L24" i="5" l="1"/>
  <c r="V11" i="7"/>
  <c r="N11" i="7" s="1"/>
  <c r="T11" i="7" s="1"/>
  <c r="U10" i="7" s="1"/>
  <c r="T24" i="5"/>
  <c r="AH23" i="5"/>
  <c r="AK23" i="5" s="1"/>
  <c r="AC23" i="5"/>
  <c r="AE23" i="5" s="1"/>
  <c r="AF23" i="5" s="1"/>
  <c r="AC24" i="5" l="1"/>
  <c r="AE24" i="5" s="1"/>
  <c r="AF24" i="5" s="1"/>
  <c r="AH24" i="5"/>
  <c r="AK24" i="5" s="1"/>
  <c r="T25" i="5"/>
  <c r="V12" i="7"/>
  <c r="N12" i="7" s="1"/>
  <c r="T12" i="7" s="1"/>
  <c r="U11" i="7" s="1"/>
  <c r="L25" i="5"/>
  <c r="L26" i="5" l="1"/>
  <c r="V13" i="7"/>
  <c r="N13" i="7" s="1"/>
  <c r="T13" i="7" s="1"/>
  <c r="U12" i="7" s="1"/>
  <c r="T26" i="5"/>
  <c r="AH25" i="5"/>
  <c r="AK25" i="5" s="1"/>
  <c r="AC25" i="5"/>
  <c r="AE25" i="5" s="1"/>
  <c r="AF25" i="5" s="1"/>
  <c r="T27" i="5" l="1"/>
  <c r="L27" i="5"/>
  <c r="V14" i="7"/>
  <c r="N14" i="7" s="1"/>
  <c r="T14" i="7" s="1"/>
  <c r="U13" i="7" s="1"/>
  <c r="AC26" i="5"/>
  <c r="AE26" i="5" s="1"/>
  <c r="AF26" i="5" s="1"/>
  <c r="AH26" i="5"/>
  <c r="AK26" i="5" s="1"/>
  <c r="AH27" i="5" l="1"/>
  <c r="AK27" i="5" s="1"/>
  <c r="AC27" i="5"/>
  <c r="AE27" i="5" s="1"/>
  <c r="AF27" i="5" s="1"/>
  <c r="V15" i="7"/>
  <c r="N15" i="7" s="1"/>
  <c r="T15" i="7" s="1"/>
  <c r="U14" i="7" s="1"/>
  <c r="T28" i="5"/>
  <c r="L28" i="5"/>
  <c r="AC28" i="5" l="1"/>
  <c r="AE28" i="5" s="1"/>
  <c r="AF28" i="5" s="1"/>
  <c r="AH28" i="5"/>
  <c r="AK28" i="5" s="1"/>
  <c r="T29" i="5"/>
  <c r="V16" i="7"/>
  <c r="N16" i="7" s="1"/>
  <c r="T16" i="7" s="1"/>
  <c r="U15" i="7" s="1"/>
  <c r="L29" i="5"/>
  <c r="L30" i="5" l="1"/>
  <c r="V17" i="7"/>
  <c r="N17" i="7" s="1"/>
  <c r="T17" i="7" s="1"/>
  <c r="U16" i="7" s="1"/>
  <c r="T30" i="5"/>
  <c r="AH29" i="5"/>
  <c r="AK29" i="5" s="1"/>
  <c r="AC29" i="5"/>
  <c r="AE29" i="5" s="1"/>
  <c r="AF29" i="5" s="1"/>
  <c r="AC30" i="5" l="1"/>
  <c r="AE30" i="5" s="1"/>
  <c r="AF30" i="5" s="1"/>
  <c r="AH30" i="5"/>
  <c r="AK30" i="5" s="1"/>
  <c r="V18" i="7"/>
  <c r="N18" i="7" s="1"/>
  <c r="T18" i="7" s="1"/>
  <c r="U17" i="7" s="1"/>
  <c r="T31" i="5"/>
  <c r="L31" i="5"/>
  <c r="AC31" i="5" l="1"/>
  <c r="AE31" i="5" s="1"/>
  <c r="AF31" i="5" s="1"/>
  <c r="AH31" i="5"/>
  <c r="AK31" i="5" s="1"/>
  <c r="T32" i="5"/>
  <c r="L32" i="5"/>
  <c r="V19" i="7"/>
  <c r="N19" i="7" s="1"/>
  <c r="T19" i="7" s="1"/>
  <c r="U18" i="7" s="1"/>
  <c r="AC32" i="5" l="1"/>
  <c r="AE32" i="5" s="1"/>
  <c r="AF32" i="5" s="1"/>
  <c r="AH32" i="5"/>
  <c r="AK32" i="5" s="1"/>
  <c r="T33" i="5"/>
  <c r="V20" i="7"/>
  <c r="N20" i="7" s="1"/>
  <c r="T20" i="7" s="1"/>
  <c r="U19" i="7" s="1"/>
  <c r="L33" i="5"/>
  <c r="L34" i="5" l="1"/>
  <c r="V21" i="7"/>
  <c r="N21" i="7" s="1"/>
  <c r="T21" i="7" s="1"/>
  <c r="U20" i="7" s="1"/>
  <c r="T34" i="5"/>
  <c r="AH33" i="5"/>
  <c r="AK33" i="5" s="1"/>
  <c r="AC33" i="5"/>
  <c r="AE33" i="5" s="1"/>
  <c r="AF33" i="5" s="1"/>
  <c r="AC34" i="5" l="1"/>
  <c r="AE34" i="5" s="1"/>
  <c r="AF34" i="5" s="1"/>
  <c r="AH34" i="5"/>
  <c r="AK34" i="5" s="1"/>
  <c r="L35" i="5"/>
  <c r="V22" i="7"/>
  <c r="N22" i="7" s="1"/>
  <c r="T22" i="7" s="1"/>
  <c r="U21" i="7" s="1"/>
  <c r="T35" i="5"/>
  <c r="AC35" i="5" l="1"/>
  <c r="AE35" i="5" s="1"/>
  <c r="AF35" i="5" s="1"/>
  <c r="AH35" i="5"/>
  <c r="AK35" i="5" s="1"/>
  <c r="V23" i="7"/>
  <c r="N23" i="7" s="1"/>
  <c r="T23" i="7" s="1"/>
  <c r="U22" i="7" s="1"/>
  <c r="T36" i="5"/>
  <c r="L36" i="5"/>
  <c r="AC36" i="5" l="1"/>
  <c r="AE36" i="5" s="1"/>
  <c r="AF36" i="5" s="1"/>
  <c r="AH36" i="5"/>
  <c r="AK36" i="5" s="1"/>
  <c r="V24" i="7"/>
  <c r="N24" i="7" s="1"/>
  <c r="T24" i="7" s="1"/>
  <c r="U23" i="7" s="1"/>
  <c r="L37" i="5"/>
  <c r="T37" i="5"/>
  <c r="AC37" i="5" l="1"/>
  <c r="AE37" i="5" s="1"/>
  <c r="AF37" i="5" s="1"/>
  <c r="AH37" i="5"/>
  <c r="AK37" i="5" s="1"/>
  <c r="L38" i="5"/>
  <c r="T38" i="5"/>
  <c r="V25" i="7"/>
  <c r="N25" i="7" s="1"/>
  <c r="T25" i="7" s="1"/>
  <c r="U24" i="7" s="1"/>
  <c r="AH38" i="5" l="1"/>
  <c r="AK38" i="5" s="1"/>
  <c r="AC38" i="5"/>
  <c r="AE38" i="5" s="1"/>
  <c r="AF38" i="5" s="1"/>
  <c r="V26" i="7"/>
  <c r="N26" i="7" s="1"/>
  <c r="T26" i="7" s="1"/>
  <c r="U25" i="7" s="1"/>
  <c r="T39" i="5"/>
  <c r="L39" i="5"/>
  <c r="AH39" i="5" l="1"/>
  <c r="AK39" i="5" s="1"/>
  <c r="AC39" i="5"/>
  <c r="AE39" i="5" s="1"/>
  <c r="AF39" i="5" s="1"/>
  <c r="T40" i="5"/>
  <c r="L40" i="5"/>
  <c r="V27" i="7"/>
  <c r="N27" i="7" s="1"/>
  <c r="T27" i="7" s="1"/>
  <c r="U26" i="7" s="1"/>
  <c r="T41" i="5" l="1"/>
  <c r="V28" i="7"/>
  <c r="N28" i="7" s="1"/>
  <c r="T28" i="7" s="1"/>
  <c r="U27" i="7" s="1"/>
  <c r="L41" i="5"/>
  <c r="AC40" i="5"/>
  <c r="AE40" i="5" s="1"/>
  <c r="AF40" i="5" s="1"/>
  <c r="AH40" i="5"/>
  <c r="AK40" i="5" s="1"/>
  <c r="V29" i="7" l="1"/>
  <c r="N29" i="7" s="1"/>
  <c r="T29" i="7" s="1"/>
  <c r="U28" i="7" s="1"/>
  <c r="L42" i="5"/>
  <c r="T42" i="5"/>
  <c r="AH41" i="5"/>
  <c r="AK41" i="5" s="1"/>
  <c r="AC41" i="5"/>
  <c r="AE41" i="5" s="1"/>
  <c r="AF41" i="5" s="1"/>
  <c r="T43" i="5" l="1"/>
  <c r="L43" i="5"/>
  <c r="V30" i="7"/>
  <c r="N30" i="7" s="1"/>
  <c r="T30" i="7" s="1"/>
  <c r="U29" i="7" s="1"/>
  <c r="AC42" i="5"/>
  <c r="AE42" i="5" s="1"/>
  <c r="AF42" i="5" s="1"/>
  <c r="AH42" i="5"/>
  <c r="AK42" i="5" s="1"/>
  <c r="AC43" i="5" l="1"/>
  <c r="AE43" i="5" s="1"/>
  <c r="AF43" i="5" s="1"/>
  <c r="AH43" i="5"/>
  <c r="AK43" i="5" s="1"/>
  <c r="V31" i="7"/>
  <c r="N31" i="7" s="1"/>
  <c r="T31" i="7" s="1"/>
  <c r="U30" i="7" s="1"/>
  <c r="T44" i="5"/>
  <c r="L44" i="5"/>
  <c r="AC44" i="5" l="1"/>
  <c r="AE44" i="5" s="1"/>
  <c r="AF44" i="5" s="1"/>
  <c r="AH44" i="5"/>
  <c r="AK44" i="5" s="1"/>
  <c r="V32" i="7"/>
  <c r="N32" i="7" s="1"/>
  <c r="T32" i="7" s="1"/>
  <c r="U31" i="7" s="1"/>
  <c r="L45" i="5"/>
  <c r="T45" i="5"/>
  <c r="AH45" i="5" l="1"/>
  <c r="AK45" i="5" s="1"/>
  <c r="AC45" i="5"/>
  <c r="AE45" i="5" s="1"/>
  <c r="AF45" i="5" s="1"/>
  <c r="L46" i="5"/>
  <c r="V33" i="7"/>
  <c r="N33" i="7" s="1"/>
  <c r="T33" i="7" s="1"/>
  <c r="U32" i="7" s="1"/>
  <c r="T46" i="5"/>
  <c r="AH46" i="5" l="1"/>
  <c r="AK46" i="5" s="1"/>
  <c r="AC46" i="5"/>
  <c r="AE46" i="5" s="1"/>
  <c r="AF46" i="5" s="1"/>
  <c r="V34" i="7"/>
  <c r="N34" i="7" s="1"/>
  <c r="T34" i="7" s="1"/>
  <c r="U33" i="7" s="1"/>
  <c r="B19" i="5"/>
  <c r="C20" i="5" s="1"/>
  <c r="L47" i="5"/>
  <c r="T47" i="5"/>
  <c r="AC47" i="5" l="1"/>
  <c r="AE47" i="5" s="1"/>
  <c r="AF47" i="5" s="1"/>
  <c r="AH47" i="5"/>
  <c r="AK47" i="5" s="1"/>
  <c r="V35" i="7"/>
  <c r="N35" i="7" s="1"/>
  <c r="T35" i="7" s="1"/>
  <c r="U34" i="7" s="1"/>
  <c r="T48" i="5"/>
  <c r="L48" i="5"/>
  <c r="T49" i="5" l="1"/>
  <c r="L49" i="5"/>
  <c r="V36" i="7"/>
  <c r="N36" i="7" s="1"/>
  <c r="T36" i="7" s="1"/>
  <c r="U35" i="7" s="1"/>
  <c r="AC48" i="5"/>
  <c r="AE48" i="5" s="1"/>
  <c r="AF48" i="5" s="1"/>
  <c r="AH48" i="5"/>
  <c r="AK48" i="5" s="1"/>
  <c r="T50" i="5" l="1"/>
  <c r="L50" i="5"/>
  <c r="V37" i="7"/>
  <c r="N37" i="7" s="1"/>
  <c r="T37" i="7" s="1"/>
  <c r="U36" i="7" s="1"/>
  <c r="AH49" i="5"/>
  <c r="AK49" i="5" s="1"/>
  <c r="AC49" i="5"/>
  <c r="AE49" i="5" s="1"/>
  <c r="AF49" i="5" s="1"/>
  <c r="T51" i="5" l="1"/>
  <c r="L51" i="5"/>
  <c r="V38" i="7"/>
  <c r="N38" i="7" s="1"/>
  <c r="T38" i="7" s="1"/>
  <c r="U37" i="7" s="1"/>
  <c r="AC50" i="5"/>
  <c r="AE50" i="5" s="1"/>
  <c r="AF50" i="5" s="1"/>
  <c r="AH50" i="5"/>
  <c r="AK50" i="5" s="1"/>
  <c r="AC51" i="5" l="1"/>
  <c r="AE51" i="5" s="1"/>
  <c r="AF51" i="5" s="1"/>
  <c r="AH51" i="5"/>
  <c r="AK51" i="5" s="1"/>
  <c r="T52" i="5"/>
  <c r="V39" i="7"/>
  <c r="N39" i="7" s="1"/>
  <c r="T39" i="7" s="1"/>
  <c r="U38" i="7" s="1"/>
  <c r="L52" i="5"/>
  <c r="T53" i="5" l="1"/>
  <c r="V40" i="7"/>
  <c r="N40" i="7" s="1"/>
  <c r="T40" i="7" s="1"/>
  <c r="U39" i="7" s="1"/>
  <c r="L53" i="5"/>
  <c r="AC52" i="5"/>
  <c r="AE52" i="5" s="1"/>
  <c r="AF52" i="5" s="1"/>
  <c r="AH52" i="5"/>
  <c r="AK52" i="5" s="1"/>
  <c r="V41" i="7" l="1"/>
  <c r="N41" i="7" s="1"/>
  <c r="T41" i="7" s="1"/>
  <c r="U40" i="7" s="1"/>
  <c r="T54" i="5"/>
  <c r="L54" i="5"/>
  <c r="AH53" i="5"/>
  <c r="AK53" i="5" s="1"/>
  <c r="AC53" i="5"/>
  <c r="AE53" i="5" s="1"/>
  <c r="AF53" i="5" s="1"/>
  <c r="T55" i="5" l="1"/>
  <c r="V42" i="7"/>
  <c r="N42" i="7" s="1"/>
  <c r="T42" i="7" s="1"/>
  <c r="U41" i="7" s="1"/>
  <c r="L55" i="5"/>
  <c r="AC54" i="5"/>
  <c r="AE54" i="5" s="1"/>
  <c r="AF54" i="5" s="1"/>
  <c r="AH54" i="5"/>
  <c r="AK54" i="5" s="1"/>
  <c r="AH55" i="5" l="1"/>
  <c r="AK55" i="5" s="1"/>
  <c r="AC55" i="5"/>
  <c r="AE55" i="5" s="1"/>
  <c r="AF55" i="5" s="1"/>
  <c r="T56" i="5"/>
  <c r="V43" i="7"/>
  <c r="N43" i="7" s="1"/>
  <c r="T43" i="7" s="1"/>
  <c r="U42" i="7" s="1"/>
  <c r="L56" i="5"/>
  <c r="L57" i="5" l="1"/>
  <c r="V44" i="7"/>
  <c r="N44" i="7" s="1"/>
  <c r="T44" i="7" s="1"/>
  <c r="U43" i="7" s="1"/>
  <c r="T57" i="5"/>
  <c r="AH56" i="5"/>
  <c r="AK56" i="5" s="1"/>
  <c r="AC56" i="5"/>
  <c r="AE56" i="5" s="1"/>
  <c r="AF56" i="5" s="1"/>
  <c r="AH57" i="5" l="1"/>
  <c r="AK57" i="5" s="1"/>
  <c r="AC57" i="5"/>
  <c r="AE57" i="5" s="1"/>
  <c r="AF57" i="5" s="1"/>
  <c r="L58" i="5"/>
  <c r="T58" i="5"/>
  <c r="V45" i="7"/>
  <c r="N45" i="7" s="1"/>
  <c r="T45" i="7" s="1"/>
  <c r="U44" i="7" s="1"/>
  <c r="V46" i="7" l="1"/>
  <c r="N46" i="7" s="1"/>
  <c r="T46" i="7" s="1"/>
  <c r="U45" i="7" s="1"/>
  <c r="L59" i="5"/>
  <c r="T59" i="5"/>
  <c r="AC58" i="5"/>
  <c r="AE58" i="5" s="1"/>
  <c r="AF58" i="5" s="1"/>
  <c r="AH58" i="5"/>
  <c r="AK58" i="5" s="1"/>
  <c r="AC59" i="5" l="1"/>
  <c r="AE59" i="5" s="1"/>
  <c r="AF59" i="5" s="1"/>
  <c r="AH59" i="5"/>
  <c r="AK59" i="5" s="1"/>
  <c r="T60" i="5"/>
  <c r="V47" i="7"/>
  <c r="N47" i="7" s="1"/>
  <c r="T47" i="7" s="1"/>
  <c r="U46" i="7" s="1"/>
  <c r="L60" i="5"/>
  <c r="AC60" i="5" l="1"/>
  <c r="AE60" i="5" s="1"/>
  <c r="AF60" i="5" s="1"/>
  <c r="AH60" i="5"/>
  <c r="AK60" i="5" s="1"/>
  <c r="L61" i="5"/>
  <c r="T61" i="5"/>
  <c r="V48" i="7"/>
  <c r="N48" i="7" s="1"/>
  <c r="T48" i="7" s="1"/>
  <c r="U47" i="7" s="1"/>
  <c r="AH61" i="5" l="1"/>
  <c r="AK61" i="5" s="1"/>
  <c r="AC61" i="5"/>
  <c r="AE61" i="5" s="1"/>
  <c r="AF61" i="5" s="1"/>
  <c r="L62" i="5"/>
  <c r="V49" i="7"/>
  <c r="N49" i="7" s="1"/>
  <c r="T49" i="7" s="1"/>
  <c r="U48" i="7" s="1"/>
  <c r="T62" i="5"/>
  <c r="AH62" i="5" l="1"/>
  <c r="AK62" i="5" s="1"/>
  <c r="AC62" i="5"/>
  <c r="AE62" i="5" s="1"/>
  <c r="AF62" i="5" s="1"/>
  <c r="V50" i="7"/>
  <c r="N50" i="7" s="1"/>
  <c r="T50" i="7" s="1"/>
  <c r="U49" i="7" s="1"/>
  <c r="T63" i="5"/>
  <c r="L63" i="5"/>
  <c r="AC63" i="5" l="1"/>
  <c r="AE63" i="5" s="1"/>
  <c r="AF63" i="5" s="1"/>
  <c r="AH63" i="5"/>
  <c r="AK63" i="5" s="1"/>
  <c r="T64" i="5"/>
  <c r="V51" i="7"/>
  <c r="N51" i="7" s="1"/>
  <c r="T51" i="7" s="1"/>
  <c r="U50" i="7" s="1"/>
  <c r="L64" i="5"/>
  <c r="T65" i="5" l="1"/>
  <c r="V52" i="7"/>
  <c r="N52" i="7" s="1"/>
  <c r="T52" i="7" s="1"/>
  <c r="U51" i="7" s="1"/>
  <c r="L65" i="5"/>
  <c r="AH64" i="5"/>
  <c r="AK64" i="5" s="1"/>
  <c r="AC64" i="5"/>
  <c r="AE64" i="5" s="1"/>
  <c r="AF64" i="5" s="1"/>
  <c r="T66" i="5" l="1"/>
  <c r="L66" i="5"/>
  <c r="V53" i="7"/>
  <c r="N53" i="7" s="1"/>
  <c r="T53" i="7" s="1"/>
  <c r="U52" i="7" s="1"/>
  <c r="AH65" i="5"/>
  <c r="AK65" i="5" s="1"/>
  <c r="AC65" i="5"/>
  <c r="AE65" i="5" s="1"/>
  <c r="AF65" i="5" s="1"/>
  <c r="L10" i="9" l="1"/>
  <c r="L22" i="9"/>
  <c r="L13" i="9"/>
  <c r="L12" i="9"/>
  <c r="L24" i="9"/>
  <c r="L17" i="9"/>
  <c r="L26" i="9"/>
  <c r="V54" i="7"/>
  <c r="N54" i="7" s="1"/>
  <c r="T54" i="7" s="1"/>
  <c r="U53" i="7" s="1"/>
  <c r="T67" i="5"/>
  <c r="L27" i="9"/>
  <c r="B18" i="5"/>
  <c r="L29" i="9"/>
  <c r="L67" i="5"/>
  <c r="L15" i="9"/>
  <c r="AH66" i="5"/>
  <c r="AK66" i="5" s="1"/>
  <c r="AC66" i="5"/>
  <c r="AE66" i="5" s="1"/>
  <c r="AF66" i="5" s="1"/>
  <c r="AH67" i="5" l="1"/>
  <c r="AK67" i="5" s="1"/>
  <c r="AC67" i="5"/>
  <c r="AE67" i="5" s="1"/>
  <c r="AF67" i="5" s="1"/>
  <c r="C19" i="5"/>
  <c r="B21" i="5"/>
  <c r="B22" i="5"/>
  <c r="L68" i="5"/>
  <c r="V55" i="7"/>
  <c r="N55" i="7" s="1"/>
  <c r="T55" i="7" s="1"/>
  <c r="U54" i="7" s="1"/>
  <c r="T68" i="5"/>
  <c r="T69" i="5" l="1"/>
  <c r="V56" i="7"/>
  <c r="N56" i="7" s="1"/>
  <c r="T56" i="7" s="1"/>
  <c r="U55" i="7" s="1"/>
  <c r="L69" i="5"/>
  <c r="AC68" i="5"/>
  <c r="AE68" i="5" s="1"/>
  <c r="AF68" i="5" s="1"/>
  <c r="AH68" i="5"/>
  <c r="AK68" i="5" s="1"/>
  <c r="L48" i="9" l="1"/>
  <c r="L43" i="9"/>
  <c r="V57" i="7"/>
  <c r="N57" i="7" s="1"/>
  <c r="T57" i="7" s="1"/>
  <c r="U56" i="7" s="1"/>
  <c r="L47" i="9"/>
  <c r="L45" i="9"/>
  <c r="L50" i="9"/>
  <c r="T70" i="5"/>
  <c r="L70" i="5"/>
  <c r="AC69" i="5"/>
  <c r="AE69" i="5" s="1"/>
  <c r="AF69" i="5" s="1"/>
  <c r="AH69" i="5"/>
  <c r="AK69" i="5" s="1"/>
  <c r="V58" i="7" l="1"/>
  <c r="N58" i="7" s="1"/>
  <c r="T58" i="7" s="1"/>
  <c r="U57" i="7" s="1"/>
  <c r="T71" i="5"/>
  <c r="L71" i="5"/>
  <c r="AC70" i="5"/>
  <c r="AE70" i="5" s="1"/>
  <c r="AF70" i="5" s="1"/>
  <c r="AH70" i="5"/>
  <c r="AK70" i="5" s="1"/>
  <c r="T72" i="5" l="1"/>
  <c r="V59" i="7"/>
  <c r="N59" i="7" s="1"/>
  <c r="T59" i="7" s="1"/>
  <c r="U58" i="7" s="1"/>
  <c r="L72" i="5"/>
  <c r="AC71" i="5"/>
  <c r="AE71" i="5" s="1"/>
  <c r="AF71" i="5" s="1"/>
  <c r="AH71" i="5"/>
  <c r="AK71" i="5" s="1"/>
  <c r="T73" i="5" l="1"/>
  <c r="V60" i="7"/>
  <c r="N60" i="7" s="1"/>
  <c r="T60" i="7" s="1"/>
  <c r="U59" i="7" s="1"/>
  <c r="L73" i="5"/>
  <c r="AH72" i="5"/>
  <c r="AK72" i="5" s="1"/>
  <c r="AC72" i="5"/>
  <c r="AE72" i="5" s="1"/>
  <c r="AF72" i="5" s="1"/>
  <c r="V61" i="7" l="1"/>
  <c r="N61" i="7" s="1"/>
  <c r="T61" i="7" s="1"/>
  <c r="U60" i="7" s="1"/>
  <c r="T74" i="5"/>
  <c r="L74" i="5"/>
  <c r="AH73" i="5"/>
  <c r="AK73" i="5" s="1"/>
  <c r="AC73" i="5"/>
  <c r="AE73" i="5" s="1"/>
  <c r="AF73" i="5" s="1"/>
  <c r="L75" i="5" l="1"/>
  <c r="V62" i="7"/>
  <c r="N62" i="7" s="1"/>
  <c r="T62" i="7" s="1"/>
  <c r="U61" i="7" s="1"/>
  <c r="T75" i="5"/>
  <c r="AC74" i="5"/>
  <c r="AE74" i="5" s="1"/>
  <c r="AF74" i="5" s="1"/>
  <c r="AH74" i="5"/>
  <c r="AK74" i="5" s="1"/>
  <c r="AC75" i="5" l="1"/>
  <c r="AE75" i="5" s="1"/>
  <c r="AF75" i="5" s="1"/>
  <c r="AH75" i="5"/>
  <c r="AK75" i="5" s="1"/>
  <c r="V63" i="7"/>
  <c r="N63" i="7" s="1"/>
  <c r="T63" i="7" s="1"/>
  <c r="U62" i="7" s="1"/>
  <c r="T76" i="5"/>
  <c r="L76" i="5"/>
  <c r="T77" i="5" l="1"/>
  <c r="L77" i="5"/>
  <c r="V64" i="7"/>
  <c r="N64" i="7" s="1"/>
  <c r="T64" i="7" s="1"/>
  <c r="U63" i="7" s="1"/>
  <c r="AH76" i="5"/>
  <c r="AK76" i="5" s="1"/>
  <c r="AC76" i="5"/>
  <c r="AE76" i="5" s="1"/>
  <c r="AF76" i="5" s="1"/>
  <c r="L78" i="5" l="1"/>
  <c r="V65" i="7"/>
  <c r="N65" i="7" s="1"/>
  <c r="T65" i="7" s="1"/>
  <c r="U64" i="7" s="1"/>
  <c r="T78" i="5"/>
  <c r="AC77" i="5"/>
  <c r="AE77" i="5" s="1"/>
  <c r="AF77" i="5" s="1"/>
  <c r="AH77" i="5"/>
  <c r="AK77" i="5" s="1"/>
  <c r="AH78" i="5" l="1"/>
  <c r="AK78" i="5" s="1"/>
  <c r="AC78" i="5"/>
  <c r="AE78" i="5" s="1"/>
  <c r="AF78" i="5" s="1"/>
  <c r="V66" i="7"/>
  <c r="N66" i="7" s="1"/>
  <c r="T66" i="7" s="1"/>
  <c r="U65" i="7" s="1"/>
  <c r="T79" i="5"/>
  <c r="L79" i="5"/>
  <c r="AH79" i="5" l="1"/>
  <c r="AK79" i="5" s="1"/>
  <c r="AC79" i="5"/>
  <c r="AE79" i="5" s="1"/>
  <c r="AF79" i="5" s="1"/>
  <c r="T80" i="5"/>
  <c r="L80" i="5"/>
  <c r="V67" i="7"/>
  <c r="N67" i="7" s="1"/>
  <c r="T67" i="7" s="1"/>
  <c r="U66" i="7" s="1"/>
  <c r="T81" i="5" l="1"/>
  <c r="V68" i="7"/>
  <c r="N68" i="7" s="1"/>
  <c r="T68" i="7" s="1"/>
  <c r="U67" i="7" s="1"/>
  <c r="L81" i="5"/>
  <c r="AC80" i="5"/>
  <c r="AE80" i="5" s="1"/>
  <c r="AF80" i="5" s="1"/>
  <c r="AH80" i="5"/>
  <c r="AK80" i="5" s="1"/>
  <c r="L82" i="5" l="1"/>
  <c r="V69" i="7"/>
  <c r="N69" i="7" s="1"/>
  <c r="T69" i="7" s="1"/>
  <c r="U68" i="7" s="1"/>
  <c r="T82" i="5"/>
  <c r="AH81" i="5"/>
  <c r="AK81" i="5" s="1"/>
  <c r="AC81" i="5"/>
  <c r="AE81" i="5" s="1"/>
  <c r="AF81" i="5" s="1"/>
  <c r="AH82" i="5" l="1"/>
  <c r="AK82" i="5" s="1"/>
  <c r="AC82" i="5"/>
  <c r="AE82" i="5" s="1"/>
  <c r="AF82" i="5" s="1"/>
  <c r="L83" i="5"/>
  <c r="T83" i="5"/>
  <c r="V70" i="7"/>
  <c r="N70" i="7" s="1"/>
  <c r="T70" i="7" s="1"/>
  <c r="U69" i="7" s="1"/>
  <c r="T84" i="5" l="1"/>
  <c r="V71" i="7"/>
  <c r="N71" i="7" s="1"/>
  <c r="T71" i="7" s="1"/>
  <c r="U70" i="7" s="1"/>
  <c r="L84" i="5"/>
  <c r="AC83" i="5"/>
  <c r="AE83" i="5" s="1"/>
  <c r="AF83" i="5" s="1"/>
  <c r="AH83" i="5"/>
  <c r="AK83" i="5" s="1"/>
  <c r="V72" i="7" l="1"/>
  <c r="N72" i="7" s="1"/>
  <c r="T72" i="7" s="1"/>
  <c r="U71" i="7" s="1"/>
  <c r="T85" i="5"/>
  <c r="L85" i="5"/>
  <c r="AH84" i="5"/>
  <c r="AK84" i="5" s="1"/>
  <c r="AC84" i="5"/>
  <c r="AE84" i="5" s="1"/>
  <c r="AF84" i="5" s="1"/>
  <c r="L86" i="5" l="1"/>
  <c r="V73" i="7"/>
  <c r="N73" i="7" s="1"/>
  <c r="T73" i="7" s="1"/>
  <c r="U72" i="7" s="1"/>
  <c r="T86" i="5"/>
  <c r="AH85" i="5"/>
  <c r="AK85" i="5" s="1"/>
  <c r="AC85" i="5"/>
  <c r="AE85" i="5" s="1"/>
  <c r="AF85" i="5" s="1"/>
  <c r="AC86" i="5" l="1"/>
  <c r="AE86" i="5" s="1"/>
  <c r="AF86" i="5" s="1"/>
  <c r="AH86" i="5"/>
  <c r="AK86" i="5" s="1"/>
  <c r="B17" i="5"/>
  <c r="T87" i="5"/>
  <c r="L87" i="5"/>
  <c r="V74" i="7"/>
  <c r="N74" i="7" s="1"/>
  <c r="T74" i="7" s="1"/>
  <c r="U73" i="7" s="1"/>
  <c r="AC87" i="5" l="1"/>
  <c r="AE87" i="5" s="1"/>
  <c r="AF87" i="5" s="1"/>
  <c r="AH87" i="5"/>
  <c r="AK87" i="5" s="1"/>
  <c r="T88" i="5"/>
  <c r="L88" i="5"/>
  <c r="V75" i="7"/>
  <c r="N75" i="7" s="1"/>
  <c r="T75" i="7" s="1"/>
  <c r="U74" i="7" s="1"/>
  <c r="C18" i="5"/>
  <c r="AC88" i="5" l="1"/>
  <c r="AE88" i="5" s="1"/>
  <c r="AF88" i="5" s="1"/>
  <c r="AH88" i="5"/>
  <c r="AK88" i="5" s="1"/>
  <c r="L89" i="5"/>
  <c r="T89" i="5"/>
  <c r="V76" i="7"/>
  <c r="N76" i="7" s="1"/>
  <c r="T76" i="7" s="1"/>
  <c r="U75" i="7" s="1"/>
  <c r="AC89" i="5" l="1"/>
  <c r="AE89" i="5" s="1"/>
  <c r="AF89" i="5" s="1"/>
  <c r="AH89" i="5"/>
  <c r="AK89" i="5" s="1"/>
  <c r="L90" i="5"/>
  <c r="V77" i="7"/>
  <c r="N77" i="7" s="1"/>
  <c r="T77" i="7" s="1"/>
  <c r="U76" i="7" s="1"/>
  <c r="T90" i="5"/>
  <c r="AC90" i="5" l="1"/>
  <c r="AE90" i="5" s="1"/>
  <c r="AF90" i="5" s="1"/>
  <c r="AH90" i="5"/>
  <c r="AK90" i="5" s="1"/>
  <c r="T91" i="5"/>
  <c r="L91" i="5"/>
  <c r="V78" i="7"/>
  <c r="N78" i="7" s="1"/>
  <c r="T78" i="7" s="1"/>
  <c r="U77" i="7" s="1"/>
  <c r="T92" i="5" l="1"/>
  <c r="V79" i="7"/>
  <c r="N79" i="7" s="1"/>
  <c r="T79" i="7" s="1"/>
  <c r="U78" i="7" s="1"/>
  <c r="L92" i="5"/>
  <c r="AC91" i="5"/>
  <c r="AE91" i="5" s="1"/>
  <c r="AF91" i="5" s="1"/>
  <c r="AH91" i="5"/>
  <c r="AK91" i="5" s="1"/>
  <c r="AH92" i="5" l="1"/>
  <c r="AK92" i="5" s="1"/>
  <c r="AC92" i="5"/>
  <c r="AE92" i="5" s="1"/>
  <c r="AF92" i="5" s="1"/>
  <c r="L93" i="5"/>
  <c r="V80" i="7"/>
  <c r="N80" i="7" s="1"/>
  <c r="T80" i="7" s="1"/>
  <c r="U79" i="7" s="1"/>
  <c r="T93" i="5"/>
  <c r="V81" i="7" l="1"/>
  <c r="N81" i="7" s="1"/>
  <c r="T81" i="7" s="1"/>
  <c r="U80" i="7" s="1"/>
  <c r="L94" i="5"/>
  <c r="T94" i="5"/>
  <c r="AC93" i="5"/>
  <c r="AE93" i="5" s="1"/>
  <c r="AF93" i="5" s="1"/>
  <c r="AH93" i="5"/>
  <c r="AK93" i="5" s="1"/>
  <c r="AC94" i="5" l="1"/>
  <c r="AE94" i="5" s="1"/>
  <c r="AF94" i="5" s="1"/>
  <c r="AH94" i="5"/>
  <c r="AK94" i="5" s="1"/>
  <c r="L95" i="5"/>
  <c r="V82" i="7"/>
  <c r="N82" i="7" s="1"/>
  <c r="T82" i="7" s="1"/>
  <c r="U81" i="7" s="1"/>
  <c r="T95" i="5"/>
  <c r="AC95" i="5" l="1"/>
  <c r="AE95" i="5" s="1"/>
  <c r="AF95" i="5" s="1"/>
  <c r="AH95" i="5"/>
  <c r="AK95" i="5" s="1"/>
  <c r="T96" i="5"/>
  <c r="V83" i="7"/>
  <c r="N83" i="7" s="1"/>
  <c r="T83" i="7" s="1"/>
  <c r="U82" i="7" s="1"/>
  <c r="L96" i="5"/>
  <c r="AH96" i="5" l="1"/>
  <c r="AK96" i="5" s="1"/>
  <c r="AC96" i="5"/>
  <c r="AE96" i="5" s="1"/>
  <c r="AF96" i="5" s="1"/>
  <c r="L97" i="5"/>
  <c r="V84" i="7"/>
  <c r="N84" i="7" s="1"/>
  <c r="T84" i="7" s="1"/>
  <c r="U83" i="7" s="1"/>
  <c r="T97" i="5"/>
  <c r="AH97" i="5" l="1"/>
  <c r="AK97" i="5" s="1"/>
  <c r="AC97" i="5"/>
  <c r="AE97" i="5" s="1"/>
  <c r="AF97" i="5" s="1"/>
  <c r="T98" i="5"/>
  <c r="V85" i="7"/>
  <c r="N85" i="7" s="1"/>
  <c r="T85" i="7" s="1"/>
  <c r="U84" i="7" s="1"/>
  <c r="L98" i="5"/>
  <c r="V86" i="7" l="1"/>
  <c r="N86" i="7" s="1"/>
  <c r="T86" i="7" s="1"/>
  <c r="U85" i="7" s="1"/>
  <c r="T99" i="5"/>
  <c r="L99" i="5"/>
  <c r="AC98" i="5"/>
  <c r="AE98" i="5" s="1"/>
  <c r="AF98" i="5" s="1"/>
  <c r="AH98" i="5"/>
  <c r="AK98" i="5" s="1"/>
  <c r="T100" i="5" l="1"/>
  <c r="L100" i="5"/>
  <c r="V87" i="7"/>
  <c r="N87" i="7" s="1"/>
  <c r="T87" i="7" s="1"/>
  <c r="U86" i="7" s="1"/>
  <c r="AC99" i="5"/>
  <c r="AE99" i="5" s="1"/>
  <c r="AF99" i="5" s="1"/>
  <c r="AH99" i="5"/>
  <c r="AK99" i="5" s="1"/>
  <c r="L101" i="5" l="1"/>
  <c r="T101" i="5"/>
  <c r="V88" i="7"/>
  <c r="N88" i="7" s="1"/>
  <c r="T88" i="7" s="1"/>
  <c r="U87" i="7" s="1"/>
  <c r="AH100" i="5"/>
  <c r="AK100" i="5" s="1"/>
  <c r="AC100" i="5"/>
  <c r="AE100" i="5" s="1"/>
  <c r="AF100" i="5" s="1"/>
  <c r="AH101" i="5" l="1"/>
  <c r="AK101" i="5" s="1"/>
  <c r="AC101" i="5"/>
  <c r="AE101" i="5" s="1"/>
  <c r="AF101" i="5" s="1"/>
  <c r="V89" i="7"/>
  <c r="N89" i="7" s="1"/>
  <c r="T89" i="7" s="1"/>
  <c r="U88" i="7" s="1"/>
  <c r="T102" i="5"/>
  <c r="L102" i="5"/>
  <c r="T103" i="5" l="1"/>
  <c r="V90" i="7"/>
  <c r="N90" i="7" s="1"/>
  <c r="T90" i="7" s="1"/>
  <c r="U89" i="7" s="1"/>
  <c r="L103" i="5"/>
  <c r="AC102" i="5"/>
  <c r="AE102" i="5" s="1"/>
  <c r="AF102" i="5" s="1"/>
  <c r="AH102" i="5"/>
  <c r="AK102" i="5" s="1"/>
  <c r="T104" i="5" l="1"/>
  <c r="V91" i="7"/>
  <c r="N91" i="7" s="1"/>
  <c r="T91" i="7" s="1"/>
  <c r="U90" i="7" s="1"/>
  <c r="L104" i="5"/>
  <c r="AC103" i="5"/>
  <c r="AE103" i="5" s="1"/>
  <c r="AF103" i="5" s="1"/>
  <c r="AH103" i="5"/>
  <c r="AK103" i="5" s="1"/>
  <c r="AH104" i="5" l="1"/>
  <c r="AK104" i="5" s="1"/>
  <c r="AC104" i="5"/>
  <c r="AE104" i="5" s="1"/>
  <c r="AF104" i="5" s="1"/>
  <c r="V92" i="7"/>
  <c r="N92" i="7" s="1"/>
  <c r="T92" i="7" s="1"/>
  <c r="U91" i="7" s="1"/>
  <c r="L105" i="5"/>
  <c r="T105" i="5"/>
  <c r="L106" i="5" l="1"/>
  <c r="T106" i="5"/>
  <c r="V93" i="7"/>
  <c r="N93" i="7" s="1"/>
  <c r="T93" i="7" s="1"/>
  <c r="U92" i="7" s="1"/>
  <c r="AH105" i="5"/>
  <c r="AK105" i="5" s="1"/>
  <c r="AC105" i="5"/>
  <c r="AE105" i="5" s="1"/>
  <c r="AF105" i="5" s="1"/>
  <c r="AC106" i="5" l="1"/>
  <c r="AE106" i="5" s="1"/>
  <c r="AF106" i="5" s="1"/>
  <c r="AH106" i="5"/>
  <c r="AK106" i="5" s="1"/>
  <c r="V94" i="7"/>
  <c r="N94" i="7" s="1"/>
  <c r="T94" i="7" s="1"/>
  <c r="U93" i="7" s="1"/>
  <c r="T107" i="5"/>
  <c r="B16" i="5"/>
  <c r="C17" i="5" s="1"/>
  <c r="L107" i="5"/>
  <c r="AH107" i="5" l="1"/>
  <c r="AK107" i="5" s="1"/>
  <c r="AC107" i="5"/>
  <c r="AE107" i="5" s="1"/>
  <c r="AF107" i="5" s="1"/>
  <c r="T108" i="5"/>
  <c r="V95" i="7"/>
  <c r="N95" i="7" s="1"/>
  <c r="T95" i="7" s="1"/>
  <c r="U94" i="7" s="1"/>
  <c r="L108" i="5"/>
  <c r="L109" i="5" l="1"/>
  <c r="T109" i="5"/>
  <c r="V96" i="7"/>
  <c r="N96" i="7" s="1"/>
  <c r="T96" i="7" s="1"/>
  <c r="U95" i="7" s="1"/>
  <c r="AH108" i="5"/>
  <c r="AK108" i="5" s="1"/>
  <c r="AC108" i="5"/>
  <c r="AE108" i="5" s="1"/>
  <c r="AF108" i="5" s="1"/>
  <c r="V97" i="7" l="1"/>
  <c r="N97" i="7" s="1"/>
  <c r="T97" i="7" s="1"/>
  <c r="U96" i="7" s="1"/>
  <c r="L110" i="5"/>
  <c r="T110" i="5"/>
  <c r="AH109" i="5"/>
  <c r="AK109" i="5" s="1"/>
  <c r="AC109" i="5"/>
  <c r="AE109" i="5" s="1"/>
  <c r="AF109" i="5" s="1"/>
  <c r="AC110" i="5" l="1"/>
  <c r="AE110" i="5" s="1"/>
  <c r="AF110" i="5" s="1"/>
  <c r="AH110" i="5"/>
  <c r="AK110" i="5" s="1"/>
  <c r="V98" i="7"/>
  <c r="N98" i="7" s="1"/>
  <c r="T98" i="7" s="1"/>
  <c r="U97" i="7" s="1"/>
  <c r="T111" i="5"/>
  <c r="L111" i="5"/>
  <c r="T112" i="5" l="1"/>
  <c r="L112" i="5"/>
  <c r="V99" i="7"/>
  <c r="N99" i="7" s="1"/>
  <c r="T99" i="7" s="1"/>
  <c r="U98" i="7" s="1"/>
  <c r="AH111" i="5"/>
  <c r="AK111" i="5" s="1"/>
  <c r="AC111" i="5"/>
  <c r="AE111" i="5" s="1"/>
  <c r="AF111" i="5" s="1"/>
  <c r="L113" i="5" l="1"/>
  <c r="V100" i="7"/>
  <c r="N100" i="7" s="1"/>
  <c r="T100" i="7" s="1"/>
  <c r="U99" i="7" s="1"/>
  <c r="T113" i="5"/>
  <c r="AC112" i="5"/>
  <c r="AE112" i="5" s="1"/>
  <c r="AF112" i="5" s="1"/>
  <c r="AH112" i="5"/>
  <c r="AK112" i="5" s="1"/>
  <c r="V101" i="7" l="1"/>
  <c r="N101" i="7" s="1"/>
  <c r="T101" i="7" s="1"/>
  <c r="U100" i="7" s="1"/>
  <c r="T114" i="5"/>
  <c r="L114" i="5"/>
  <c r="AC113" i="5"/>
  <c r="AE113" i="5" s="1"/>
  <c r="AF113" i="5" s="1"/>
  <c r="AH113" i="5"/>
  <c r="AK113" i="5" s="1"/>
  <c r="AC114" i="5" l="1"/>
  <c r="AE114" i="5" s="1"/>
  <c r="AF114" i="5" s="1"/>
  <c r="AH114" i="5"/>
  <c r="AK114" i="5" s="1"/>
  <c r="T115" i="5"/>
  <c r="L115" i="5"/>
  <c r="V102" i="7"/>
  <c r="N102" i="7" s="1"/>
  <c r="T102" i="7" s="1"/>
  <c r="U101" i="7" s="1"/>
  <c r="T116" i="5" l="1"/>
  <c r="V103" i="7"/>
  <c r="N103" i="7" s="1"/>
  <c r="T103" i="7" s="1"/>
  <c r="U102" i="7" s="1"/>
  <c r="L116" i="5"/>
  <c r="AH115" i="5"/>
  <c r="AK115" i="5" s="1"/>
  <c r="AC115" i="5"/>
  <c r="AE115" i="5" s="1"/>
  <c r="AF115" i="5" s="1"/>
  <c r="B15" i="5" l="1"/>
  <c r="T117" i="5"/>
  <c r="L117" i="5"/>
  <c r="V104" i="7"/>
  <c r="N104" i="7" s="1"/>
  <c r="T104" i="7" s="1"/>
  <c r="E14" i="5"/>
  <c r="AH116" i="5"/>
  <c r="AK116" i="5" s="1"/>
  <c r="AC116" i="5"/>
  <c r="AE116" i="5" s="1"/>
  <c r="AF116" i="5" s="1"/>
  <c r="M118" i="5" l="1"/>
  <c r="AI118" i="5" s="1"/>
  <c r="AL118" i="5" s="1"/>
  <c r="Q15" i="5"/>
  <c r="L119" i="5"/>
  <c r="L121" i="5" s="1"/>
  <c r="AC117" i="5"/>
  <c r="AE117" i="5" s="1"/>
  <c r="AH117" i="5"/>
  <c r="U118" i="5"/>
  <c r="U104" i="7"/>
  <c r="U103" i="7"/>
  <c r="C15" i="5"/>
  <c r="C16" i="5"/>
  <c r="AK117" i="5" l="1"/>
  <c r="AK118" i="5"/>
  <c r="AF117" i="5"/>
  <c r="AE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33C2A353-6B4A-404D-86F6-0323EC0A58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0" authorId="0" shapeId="0" xr:uid="{94405336-3050-4D0B-B491-49F203D21FD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每节奏单位内回复血量，等同于对方伤害减少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H14" authorId="0" shapeId="0" xr:uid="{62DB24E5-2496-46DF-8B54-81153AAB989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原始暴伤倍率1.5</t>
        </r>
      </text>
    </comment>
    <comment ref="H15" authorId="0" shapeId="0" xr:uid="{49A8C359-C83F-485B-BD1D-2252C3B7EA5B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原始攻速默认为1，每张卡可能不尽相同</t>
        </r>
      </text>
    </comment>
    <comment ref="D31" authorId="0" shapeId="0" xr:uid="{61BDB054-8789-4D6D-8FAA-38D60FA8D870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会有投放上限，一般会投放到2倍的参数水平，超过后不建议再投放了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Administrator</author>
  </authors>
  <commentList>
    <comment ref="F18" authorId="0" shapeId="0" xr:uid="{CD00E56B-C237-4834-8EC3-D923693CA3C2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攻速只影响普攻，普攻输出占比</t>
        </r>
      </text>
    </comment>
    <comment ref="I18" authorId="0" shapeId="0" xr:uid="{7846312F-4918-4D36-AC0E-92727B1862C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满暴</t>
        </r>
      </text>
    </comment>
    <comment ref="K18" authorId="0" shapeId="0" xr:uid="{F0F7BAA2-EF83-4EA0-A2A5-D164DE20C39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每秒攻击次数</t>
        </r>
      </text>
    </comment>
    <comment ref="F24" authorId="0" shapeId="0" xr:uid="{302F5942-79B0-4B11-B0C5-A46C79F9EFA1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技能为非攻击</t>
        </r>
      </text>
    </comment>
    <comment ref="J27" authorId="1" shapeId="0" xr:uid="{4998A772-4095-45CB-8F5F-670101062790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初始暴击率0.05</t>
        </r>
      </text>
    </comment>
    <comment ref="F33" authorId="0" shapeId="0" xr:uid="{CE5D09E3-40F2-47C5-B066-E76B2DCDEA27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治疗应该是玩技能的，属性什么的不重要，比如降低CD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D8" authorId="0" shapeId="0" xr:uid="{56AA40FA-DA85-4E36-8A62-12390695AD2F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伤害和承伤2选一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J4" authorId="0" shapeId="0" xr:uid="{53DB34AB-2681-4592-A6C0-7FCC0BB0D27C}">
      <text>
        <r>
          <rPr>
            <b/>
            <sz val="9"/>
            <color indexed="81"/>
            <rFont val="宋体"/>
            <family val="3"/>
            <charset val="134"/>
          </rPr>
          <t>Administrator:</t>
        </r>
        <r>
          <rPr>
            <sz val="9"/>
            <color indexed="81"/>
            <rFont val="宋体"/>
            <family val="3"/>
            <charset val="134"/>
          </rPr>
          <t xml:space="preserve">
按照最大防御率计算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G1" authorId="0" shapeId="0" xr:uid="{012823D1-8ADB-4272-88F0-A252760107BA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" authorId="0" shapeId="0" xr:uid="{DC92A511-373F-41E0-A201-27FF7AB4E469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" authorId="0" shapeId="0" xr:uid="{BB656DD2-3D38-4E1B-B194-53B66AF1F165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" authorId="0" shapeId="0" xr:uid="{2802D3C4-6289-42EE-BA12-BFB7E68F618C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  <comment ref="G33" authorId="0" shapeId="0" xr:uid="{64B76674-2210-4836-A5F6-B403EB8F49B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模拟次数</t>
        </r>
      </text>
    </comment>
    <comment ref="F35" authorId="0" shapeId="0" xr:uid="{AE1DEBAF-58CA-4237-946B-EDC9229842ED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平均回合（一回合1秒）或者时间</t>
        </r>
      </text>
    </comment>
    <comment ref="G35" authorId="0" shapeId="0" xr:uid="{8558A9A0-3AB0-4ED7-AA0D-8557B634775E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平手次数</t>
        </r>
      </text>
    </comment>
    <comment ref="H35" authorId="0" shapeId="0" xr:uid="{3F7762D7-8CCD-4B36-A2C2-E0FCDC43D7B8}">
      <text>
        <r>
          <rPr>
            <b/>
            <sz val="9"/>
            <color indexed="81"/>
            <rFont val="宋体"/>
            <family val="3"/>
            <charset val="134"/>
          </rPr>
          <t>admin:</t>
        </r>
        <r>
          <rPr>
            <sz val="9"/>
            <color indexed="81"/>
            <rFont val="宋体"/>
            <family val="3"/>
            <charset val="134"/>
          </rPr>
          <t xml:space="preserve">
超时次数</t>
        </r>
      </text>
    </comment>
  </commentList>
</comments>
</file>

<file path=xl/sharedStrings.xml><?xml version="1.0" encoding="utf-8"?>
<sst xmlns="http://schemas.openxmlformats.org/spreadsheetml/2006/main" count="944" uniqueCount="328">
  <si>
    <t>战</t>
    <phoneticPr fontId="1" type="noConversion"/>
  </si>
  <si>
    <t>法</t>
    <phoneticPr fontId="1" type="noConversion"/>
  </si>
  <si>
    <t>牧</t>
    <phoneticPr fontId="1" type="noConversion"/>
  </si>
  <si>
    <t>坦克</t>
    <phoneticPr fontId="1" type="noConversion"/>
  </si>
  <si>
    <t>输出</t>
    <phoneticPr fontId="1" type="noConversion"/>
  </si>
  <si>
    <t>治疗</t>
    <phoneticPr fontId="1" type="noConversion"/>
  </si>
  <si>
    <t>增益-进攻</t>
    <phoneticPr fontId="1" type="noConversion"/>
  </si>
  <si>
    <t>增益-防御</t>
    <phoneticPr fontId="1" type="noConversion"/>
  </si>
  <si>
    <t>无限养成、有卡点、重PVP，用浮动参数的防御公式</t>
    <phoneticPr fontId="1" type="noConversion"/>
  </si>
  <si>
    <t>有限养成、无卡点、轻PVP，用固定参数的防御公式</t>
    <phoneticPr fontId="1" type="noConversion"/>
  </si>
  <si>
    <t>无限养成、重PVP，高级属性对投增减模式</t>
    <phoneticPr fontId="1" type="noConversion"/>
  </si>
  <si>
    <t>有限养成、轻PVP，高级属性对投独立计算</t>
    <phoneticPr fontId="1" type="noConversion"/>
  </si>
  <si>
    <t>不确定是否无限和重PVP与否，高级属性可以混合用</t>
    <phoneticPr fontId="1" type="noConversion"/>
  </si>
  <si>
    <t>攻速</t>
    <phoneticPr fontId="1" type="noConversion"/>
  </si>
  <si>
    <t>攻击</t>
    <phoneticPr fontId="1" type="noConversion"/>
  </si>
  <si>
    <t>伤害</t>
    <phoneticPr fontId="1" type="noConversion"/>
  </si>
  <si>
    <t>承伤</t>
    <phoneticPr fontId="1" type="noConversion"/>
  </si>
  <si>
    <t>战斗节奏</t>
    <phoneticPr fontId="1" type="noConversion"/>
  </si>
  <si>
    <t>职业</t>
    <phoneticPr fontId="1" type="noConversion"/>
  </si>
  <si>
    <t>基础模型</t>
    <phoneticPr fontId="1" type="noConversion"/>
  </si>
  <si>
    <t>站位</t>
    <phoneticPr fontId="1" type="noConversion"/>
  </si>
  <si>
    <t>标准模型</t>
    <phoneticPr fontId="1" type="noConversion"/>
  </si>
  <si>
    <t>治疗总量</t>
    <phoneticPr fontId="1" type="noConversion"/>
  </si>
  <si>
    <t>坦克治疗</t>
    <phoneticPr fontId="1" type="noConversion"/>
  </si>
  <si>
    <t>剩余人数</t>
    <phoneticPr fontId="1" type="noConversion"/>
  </si>
  <si>
    <t>模型定义</t>
    <phoneticPr fontId="1" type="noConversion"/>
  </si>
  <si>
    <t>模型计算</t>
    <phoneticPr fontId="1" type="noConversion"/>
  </si>
  <si>
    <t>最优模型</t>
    <phoneticPr fontId="1" type="noConversion"/>
  </si>
  <si>
    <t>节奏</t>
    <phoneticPr fontId="1" type="noConversion"/>
  </si>
  <si>
    <t>治疗能力大于输出时，有战斗限时保底，但数值一般不会设定治疗大于输出</t>
    <phoneticPr fontId="1" type="noConversion"/>
  </si>
  <si>
    <t>不同职业定位不同，在3个维度进行分化处理</t>
    <phoneticPr fontId="1" type="noConversion"/>
  </si>
  <si>
    <t>战斗公式</t>
    <phoneticPr fontId="1" type="noConversion"/>
  </si>
  <si>
    <t>属性</t>
    <phoneticPr fontId="1" type="noConversion"/>
  </si>
  <si>
    <t>基础属性</t>
    <phoneticPr fontId="1" type="noConversion"/>
  </si>
  <si>
    <t>攻击力</t>
    <phoneticPr fontId="1" type="noConversion"/>
  </si>
  <si>
    <t>防御力</t>
    <phoneticPr fontId="1" type="noConversion"/>
  </si>
  <si>
    <t>生命上限</t>
    <phoneticPr fontId="1" type="noConversion"/>
  </si>
  <si>
    <t>暴击率</t>
    <phoneticPr fontId="1" type="noConversion"/>
  </si>
  <si>
    <t>基础属性修正</t>
    <phoneticPr fontId="1" type="noConversion"/>
  </si>
  <si>
    <t>攻击力%</t>
    <phoneticPr fontId="1" type="noConversion"/>
  </si>
  <si>
    <t>防御力%</t>
    <phoneticPr fontId="1" type="noConversion"/>
  </si>
  <si>
    <t>生命上限%</t>
    <phoneticPr fontId="1" type="noConversion"/>
  </si>
  <si>
    <t>高级属性</t>
    <phoneticPr fontId="1" type="noConversion"/>
  </si>
  <si>
    <t>来源</t>
    <phoneticPr fontId="1" type="noConversion"/>
  </si>
  <si>
    <t>面板</t>
    <phoneticPr fontId="1" type="noConversion"/>
  </si>
  <si>
    <t>面板、技能</t>
    <phoneticPr fontId="1" type="noConversion"/>
  </si>
  <si>
    <t>防御/(参数+防御）</t>
    <phoneticPr fontId="1" type="noConversion"/>
  </si>
  <si>
    <t>累积公式</t>
    <phoneticPr fontId="1" type="noConversion"/>
  </si>
  <si>
    <t>加、减</t>
    <phoneticPr fontId="1" type="noConversion"/>
  </si>
  <si>
    <t>举例</t>
    <phoneticPr fontId="1" type="noConversion"/>
  </si>
  <si>
    <t>卡牌+10攻击力，武器+10攻击力，Debuff-15攻击力；攻击力=10+10-15=5</t>
    <phoneticPr fontId="1" type="noConversion"/>
  </si>
  <si>
    <t>卡牌+10防御力，防具+10防御力，Debuff-5防御力；防御力=10+10-5=15</t>
    <phoneticPr fontId="1" type="noConversion"/>
  </si>
  <si>
    <t>卡牌+100生命上限，防具+100生命上限，Debuff-10生命上限；生命上限=100+100-10=190</t>
    <phoneticPr fontId="1" type="noConversion"/>
  </si>
  <si>
    <t>卡牌+5%暴击率，天赋+10%暴击率，Debuff-5%暴击率；暴击率=5%+10%-5%=10%</t>
    <phoneticPr fontId="1" type="noConversion"/>
  </si>
  <si>
    <t>范围</t>
    <phoneticPr fontId="1" type="noConversion"/>
  </si>
  <si>
    <t>[0,75%]</t>
    <phoneticPr fontId="1" type="noConversion"/>
  </si>
  <si>
    <t>[1,300%]</t>
    <phoneticPr fontId="1" type="noConversion"/>
  </si>
  <si>
    <t>暴伤倍率</t>
    <phoneticPr fontId="1" type="noConversion"/>
  </si>
  <si>
    <t>卡牌+5%暴伤倍率，天赋+10%暴伤倍率，Debuff-5%暴伤倍率；暴伤倍率=150%+5%+10%-5%=160%</t>
    <phoneticPr fontId="1" type="noConversion"/>
  </si>
  <si>
    <t>（0,3]</t>
    <phoneticPr fontId="1" type="noConversion"/>
  </si>
  <si>
    <t>卡牌+0.1攻速，天赋+0.3攻速，Debuff-0.2攻速；攻速=1+0.1+0.3-0.2=1.2</t>
    <phoneticPr fontId="1" type="noConversion"/>
  </si>
  <si>
    <t>基础属性和基础属性修正的关系</t>
    <phoneticPr fontId="1" type="noConversion"/>
  </si>
  <si>
    <t>最终基础属性=基础属性*（1+基础属性修正）</t>
    <phoneticPr fontId="1" type="noConversion"/>
  </si>
  <si>
    <t>卡牌+10%基础属性修正，装备+10%基础属性修正，Debuff-30%基础属性修正；基础属性修正=10%+10%-30%=-10%</t>
    <phoneticPr fontId="1" type="noConversion"/>
  </si>
  <si>
    <t>[1,∞)</t>
    <phoneticPr fontId="1" type="noConversion"/>
  </si>
  <si>
    <t>(-0.75,∞)</t>
    <phoneticPr fontId="1" type="noConversion"/>
  </si>
  <si>
    <t>[-75%,500%]</t>
    <phoneticPr fontId="1" type="noConversion"/>
  </si>
  <si>
    <t>卡牌+10%高级属性，装备+10%高级属性，Debuff-100%高级属性；高级属性=10%+10%-100%=-80%；max(-80%,-75%)=-75%</t>
    <phoneticPr fontId="1" type="noConversion"/>
  </si>
  <si>
    <t>攻击力*（1+攻击力%）</t>
    <phoneticPr fontId="1" type="noConversion"/>
  </si>
  <si>
    <t>模块</t>
    <phoneticPr fontId="1" type="noConversion"/>
  </si>
  <si>
    <t>根据暴击率判定是否暴击，非暴击时系数为1，暴击时系数为暴伤倍率</t>
    <phoneticPr fontId="1" type="noConversion"/>
  </si>
  <si>
    <t>防御</t>
    <phoneticPr fontId="1" type="noConversion"/>
  </si>
  <si>
    <t>暴击系数</t>
    <phoneticPr fontId="1" type="noConversion"/>
  </si>
  <si>
    <t>冷却%</t>
    <phoneticPr fontId="1" type="noConversion"/>
  </si>
  <si>
    <t>1+伤害%</t>
    <phoneticPr fontId="1" type="noConversion"/>
  </si>
  <si>
    <t>最终伤害</t>
    <phoneticPr fontId="1" type="noConversion"/>
  </si>
  <si>
    <t>攻击*暴击系数*防御*伤害</t>
    <phoneticPr fontId="1" type="noConversion"/>
  </si>
  <si>
    <t>计算</t>
    <phoneticPr fontId="1" type="noConversion"/>
  </si>
  <si>
    <t>生命上限*（1+生命上限%）</t>
    <phoneticPr fontId="1" type="noConversion"/>
  </si>
  <si>
    <t>攻击类属性是A单位，防御类属性取B单位</t>
    <phoneticPr fontId="1" type="noConversion"/>
  </si>
  <si>
    <t>最终治疗</t>
    <phoneticPr fontId="1" type="noConversion"/>
  </si>
  <si>
    <t>最终生命</t>
    <phoneticPr fontId="1" type="noConversion"/>
  </si>
  <si>
    <t>治疗量*（1+治疗%）*（1+受到治疗%）</t>
    <phoneticPr fontId="1" type="noConversion"/>
  </si>
  <si>
    <t>整体战法牧组合</t>
    <phoneticPr fontId="1" type="noConversion"/>
  </si>
  <si>
    <t>每列战法牧组合；牧的治疗平分到每列</t>
    <phoneticPr fontId="1" type="noConversion"/>
  </si>
  <si>
    <t>列位</t>
    <phoneticPr fontId="1" type="noConversion"/>
  </si>
  <si>
    <t>第0列</t>
    <phoneticPr fontId="1" type="noConversion"/>
  </si>
  <si>
    <t>规定模式下，期望更多的组合PK是平衡的，增强策略</t>
    <phoneticPr fontId="1" type="noConversion"/>
  </si>
  <si>
    <t>战斗力</t>
    <phoneticPr fontId="1" type="noConversion"/>
  </si>
  <si>
    <t>暴击倍率</t>
    <phoneticPr fontId="1" type="noConversion"/>
  </si>
  <si>
    <t>每份价值</t>
    <phoneticPr fontId="1" type="noConversion"/>
  </si>
  <si>
    <t>角色设定</t>
    <phoneticPr fontId="1" type="noConversion"/>
  </si>
  <si>
    <t>扩展类型</t>
    <phoneticPr fontId="1" type="noConversion"/>
  </si>
  <si>
    <t>大类型</t>
    <phoneticPr fontId="1" type="noConversion"/>
  </si>
  <si>
    <t>突击</t>
    <phoneticPr fontId="1" type="noConversion"/>
  </si>
  <si>
    <t>伤害偏向</t>
    <phoneticPr fontId="1" type="noConversion"/>
  </si>
  <si>
    <t>承伤偏向</t>
    <phoneticPr fontId="1" type="noConversion"/>
  </si>
  <si>
    <t>实际伤害</t>
    <phoneticPr fontId="1" type="noConversion"/>
  </si>
  <si>
    <t>实际承伤</t>
    <phoneticPr fontId="1" type="noConversion"/>
  </si>
  <si>
    <t>魔法</t>
    <phoneticPr fontId="1" type="noConversion"/>
  </si>
  <si>
    <t>射击</t>
    <phoneticPr fontId="1" type="noConversion"/>
  </si>
  <si>
    <t>刺杀</t>
    <phoneticPr fontId="1" type="noConversion"/>
  </si>
  <si>
    <t>恢复</t>
    <phoneticPr fontId="1" type="noConversion"/>
  </si>
  <si>
    <t>防御见长，输出较低</t>
    <phoneticPr fontId="1" type="noConversion"/>
  </si>
  <si>
    <t>有一定输出和防御能力</t>
    <phoneticPr fontId="1" type="noConversion"/>
  </si>
  <si>
    <t>群体输出能力强</t>
    <phoneticPr fontId="1" type="noConversion"/>
  </si>
  <si>
    <t>单体输出能力强</t>
    <phoneticPr fontId="1" type="noConversion"/>
  </si>
  <si>
    <t>对后排输出能力强</t>
    <phoneticPr fontId="1" type="noConversion"/>
  </si>
  <si>
    <t>更侧重单体治疗能力</t>
    <phoneticPr fontId="1" type="noConversion"/>
  </si>
  <si>
    <t>攻击战斗力</t>
    <phoneticPr fontId="1" type="noConversion"/>
  </si>
  <si>
    <t>防御战斗力</t>
    <phoneticPr fontId="1" type="noConversion"/>
  </si>
  <si>
    <t>提供标准的伤害、承伤、防御力、暴击率、暴击倍率、攻速的成长曲线</t>
    <phoneticPr fontId="1" type="noConversion"/>
  </si>
  <si>
    <t>卡牌提供上述属性的偏向参数，由此计算出实际攻击力和生命上限</t>
    <phoneticPr fontId="1" type="noConversion"/>
  </si>
  <si>
    <t>输出的技能成长带来的伤害和坦克、治疗的承伤技能应该是相互平衡的</t>
    <phoneticPr fontId="1" type="noConversion"/>
  </si>
  <si>
    <t>角色偏向</t>
    <phoneticPr fontId="1" type="noConversion"/>
  </si>
  <si>
    <t>数值分配</t>
    <phoneticPr fontId="1" type="noConversion"/>
  </si>
  <si>
    <t>角色成长</t>
    <phoneticPr fontId="1" type="noConversion"/>
  </si>
  <si>
    <t>角色分类</t>
    <phoneticPr fontId="1" type="noConversion"/>
  </si>
  <si>
    <t>成长系统</t>
    <phoneticPr fontId="1" type="noConversion"/>
  </si>
  <si>
    <t>权重</t>
    <phoneticPr fontId="1" type="noConversion"/>
  </si>
  <si>
    <t>升级</t>
    <phoneticPr fontId="1" type="noConversion"/>
  </si>
  <si>
    <t>公共%</t>
    <phoneticPr fontId="1" type="noConversion"/>
  </si>
  <si>
    <t>装备%</t>
    <phoneticPr fontId="1" type="noConversion"/>
  </si>
  <si>
    <t>比例</t>
    <phoneticPr fontId="1" type="noConversion"/>
  </si>
  <si>
    <t>模板计算出每张卡的最终形态，扣除公共部分和单条属性，其余的占比是卡牌自身成长，结果会导致成长过程中攻防属性比例不同步</t>
    <phoneticPr fontId="1" type="noConversion"/>
  </si>
  <si>
    <t>增益效果%</t>
    <phoneticPr fontId="1" type="noConversion"/>
  </si>
  <si>
    <t>[-75%,501%]</t>
  </si>
  <si>
    <t>坦克</t>
  </si>
  <si>
    <t>输出</t>
  </si>
  <si>
    <t>治疗</t>
  </si>
  <si>
    <t>价值比</t>
    <phoneticPr fontId="1" type="noConversion"/>
  </si>
  <si>
    <t>属性放大</t>
    <phoneticPr fontId="1" type="noConversion"/>
  </si>
  <si>
    <t>攻击向战斗力=攻击力*（1+暴击率*(暴击倍率-1)）*（攻速价值+技能倍率价值）*攻击力价值</t>
    <phoneticPr fontId="1" type="noConversion"/>
  </si>
  <si>
    <t>减益效果%</t>
    <phoneticPr fontId="1" type="noConversion"/>
  </si>
  <si>
    <t>追求属性</t>
    <phoneticPr fontId="1" type="noConversion"/>
  </si>
  <si>
    <t>防御力、生命上限、减益效果%</t>
    <phoneticPr fontId="1" type="noConversion"/>
  </si>
  <si>
    <t>攻击力、暴击率、暴击倍率、攻速</t>
    <phoneticPr fontId="1" type="noConversion"/>
  </si>
  <si>
    <t>冷却%、增益效果%</t>
    <phoneticPr fontId="1" type="noConversion"/>
  </si>
  <si>
    <t>第1列</t>
    <phoneticPr fontId="1" type="noConversion"/>
  </si>
  <si>
    <t>第2列</t>
    <phoneticPr fontId="1" type="noConversion"/>
  </si>
  <si>
    <t>优先攻击对位（列）敌人</t>
    <phoneticPr fontId="1" type="noConversion"/>
  </si>
  <si>
    <t>队伍攻防随卡牌阵亡变化</t>
    <phoneticPr fontId="1" type="noConversion"/>
  </si>
  <si>
    <t>最少配置</t>
    <phoneticPr fontId="1" type="noConversion"/>
  </si>
  <si>
    <t>最多配置</t>
    <phoneticPr fontId="1" type="noConversion"/>
  </si>
  <si>
    <t>偏向参数</t>
    <phoneticPr fontId="1" type="noConversion"/>
  </si>
  <si>
    <t>防御力</t>
  </si>
  <si>
    <t>暴击率</t>
  </si>
  <si>
    <t>暴击倍率</t>
  </si>
  <si>
    <t>攻速</t>
  </si>
  <si>
    <t>标准值</t>
    <phoneticPr fontId="1" type="noConversion"/>
  </si>
  <si>
    <t>防御向战斗力=生命上限*（1+防御力价值）*生命上限价值+回复生命上限*30*生命上限价值</t>
    <phoneticPr fontId="1" type="noConversion"/>
  </si>
  <si>
    <t>偏向</t>
  </si>
  <si>
    <t>偏向</t>
    <phoneticPr fontId="1" type="noConversion"/>
  </si>
  <si>
    <t>伤害</t>
  </si>
  <si>
    <t>承伤</t>
  </si>
  <si>
    <t>无</t>
    <phoneticPr fontId="1" type="noConversion"/>
  </si>
  <si>
    <t>角色详细</t>
    <phoneticPr fontId="1" type="noConversion"/>
  </si>
  <si>
    <t>角色名</t>
    <phoneticPr fontId="1" type="noConversion"/>
  </si>
  <si>
    <t>防御</t>
  </si>
  <si>
    <t>突击</t>
  </si>
  <si>
    <t>魔法</t>
  </si>
  <si>
    <t>射击</t>
  </si>
  <si>
    <t>刺杀</t>
  </si>
  <si>
    <t>恢复</t>
  </si>
  <si>
    <t>输入值范围</t>
    <phoneticPr fontId="1" type="noConversion"/>
  </si>
  <si>
    <t>伤害偏向极值</t>
    <phoneticPr fontId="1" type="noConversion"/>
  </si>
  <si>
    <t>防御力偏向极值</t>
    <phoneticPr fontId="1" type="noConversion"/>
  </si>
  <si>
    <t>R</t>
    <phoneticPr fontId="1" type="noConversion"/>
  </si>
  <si>
    <t>优势属性比</t>
    <phoneticPr fontId="1" type="noConversion"/>
  </si>
  <si>
    <t>劣势属性比</t>
    <phoneticPr fontId="1" type="noConversion"/>
  </si>
  <si>
    <t>成长模板</t>
    <phoneticPr fontId="1" type="noConversion"/>
  </si>
  <si>
    <t>角色属性</t>
    <phoneticPr fontId="1" type="noConversion"/>
  </si>
  <si>
    <t>等级</t>
    <phoneticPr fontId="1" type="noConversion"/>
  </si>
  <si>
    <t>攻击力</t>
  </si>
  <si>
    <t>生命上限</t>
  </si>
  <si>
    <t>普攻占比</t>
  </si>
  <si>
    <t>普攻占比</t>
    <phoneticPr fontId="1" type="noConversion"/>
  </si>
  <si>
    <t>战力</t>
    <phoneticPr fontId="1" type="noConversion"/>
  </si>
  <si>
    <t>战力差</t>
    <phoneticPr fontId="1" type="noConversion"/>
  </si>
  <si>
    <t>升级攻击</t>
    <phoneticPr fontId="1" type="noConversion"/>
  </si>
  <si>
    <t>升级生命</t>
    <phoneticPr fontId="1" type="noConversion"/>
  </si>
  <si>
    <t>升级防御</t>
    <phoneticPr fontId="1" type="noConversion"/>
  </si>
  <si>
    <t>角色升级</t>
    <phoneticPr fontId="1" type="noConversion"/>
  </si>
  <si>
    <t>升星%</t>
    <phoneticPr fontId="1" type="noConversion"/>
  </si>
  <si>
    <t>星级</t>
    <phoneticPr fontId="1" type="noConversion"/>
  </si>
  <si>
    <t>角色品星</t>
    <phoneticPr fontId="1" type="noConversion"/>
  </si>
  <si>
    <t>数值</t>
    <phoneticPr fontId="1" type="noConversion"/>
  </si>
  <si>
    <t>品质</t>
    <phoneticPr fontId="1" type="noConversion"/>
  </si>
  <si>
    <t>SR</t>
    <phoneticPr fontId="1" type="noConversion"/>
  </si>
  <si>
    <t>SSR</t>
    <phoneticPr fontId="1" type="noConversion"/>
  </si>
  <si>
    <t>UR</t>
    <phoneticPr fontId="1" type="noConversion"/>
  </si>
  <si>
    <t>升级*（1+升星%）*（1+公共%+装备%）；升级中自带品质效果,也就是：升级=基础值*品质系数</t>
    <phoneticPr fontId="1" type="noConversion"/>
  </si>
  <si>
    <t>属性参数</t>
    <phoneticPr fontId="1" type="noConversion"/>
  </si>
  <si>
    <t>升级属性</t>
    <phoneticPr fontId="1" type="noConversion"/>
  </si>
  <si>
    <t>等级</t>
  </si>
  <si>
    <t>SSR</t>
  </si>
  <si>
    <t>SSR-10星</t>
    <phoneticPr fontId="1" type="noConversion"/>
  </si>
  <si>
    <t>△</t>
    <phoneticPr fontId="1" type="noConversion"/>
  </si>
  <si>
    <t>填写在角色表，用于基础数值计算</t>
    <phoneticPr fontId="1" type="noConversion"/>
  </si>
  <si>
    <t>填写在角色等级成长表，用于基础数值计算</t>
    <phoneticPr fontId="1" type="noConversion"/>
  </si>
  <si>
    <t>预览各角色升级数值</t>
    <phoneticPr fontId="1" type="noConversion"/>
  </si>
  <si>
    <t>技能模板</t>
    <phoneticPr fontId="1" type="noConversion"/>
  </si>
  <si>
    <t>大类型</t>
  </si>
  <si>
    <t>实际伤害</t>
  </si>
  <si>
    <t>实际承伤</t>
  </si>
  <si>
    <t>扩展类型</t>
  </si>
  <si>
    <t>大招CD</t>
    <phoneticPr fontId="1" type="noConversion"/>
  </si>
  <si>
    <t>伤害倍率</t>
    <phoneticPr fontId="1" type="noConversion"/>
  </si>
  <si>
    <t>治疗倍率/D</t>
  </si>
  <si>
    <t>治疗倍率/D</t>
    <phoneticPr fontId="1" type="noConversion"/>
  </si>
  <si>
    <t>治疗倍率/H</t>
  </si>
  <si>
    <t>治疗倍率/H</t>
    <phoneticPr fontId="1" type="noConversion"/>
  </si>
  <si>
    <t>防御率</t>
    <phoneticPr fontId="1" type="noConversion"/>
  </si>
  <si>
    <t>生命值</t>
    <phoneticPr fontId="1" type="noConversion"/>
  </si>
  <si>
    <t>技能升级倍率</t>
    <phoneticPr fontId="1" type="noConversion"/>
  </si>
  <si>
    <t>升级后普攻占比</t>
    <phoneticPr fontId="1" type="noConversion"/>
  </si>
  <si>
    <t>升级后输出提升</t>
    <phoneticPr fontId="1" type="noConversion"/>
  </si>
  <si>
    <t>治疗提升</t>
    <phoneticPr fontId="1" type="noConversion"/>
  </si>
  <si>
    <t>治疗倍率/A</t>
    <phoneticPr fontId="1" type="noConversion"/>
  </si>
  <si>
    <t>角色技能</t>
    <phoneticPr fontId="1" type="noConversion"/>
  </si>
  <si>
    <t>公共技能</t>
    <phoneticPr fontId="1" type="noConversion"/>
  </si>
  <si>
    <t>最少配置</t>
  </si>
  <si>
    <t>最多配置</t>
  </si>
  <si>
    <t>标准模型</t>
  </si>
  <si>
    <t>站位</t>
  </si>
  <si>
    <t>职业</t>
  </si>
  <si>
    <t>1~1</t>
    <phoneticPr fontId="1" type="noConversion"/>
  </si>
  <si>
    <t>1~2</t>
    <phoneticPr fontId="1" type="noConversion"/>
  </si>
  <si>
    <t>2~1</t>
    <phoneticPr fontId="1" type="noConversion"/>
  </si>
  <si>
    <t>2~2</t>
    <phoneticPr fontId="1" type="noConversion"/>
  </si>
  <si>
    <t>基础模型（废）</t>
    <phoneticPr fontId="1" type="noConversion"/>
  </si>
  <si>
    <t>更多伤害的意思</t>
    <phoneticPr fontId="1" type="noConversion"/>
  </si>
  <si>
    <t>1-100000/（100000+防御力*（1+防御力%））</t>
    <phoneticPr fontId="1" type="noConversion"/>
  </si>
  <si>
    <t>战斗模拟</t>
    <phoneticPr fontId="1" type="noConversion"/>
  </si>
  <si>
    <t>PVP</t>
    <phoneticPr fontId="1" type="noConversion"/>
  </si>
  <si>
    <t>攻方位置</t>
    <phoneticPr fontId="1" type="noConversion"/>
  </si>
  <si>
    <t>守方位置</t>
    <phoneticPr fontId="1" type="noConversion"/>
  </si>
  <si>
    <t>技能简述</t>
    <phoneticPr fontId="1" type="noConversion"/>
  </si>
  <si>
    <t>升级伤害倍率</t>
    <phoneticPr fontId="1" type="noConversion"/>
  </si>
  <si>
    <t>升级治疗倍率/D</t>
    <phoneticPr fontId="1" type="noConversion"/>
  </si>
  <si>
    <t>升级治疗倍率/H</t>
    <phoneticPr fontId="1" type="noConversion"/>
  </si>
  <si>
    <t>升级治疗倍率/A</t>
    <phoneticPr fontId="1" type="noConversion"/>
  </si>
  <si>
    <t>治疗倍率/A</t>
  </si>
  <si>
    <t>攻击造成伤害，并恢复全体生命</t>
    <phoneticPr fontId="1" type="noConversion"/>
  </si>
  <si>
    <t>角色等级</t>
    <phoneticPr fontId="1" type="noConversion"/>
  </si>
  <si>
    <t>技能等级</t>
    <phoneticPr fontId="1" type="noConversion"/>
  </si>
  <si>
    <t>伤害倍率提升</t>
    <phoneticPr fontId="1" type="noConversion"/>
  </si>
  <si>
    <t>治疗倍率/D提升</t>
    <phoneticPr fontId="1" type="noConversion"/>
  </si>
  <si>
    <t>治疗倍率/H提升</t>
    <phoneticPr fontId="1" type="noConversion"/>
  </si>
  <si>
    <t>治疗倍率/A提升</t>
    <phoneticPr fontId="1" type="noConversion"/>
  </si>
  <si>
    <t>自己攻击治疗</t>
    <phoneticPr fontId="1" type="noConversion"/>
  </si>
  <si>
    <t>自己血量治疗</t>
    <phoneticPr fontId="1" type="noConversion"/>
  </si>
  <si>
    <t>全队血量治疗</t>
    <phoneticPr fontId="1" type="noConversion"/>
  </si>
  <si>
    <t xml:space="preserve"> </t>
    <phoneticPr fontId="1" type="noConversion"/>
  </si>
  <si>
    <t>A</t>
    <phoneticPr fontId="1" type="noConversion"/>
  </si>
  <si>
    <t>B</t>
    <phoneticPr fontId="1" type="noConversion"/>
  </si>
  <si>
    <t>阵型行数</t>
    <phoneticPr fontId="1" type="noConversion"/>
  </si>
  <si>
    <t>阵型列数</t>
    <phoneticPr fontId="1" type="noConversion"/>
  </si>
  <si>
    <t>饼干1</t>
    <phoneticPr fontId="1" type="noConversion"/>
  </si>
  <si>
    <t>饼干2</t>
  </si>
  <si>
    <t>饼干3</t>
  </si>
  <si>
    <t>饼干4</t>
  </si>
  <si>
    <t>饼干5</t>
  </si>
  <si>
    <t>饼干6</t>
  </si>
  <si>
    <t>饼干7</t>
  </si>
  <si>
    <t>饼干8</t>
  </si>
  <si>
    <t>饼干9</t>
  </si>
  <si>
    <t>饼干10</t>
  </si>
  <si>
    <t>饼干11</t>
  </si>
  <si>
    <t>饼干12</t>
  </si>
  <si>
    <t>饼干2</t>
    <phoneticPr fontId="1" type="noConversion"/>
  </si>
  <si>
    <t>饼干5</t>
    <phoneticPr fontId="1" type="noConversion"/>
  </si>
  <si>
    <t>饼干7</t>
    <phoneticPr fontId="1" type="noConversion"/>
  </si>
  <si>
    <t>饼干11</t>
    <phoneticPr fontId="1" type="noConversion"/>
  </si>
  <si>
    <t>大招CD初始</t>
    <phoneticPr fontId="1" type="noConversion"/>
  </si>
  <si>
    <t>PVE</t>
    <phoneticPr fontId="1" type="noConversion"/>
  </si>
  <si>
    <t>A胜</t>
    <phoneticPr fontId="1" type="noConversion"/>
  </si>
  <si>
    <t>B胜</t>
    <phoneticPr fontId="1" type="noConversion"/>
  </si>
  <si>
    <t>怪物1</t>
    <phoneticPr fontId="1" type="noConversion"/>
  </si>
  <si>
    <t>怪物2</t>
    <phoneticPr fontId="1" type="noConversion"/>
  </si>
  <si>
    <t>怪物3</t>
  </si>
  <si>
    <t>怪物4</t>
  </si>
  <si>
    <t>怪物5</t>
  </si>
  <si>
    <t>怪物6</t>
  </si>
  <si>
    <t>怪物7</t>
  </si>
  <si>
    <t>怪物8</t>
  </si>
  <si>
    <t>怪物9</t>
  </si>
  <si>
    <t>怪物为临时数据</t>
    <phoneticPr fontId="1" type="noConversion"/>
  </si>
  <si>
    <t>公共技能不做PVP数值平衡，只做自己内部的相克平衡（PVE的对策调整），对整体战局的影响控制在一定比例内</t>
    <phoneticPr fontId="1" type="noConversion"/>
  </si>
  <si>
    <t>饼干1</t>
  </si>
  <si>
    <t>回合数</t>
    <phoneticPr fontId="1" type="noConversion"/>
  </si>
  <si>
    <t>对方人数</t>
    <phoneticPr fontId="1" type="noConversion"/>
  </si>
  <si>
    <t>对方单体血量</t>
    <phoneticPr fontId="1" type="noConversion"/>
  </si>
  <si>
    <t>对方单人回合</t>
    <phoneticPr fontId="1" type="noConversion"/>
  </si>
  <si>
    <t>对方总回合</t>
    <phoneticPr fontId="1" type="noConversion"/>
  </si>
  <si>
    <t>对方单人攻击</t>
    <phoneticPr fontId="1" type="noConversion"/>
  </si>
  <si>
    <t>血量/攻击</t>
    <phoneticPr fontId="1" type="noConversion"/>
  </si>
  <si>
    <t>血量/对方人数</t>
    <phoneticPr fontId="1" type="noConversion"/>
  </si>
  <si>
    <t>血量/对方人数/攻击</t>
    <phoneticPr fontId="1" type="noConversion"/>
  </si>
  <si>
    <t>对方人数*（1+对方人数）/2</t>
    <phoneticPr fontId="1" type="noConversion"/>
  </si>
  <si>
    <t>怪物血量</t>
    <phoneticPr fontId="1" type="noConversion"/>
  </si>
  <si>
    <t>怪物攻击</t>
    <phoneticPr fontId="1" type="noConversion"/>
  </si>
  <si>
    <t>血量/怪物数量</t>
    <phoneticPr fontId="1" type="noConversion"/>
  </si>
  <si>
    <t>血量/(血量/对方人数/攻击*对方人数*（1+对方人数）/2)</t>
    <phoneticPr fontId="1" type="noConversion"/>
  </si>
  <si>
    <t>2*攻击/(1+怪物数量)）</t>
    <phoneticPr fontId="1" type="noConversion"/>
  </si>
  <si>
    <t>怪物设定</t>
    <phoneticPr fontId="1" type="noConversion"/>
  </si>
  <si>
    <t>怪物战斗的基础模型是对标角色的标准模型而定，最基础的模型把怪物看成一个整体（BOSS）进行基础计算</t>
    <phoneticPr fontId="1" type="noConversion"/>
  </si>
  <si>
    <t>在整体基础上，在根据怪物实际数量进行攻防的分割：伤害=2*整体伤害/(1+怪物数量)）；承伤=整体承伤/怪物数量</t>
    <phoneticPr fontId="1" type="noConversion"/>
  </si>
  <si>
    <t>1~1</t>
  </si>
  <si>
    <t>1~2</t>
  </si>
  <si>
    <t>2~1</t>
  </si>
  <si>
    <t>2~2</t>
  </si>
  <si>
    <t>角色模型</t>
    <phoneticPr fontId="1" type="noConversion"/>
  </si>
  <si>
    <t>剩余数量</t>
    <phoneticPr fontId="1" type="noConversion"/>
  </si>
  <si>
    <t>角色数据</t>
    <phoneticPr fontId="1" type="noConversion"/>
  </si>
  <si>
    <t>怪物数据</t>
    <phoneticPr fontId="1" type="noConversion"/>
  </si>
  <si>
    <t>总计</t>
    <phoneticPr fontId="1" type="noConversion"/>
  </si>
  <si>
    <t>怪物属性</t>
    <phoneticPr fontId="1" type="noConversion"/>
  </si>
  <si>
    <t>属性放大</t>
  </si>
  <si>
    <t>大招CD</t>
  </si>
  <si>
    <t>大招威力</t>
    <phoneticPr fontId="1" type="noConversion"/>
  </si>
  <si>
    <t>大招CD计算公式有问题</t>
    <phoneticPr fontId="1" type="noConversion"/>
  </si>
  <si>
    <t>1分9</t>
    <phoneticPr fontId="1" type="noConversion"/>
  </si>
  <si>
    <t>全阵容</t>
    <phoneticPr fontId="1" type="noConversion"/>
  </si>
  <si>
    <t>缺治疗</t>
    <phoneticPr fontId="1" type="noConversion"/>
  </si>
  <si>
    <t>缺坦克</t>
    <phoneticPr fontId="1" type="noConversion"/>
  </si>
  <si>
    <t>缺输出</t>
    <phoneticPr fontId="1" type="noConversion"/>
  </si>
  <si>
    <t>具体细算是需要结合公共技能增益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</si>
</sst>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0.0%"/>
    <numFmt numFmtId="177" formatCode="0.0"/>
    <numFmt numFmtId="178" formatCode="0.00_ "/>
    <numFmt numFmtId="179" formatCode="0.000"/>
    <numFmt numFmtId="180" formatCode="0_ "/>
    <numFmt numFmtId="181" formatCode="0.0000"/>
    <numFmt numFmtId="182" formatCode="_ * #,##0_ ;_ * \-#,##0_ ;_ * &quot;-&quot;??_ ;_ @_ 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color theme="1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11"/>
      <color theme="1"/>
      <name val="等线"/>
      <family val="2"/>
      <charset val="134"/>
      <scheme val="minor"/>
    </font>
    <font>
      <b/>
      <sz val="9"/>
      <color theme="1"/>
      <name val="微软雅黑"/>
      <family val="2"/>
      <charset val="134"/>
    </font>
    <font>
      <sz val="18"/>
      <color theme="0"/>
      <name val="华文行楷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9"/>
      <color theme="0" tint="-0.34998626667073579"/>
      <name val="微软雅黑"/>
      <family val="2"/>
      <charset val="134"/>
    </font>
    <font>
      <sz val="9"/>
      <color rgb="FF00B0F0"/>
      <name val="微软雅黑"/>
      <family val="2"/>
      <charset val="134"/>
    </font>
    <font>
      <i/>
      <sz val="9"/>
      <color theme="0" tint="-0.14999847407452621"/>
      <name val="微软雅黑"/>
      <family val="2"/>
      <charset val="134"/>
    </font>
    <font>
      <i/>
      <sz val="9"/>
      <color theme="0" tint="-0.249977111117893"/>
      <name val="微软雅黑"/>
      <family val="2"/>
      <charset val="134"/>
    </font>
    <font>
      <i/>
      <sz val="9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shrinkToFit="1"/>
    </xf>
    <xf numFmtId="176" fontId="2" fillId="0" borderId="1" xfId="1" applyNumberFormat="1" applyFont="1" applyBorder="1" applyAlignment="1">
      <alignment horizontal="center" vertical="center" shrinkToFit="1"/>
    </xf>
    <xf numFmtId="10" fontId="2" fillId="0" borderId="1" xfId="1" applyNumberFormat="1" applyFont="1" applyBorder="1" applyAlignment="1">
      <alignment horizontal="center" vertical="center" shrinkToFit="1"/>
    </xf>
    <xf numFmtId="2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left" vertical="center"/>
    </xf>
    <xf numFmtId="177" fontId="2" fillId="0" borderId="1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78" fontId="2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2" fontId="2" fillId="0" borderId="11" xfId="0" applyNumberFormat="1" applyFont="1" applyBorder="1" applyAlignment="1">
      <alignment horizontal="center" vertical="center" shrinkToFit="1"/>
    </xf>
    <xf numFmtId="0" fontId="9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0" borderId="1" xfId="0" applyFont="1" applyBorder="1" applyAlignment="1">
      <alignment horizontal="right" vertical="center"/>
    </xf>
    <xf numFmtId="9" fontId="2" fillId="0" borderId="1" xfId="0" applyNumberFormat="1" applyFont="1" applyBorder="1" applyAlignment="1">
      <alignment horizontal="center" vertical="center" shrinkToFit="1"/>
    </xf>
    <xf numFmtId="179" fontId="2" fillId="0" borderId="1" xfId="0" applyNumberFormat="1" applyFont="1" applyBorder="1" applyAlignment="1">
      <alignment horizontal="center" vertical="center" shrinkToFit="1"/>
    </xf>
    <xf numFmtId="180" fontId="2" fillId="0" borderId="1" xfId="0" applyNumberFormat="1" applyFont="1" applyBorder="1" applyAlignment="1">
      <alignment horizontal="center" vertical="center" shrinkToFit="1"/>
    </xf>
    <xf numFmtId="9" fontId="2" fillId="0" borderId="1" xfId="1" applyNumberFormat="1" applyFont="1" applyBorder="1" applyAlignment="1">
      <alignment horizontal="center" vertical="center" shrinkToFit="1"/>
    </xf>
    <xf numFmtId="9" fontId="2" fillId="0" borderId="1" xfId="1" applyFont="1" applyBorder="1" applyAlignment="1">
      <alignment horizontal="center" vertical="center" shrinkToFit="1"/>
    </xf>
    <xf numFmtId="0" fontId="5" fillId="3" borderId="1" xfId="0" applyFont="1" applyFill="1" applyBorder="1" applyAlignment="1">
      <alignment horizontal="center" vertical="center" shrinkToFit="1"/>
    </xf>
    <xf numFmtId="181" fontId="2" fillId="0" borderId="1" xfId="0" applyNumberFormat="1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9" fontId="5" fillId="0" borderId="1" xfId="1" applyFont="1" applyBorder="1" applyAlignment="1">
      <alignment horizontal="center" vertical="center" shrinkToFit="1"/>
    </xf>
    <xf numFmtId="0" fontId="2" fillId="0" borderId="1" xfId="1" applyNumberFormat="1" applyFont="1" applyBorder="1" applyAlignment="1">
      <alignment horizontal="center" vertical="center" shrinkToFit="1"/>
    </xf>
    <xf numFmtId="182" fontId="2" fillId="0" borderId="1" xfId="2" applyNumberFormat="1" applyFont="1" applyBorder="1" applyAlignment="1">
      <alignment horizontal="center" vertical="center" shrinkToFit="1"/>
    </xf>
    <xf numFmtId="178" fontId="5" fillId="0" borderId="1" xfId="0" applyNumberFormat="1" applyFont="1" applyBorder="1" applyAlignment="1">
      <alignment horizontal="center" vertical="center" shrinkToFit="1"/>
    </xf>
    <xf numFmtId="9" fontId="2" fillId="3" borderId="1" xfId="1" applyFont="1" applyFill="1" applyBorder="1" applyAlignment="1">
      <alignment horizontal="center" vertical="center" shrinkToFit="1"/>
    </xf>
    <xf numFmtId="10" fontId="2" fillId="0" borderId="1" xfId="0" applyNumberFormat="1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1" xfId="0" applyNumberFormat="1" applyFont="1" applyBorder="1" applyAlignment="1">
      <alignment horizontal="center" vertical="center" shrinkToFit="1"/>
    </xf>
    <xf numFmtId="0" fontId="5" fillId="4" borderId="1" xfId="0" applyFont="1" applyFill="1" applyBorder="1" applyAlignment="1">
      <alignment horizontal="center" vertical="center" shrinkToFit="1"/>
    </xf>
    <xf numFmtId="2" fontId="5" fillId="0" borderId="1" xfId="0" applyNumberFormat="1" applyFont="1" applyBorder="1" applyAlignment="1">
      <alignment horizontal="center" vertical="center" shrinkToFit="1"/>
    </xf>
    <xf numFmtId="2" fontId="5" fillId="3" borderId="1" xfId="0" applyNumberFormat="1" applyFont="1" applyFill="1" applyBorder="1" applyAlignment="1">
      <alignment horizontal="center" vertical="center" shrinkToFit="1"/>
    </xf>
    <xf numFmtId="1" fontId="2" fillId="0" borderId="1" xfId="1" applyNumberFormat="1" applyFont="1" applyBorder="1" applyAlignment="1">
      <alignment horizontal="center" vertical="center" shrinkToFit="1"/>
    </xf>
    <xf numFmtId="180" fontId="5" fillId="0" borderId="1" xfId="0" applyNumberFormat="1" applyFont="1" applyBorder="1" applyAlignment="1">
      <alignment horizontal="center" vertical="center" shrinkToFit="1"/>
    </xf>
    <xf numFmtId="58" fontId="2" fillId="0" borderId="1" xfId="0" applyNumberFormat="1" applyFont="1" applyBorder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11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horizontal="center" vertical="center" shrinkToFit="1"/>
    </xf>
    <xf numFmtId="0" fontId="2" fillId="0" borderId="16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vertical="center" shrinkToFit="1"/>
    </xf>
    <xf numFmtId="0" fontId="2" fillId="3" borderId="17" xfId="0" applyFont="1" applyFill="1" applyBorder="1" applyAlignment="1">
      <alignment horizontal="center" vertical="center" shrinkToFit="1"/>
    </xf>
    <xf numFmtId="0" fontId="2" fillId="0" borderId="18" xfId="0" applyFont="1" applyBorder="1" applyAlignment="1">
      <alignment horizontal="center" vertical="center" shrinkToFit="1"/>
    </xf>
    <xf numFmtId="0" fontId="2" fillId="0" borderId="19" xfId="0" applyFont="1" applyBorder="1" applyAlignment="1">
      <alignment horizontal="center" vertical="center" shrinkToFit="1"/>
    </xf>
    <xf numFmtId="2" fontId="2" fillId="0" borderId="20" xfId="0" applyNumberFormat="1" applyFont="1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77" fontId="2" fillId="0" borderId="22" xfId="0" applyNumberFormat="1" applyFont="1" applyBorder="1" applyAlignment="1">
      <alignment horizontal="center" vertical="center" shrinkToFit="1"/>
    </xf>
    <xf numFmtId="2" fontId="2" fillId="0" borderId="22" xfId="0" applyNumberFormat="1" applyFont="1" applyBorder="1" applyAlignment="1">
      <alignment horizontal="center" vertical="center" shrinkToFit="1"/>
    </xf>
    <xf numFmtId="2" fontId="2" fillId="0" borderId="23" xfId="0" applyNumberFormat="1" applyFont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177" fontId="2" fillId="0" borderId="10" xfId="0" applyNumberFormat="1" applyFont="1" applyBorder="1" applyAlignment="1">
      <alignment horizontal="center" vertical="center" shrinkToFit="1"/>
    </xf>
    <xf numFmtId="2" fontId="2" fillId="0" borderId="10" xfId="0" applyNumberFormat="1" applyFont="1" applyBorder="1" applyAlignment="1">
      <alignment horizontal="center" vertical="center" shrinkToFit="1"/>
    </xf>
    <xf numFmtId="0" fontId="11" fillId="0" borderId="10" xfId="0" applyFon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0" fontId="2" fillId="0" borderId="23" xfId="0" applyFont="1" applyBorder="1" applyAlignment="1">
      <alignment horizontal="center" vertical="center" shrinkToFit="1"/>
    </xf>
    <xf numFmtId="178" fontId="2" fillId="0" borderId="8" xfId="0" applyNumberFormat="1" applyFont="1" applyBorder="1" applyAlignment="1">
      <alignment horizontal="center" vertical="center" shrinkToFit="1"/>
    </xf>
    <xf numFmtId="0" fontId="12" fillId="0" borderId="1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14" fontId="2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0" fontId="2" fillId="0" borderId="0" xfId="0" applyFont="1" applyBorder="1" applyAlignment="1">
      <alignment horizontal="center" vertical="center" shrinkToFit="1"/>
    </xf>
    <xf numFmtId="0" fontId="2" fillId="0" borderId="14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2" fillId="0" borderId="1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0" fontId="5" fillId="0" borderId="8" xfId="0" applyFont="1" applyBorder="1" applyAlignment="1">
      <alignment horizontal="center" vertical="center" shrinkToFit="1"/>
    </xf>
    <xf numFmtId="0" fontId="2" fillId="0" borderId="6" xfId="0" applyFont="1" applyBorder="1" applyAlignment="1">
      <alignment horizontal="center" vertical="center" shrinkToFit="1"/>
    </xf>
    <xf numFmtId="0" fontId="2" fillId="0" borderId="7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24" xfId="0" applyFont="1" applyBorder="1" applyAlignment="1">
      <alignment horizontal="center" vertical="center" shrinkToFit="1"/>
    </xf>
    <xf numFmtId="0" fontId="2" fillId="0" borderId="25" xfId="0" applyFont="1" applyBorder="1" applyAlignment="1">
      <alignment horizontal="center" vertical="center" shrinkToFit="1"/>
    </xf>
    <xf numFmtId="0" fontId="2" fillId="0" borderId="26" xfId="0" applyFont="1" applyBorder="1" applyAlignment="1">
      <alignment horizontal="center" vertical="center" shrinkToFit="1"/>
    </xf>
  </cellXfs>
  <cellStyles count="3">
    <cellStyle name="百分比" xfId="1" builtinId="5"/>
    <cellStyle name="常规" xfId="0" builtinId="0"/>
    <cellStyle name="千位分隔" xfId="2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8.0849999999999991</c:v>
                </c:pt>
                <c:pt idx="3">
                  <c:v>8.4892500000000002</c:v>
                </c:pt>
                <c:pt idx="4">
                  <c:v>8.913712499999999</c:v>
                </c:pt>
                <c:pt idx="5">
                  <c:v>9.3593981250000002</c:v>
                </c:pt>
                <c:pt idx="6">
                  <c:v>9.8273680312499998</c:v>
                </c:pt>
                <c:pt idx="7">
                  <c:v>10.318736432812502</c:v>
                </c:pt>
                <c:pt idx="8">
                  <c:v>10.834673254453126</c:v>
                </c:pt>
                <c:pt idx="9">
                  <c:v>11.376406917175782</c:v>
                </c:pt>
                <c:pt idx="10">
                  <c:v>11.945227263034571</c:v>
                </c:pt>
                <c:pt idx="11">
                  <c:v>12.5424886261863</c:v>
                </c:pt>
                <c:pt idx="12">
                  <c:v>13.169613057495614</c:v>
                </c:pt>
                <c:pt idx="13">
                  <c:v>13.828093710370396</c:v>
                </c:pt>
                <c:pt idx="14">
                  <c:v>14.519498395888913</c:v>
                </c:pt>
                <c:pt idx="15">
                  <c:v>15.245473315683364</c:v>
                </c:pt>
                <c:pt idx="16">
                  <c:v>16.00774698146753</c:v>
                </c:pt>
                <c:pt idx="17">
                  <c:v>16.808134330540909</c:v>
                </c:pt>
                <c:pt idx="18">
                  <c:v>17.648541047067955</c:v>
                </c:pt>
                <c:pt idx="19">
                  <c:v>18.530968099421351</c:v>
                </c:pt>
                <c:pt idx="20">
                  <c:v>19.457516504392419</c:v>
                </c:pt>
                <c:pt idx="21">
                  <c:v>20.43039232961204</c:v>
                </c:pt>
                <c:pt idx="22">
                  <c:v>21.45191194609264</c:v>
                </c:pt>
                <c:pt idx="23">
                  <c:v>22.524507543397277</c:v>
                </c:pt>
                <c:pt idx="24">
                  <c:v>23.650732920567137</c:v>
                </c:pt>
                <c:pt idx="25">
                  <c:v>24.833269566595494</c:v>
                </c:pt>
                <c:pt idx="26">
                  <c:v>26.07493304492527</c:v>
                </c:pt>
                <c:pt idx="27">
                  <c:v>27.378679697171538</c:v>
                </c:pt>
                <c:pt idx="28">
                  <c:v>28.74761368203011</c:v>
                </c:pt>
                <c:pt idx="29">
                  <c:v>30.184994366131619</c:v>
                </c:pt>
                <c:pt idx="30">
                  <c:v>31.694244084438189</c:v>
                </c:pt>
                <c:pt idx="31">
                  <c:v>33.278956288660112</c:v>
                </c:pt>
                <c:pt idx="32">
                  <c:v>34.942904103093113</c:v>
                </c:pt>
                <c:pt idx="33">
                  <c:v>36.690049308247772</c:v>
                </c:pt>
                <c:pt idx="34">
                  <c:v>38.524551773660157</c:v>
                </c:pt>
                <c:pt idx="35">
                  <c:v>40.450779362343177</c:v>
                </c:pt>
                <c:pt idx="36">
                  <c:v>42.47331833046033</c:v>
                </c:pt>
                <c:pt idx="37">
                  <c:v>44.596984246983347</c:v>
                </c:pt>
                <c:pt idx="38">
                  <c:v>46.826833459332505</c:v>
                </c:pt>
                <c:pt idx="39">
                  <c:v>49.16817513229914</c:v>
                </c:pt>
                <c:pt idx="40">
                  <c:v>51.626583888914091</c:v>
                </c:pt>
                <c:pt idx="41">
                  <c:v>54.207913083359799</c:v>
                </c:pt>
                <c:pt idx="42">
                  <c:v>56.918308737527788</c:v>
                </c:pt>
                <c:pt idx="43">
                  <c:v>59.764224174404184</c:v>
                </c:pt>
                <c:pt idx="44">
                  <c:v>62.752435383124386</c:v>
                </c:pt>
                <c:pt idx="45">
                  <c:v>65.890057152280619</c:v>
                </c:pt>
                <c:pt idx="46">
                  <c:v>69.184560009894639</c:v>
                </c:pt>
                <c:pt idx="47">
                  <c:v>72.643788010389386</c:v>
                </c:pt>
                <c:pt idx="48">
                  <c:v>76.275977410908851</c:v>
                </c:pt>
                <c:pt idx="49">
                  <c:v>80.089776281454306</c:v>
                </c:pt>
                <c:pt idx="50">
                  <c:v>84.094265095527021</c:v>
                </c:pt>
                <c:pt idx="51">
                  <c:v>88.298978350303372</c:v>
                </c:pt>
                <c:pt idx="52">
                  <c:v>92.713927267818534</c:v>
                </c:pt>
                <c:pt idx="53">
                  <c:v>97.349623631209454</c:v>
                </c:pt>
                <c:pt idx="54">
                  <c:v>102.21710481276992</c:v>
                </c:pt>
                <c:pt idx="55">
                  <c:v>107.32796005340845</c:v>
                </c:pt>
                <c:pt idx="56">
                  <c:v>112.69435805607884</c:v>
                </c:pt>
                <c:pt idx="57">
                  <c:v>118.3290759588828</c:v>
                </c:pt>
                <c:pt idx="58">
                  <c:v>124.24552975682695</c:v>
                </c:pt>
                <c:pt idx="59">
                  <c:v>130.45780624466829</c:v>
                </c:pt>
                <c:pt idx="60">
                  <c:v>136.98069655690171</c:v>
                </c:pt>
                <c:pt idx="61">
                  <c:v>143.82973138474682</c:v>
                </c:pt>
                <c:pt idx="62">
                  <c:v>151.02121795398409</c:v>
                </c:pt>
                <c:pt idx="63">
                  <c:v>158.57227885168336</c:v>
                </c:pt>
                <c:pt idx="64">
                  <c:v>166.50089279426751</c:v>
                </c:pt>
                <c:pt idx="65">
                  <c:v>174.82593743398093</c:v>
                </c:pt>
                <c:pt idx="66">
                  <c:v>183.56723430567996</c:v>
                </c:pt>
                <c:pt idx="67">
                  <c:v>192.74559602096397</c:v>
                </c:pt>
                <c:pt idx="68">
                  <c:v>202.38287582201215</c:v>
                </c:pt>
                <c:pt idx="69">
                  <c:v>212.50201961311276</c:v>
                </c:pt>
                <c:pt idx="70">
                  <c:v>223.12712059376838</c:v>
                </c:pt>
                <c:pt idx="71">
                  <c:v>234.28347662345683</c:v>
                </c:pt>
                <c:pt idx="72">
                  <c:v>245.99765045462968</c:v>
                </c:pt>
                <c:pt idx="73">
                  <c:v>258.29753297736113</c:v>
                </c:pt>
                <c:pt idx="74">
                  <c:v>271.2124096262292</c:v>
                </c:pt>
                <c:pt idx="75">
                  <c:v>284.77303010754065</c:v>
                </c:pt>
                <c:pt idx="76">
                  <c:v>299.01168161291764</c:v>
                </c:pt>
                <c:pt idx="77">
                  <c:v>313.96226569356361</c:v>
                </c:pt>
                <c:pt idx="78">
                  <c:v>329.66037897824168</c:v>
                </c:pt>
                <c:pt idx="79">
                  <c:v>346.1433979271539</c:v>
                </c:pt>
                <c:pt idx="80">
                  <c:v>363.45056782351156</c:v>
                </c:pt>
                <c:pt idx="81">
                  <c:v>381.62309621468722</c:v>
                </c:pt>
                <c:pt idx="82">
                  <c:v>400.70425102542157</c:v>
                </c:pt>
                <c:pt idx="83">
                  <c:v>420.73946357669263</c:v>
                </c:pt>
                <c:pt idx="84">
                  <c:v>441.7764367555273</c:v>
                </c:pt>
                <c:pt idx="85">
                  <c:v>463.86525859330357</c:v>
                </c:pt>
                <c:pt idx="86">
                  <c:v>487.05852152296876</c:v>
                </c:pt>
                <c:pt idx="87">
                  <c:v>511.41144759911731</c:v>
                </c:pt>
                <c:pt idx="88">
                  <c:v>536.98201997907313</c:v>
                </c:pt>
                <c:pt idx="89">
                  <c:v>563.83112097802677</c:v>
                </c:pt>
                <c:pt idx="90">
                  <c:v>592.02267702692814</c:v>
                </c:pt>
                <c:pt idx="91">
                  <c:v>621.62381087827464</c:v>
                </c:pt>
                <c:pt idx="92">
                  <c:v>652.70500142218827</c:v>
                </c:pt>
                <c:pt idx="93">
                  <c:v>685.34025149329773</c:v>
                </c:pt>
                <c:pt idx="94">
                  <c:v>719.60726406796243</c:v>
                </c:pt>
                <c:pt idx="95">
                  <c:v>755.58762727136082</c:v>
                </c:pt>
                <c:pt idx="96">
                  <c:v>793.36700863492877</c:v>
                </c:pt>
                <c:pt idx="97">
                  <c:v>833.03535906667526</c:v>
                </c:pt>
                <c:pt idx="98">
                  <c:v>874.68712702000903</c:v>
                </c:pt>
                <c:pt idx="99">
                  <c:v>918.42148337100957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11-409B-B935-47930E1A4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角色成长!$E$18:$E$117</c:f>
              <c:numCache>
                <c:formatCode>0.00</c:formatCode>
                <c:ptCount val="100"/>
                <c:pt idx="0">
                  <c:v>7.333333333333333</c:v>
                </c:pt>
                <c:pt idx="1">
                  <c:v>7.7</c:v>
                </c:pt>
                <c:pt idx="2">
                  <c:v>8.0849999999999991</c:v>
                </c:pt>
                <c:pt idx="3">
                  <c:v>8.4892500000000002</c:v>
                </c:pt>
                <c:pt idx="4">
                  <c:v>8.913712499999999</c:v>
                </c:pt>
                <c:pt idx="5">
                  <c:v>9.3593981250000002</c:v>
                </c:pt>
                <c:pt idx="6">
                  <c:v>9.8273680312499998</c:v>
                </c:pt>
                <c:pt idx="7">
                  <c:v>10.318736432812502</c:v>
                </c:pt>
                <c:pt idx="8">
                  <c:v>10.834673254453126</c:v>
                </c:pt>
                <c:pt idx="9">
                  <c:v>11.376406917175782</c:v>
                </c:pt>
                <c:pt idx="10">
                  <c:v>11.945227263034571</c:v>
                </c:pt>
                <c:pt idx="11">
                  <c:v>12.5424886261863</c:v>
                </c:pt>
                <c:pt idx="12">
                  <c:v>13.169613057495614</c:v>
                </c:pt>
                <c:pt idx="13">
                  <c:v>13.828093710370396</c:v>
                </c:pt>
                <c:pt idx="14">
                  <c:v>14.519498395888913</c:v>
                </c:pt>
                <c:pt idx="15">
                  <c:v>15.245473315683364</c:v>
                </c:pt>
                <c:pt idx="16">
                  <c:v>16.00774698146753</c:v>
                </c:pt>
                <c:pt idx="17">
                  <c:v>16.808134330540909</c:v>
                </c:pt>
                <c:pt idx="18">
                  <c:v>17.648541047067955</c:v>
                </c:pt>
                <c:pt idx="19">
                  <c:v>18.530968099421351</c:v>
                </c:pt>
                <c:pt idx="20">
                  <c:v>19.457516504392419</c:v>
                </c:pt>
                <c:pt idx="21">
                  <c:v>20.43039232961204</c:v>
                </c:pt>
                <c:pt idx="22">
                  <c:v>21.45191194609264</c:v>
                </c:pt>
                <c:pt idx="23">
                  <c:v>22.524507543397277</c:v>
                </c:pt>
                <c:pt idx="24">
                  <c:v>23.650732920567137</c:v>
                </c:pt>
                <c:pt idx="25">
                  <c:v>24.833269566595494</c:v>
                </c:pt>
                <c:pt idx="26">
                  <c:v>26.07493304492527</c:v>
                </c:pt>
                <c:pt idx="27">
                  <c:v>27.378679697171538</c:v>
                </c:pt>
                <c:pt idx="28">
                  <c:v>28.74761368203011</c:v>
                </c:pt>
                <c:pt idx="29">
                  <c:v>30.184994366131619</c:v>
                </c:pt>
                <c:pt idx="30">
                  <c:v>31.694244084438189</c:v>
                </c:pt>
                <c:pt idx="31">
                  <c:v>33.278956288660112</c:v>
                </c:pt>
                <c:pt idx="32">
                  <c:v>34.942904103093113</c:v>
                </c:pt>
                <c:pt idx="33">
                  <c:v>36.690049308247772</c:v>
                </c:pt>
                <c:pt idx="34">
                  <c:v>38.524551773660157</c:v>
                </c:pt>
                <c:pt idx="35">
                  <c:v>40.450779362343177</c:v>
                </c:pt>
                <c:pt idx="36">
                  <c:v>42.47331833046033</c:v>
                </c:pt>
                <c:pt idx="37">
                  <c:v>44.596984246983347</c:v>
                </c:pt>
                <c:pt idx="38">
                  <c:v>46.826833459332505</c:v>
                </c:pt>
                <c:pt idx="39">
                  <c:v>49.16817513229914</c:v>
                </c:pt>
                <c:pt idx="40">
                  <c:v>51.626583888914091</c:v>
                </c:pt>
                <c:pt idx="41">
                  <c:v>54.207913083359799</c:v>
                </c:pt>
                <c:pt idx="42">
                  <c:v>56.918308737527788</c:v>
                </c:pt>
                <c:pt idx="43">
                  <c:v>59.764224174404184</c:v>
                </c:pt>
                <c:pt idx="44">
                  <c:v>62.752435383124386</c:v>
                </c:pt>
                <c:pt idx="45">
                  <c:v>65.890057152280619</c:v>
                </c:pt>
                <c:pt idx="46">
                  <c:v>69.184560009894639</c:v>
                </c:pt>
                <c:pt idx="47">
                  <c:v>72.643788010389386</c:v>
                </c:pt>
                <c:pt idx="48">
                  <c:v>76.275977410908851</c:v>
                </c:pt>
                <c:pt idx="49">
                  <c:v>80.089776281454306</c:v>
                </c:pt>
                <c:pt idx="50">
                  <c:v>84.094265095527021</c:v>
                </c:pt>
                <c:pt idx="51">
                  <c:v>88.298978350303372</c:v>
                </c:pt>
                <c:pt idx="52">
                  <c:v>92.713927267818534</c:v>
                </c:pt>
                <c:pt idx="53">
                  <c:v>97.349623631209454</c:v>
                </c:pt>
                <c:pt idx="54">
                  <c:v>102.21710481276992</c:v>
                </c:pt>
                <c:pt idx="55">
                  <c:v>107.32796005340845</c:v>
                </c:pt>
                <c:pt idx="56">
                  <c:v>112.69435805607884</c:v>
                </c:pt>
                <c:pt idx="57">
                  <c:v>118.3290759588828</c:v>
                </c:pt>
                <c:pt idx="58">
                  <c:v>124.24552975682695</c:v>
                </c:pt>
                <c:pt idx="59">
                  <c:v>130.45780624466829</c:v>
                </c:pt>
                <c:pt idx="60">
                  <c:v>136.98069655690171</c:v>
                </c:pt>
                <c:pt idx="61">
                  <c:v>143.82973138474682</c:v>
                </c:pt>
                <c:pt idx="62">
                  <c:v>151.02121795398409</c:v>
                </c:pt>
                <c:pt idx="63">
                  <c:v>158.57227885168336</c:v>
                </c:pt>
                <c:pt idx="64">
                  <c:v>166.50089279426751</c:v>
                </c:pt>
                <c:pt idx="65">
                  <c:v>174.82593743398093</c:v>
                </c:pt>
                <c:pt idx="66">
                  <c:v>183.56723430567996</c:v>
                </c:pt>
                <c:pt idx="67">
                  <c:v>192.74559602096397</c:v>
                </c:pt>
                <c:pt idx="68">
                  <c:v>202.38287582201215</c:v>
                </c:pt>
                <c:pt idx="69">
                  <c:v>212.50201961311276</c:v>
                </c:pt>
                <c:pt idx="70">
                  <c:v>223.12712059376838</c:v>
                </c:pt>
                <c:pt idx="71">
                  <c:v>234.28347662345683</c:v>
                </c:pt>
                <c:pt idx="72">
                  <c:v>245.99765045462968</c:v>
                </c:pt>
                <c:pt idx="73">
                  <c:v>258.29753297736113</c:v>
                </c:pt>
                <c:pt idx="74">
                  <c:v>271.2124096262292</c:v>
                </c:pt>
                <c:pt idx="75">
                  <c:v>284.77303010754065</c:v>
                </c:pt>
                <c:pt idx="76">
                  <c:v>299.01168161291764</c:v>
                </c:pt>
                <c:pt idx="77">
                  <c:v>313.96226569356361</c:v>
                </c:pt>
                <c:pt idx="78">
                  <c:v>329.66037897824168</c:v>
                </c:pt>
                <c:pt idx="79">
                  <c:v>346.1433979271539</c:v>
                </c:pt>
                <c:pt idx="80">
                  <c:v>363.45056782351156</c:v>
                </c:pt>
                <c:pt idx="81">
                  <c:v>381.62309621468722</c:v>
                </c:pt>
                <c:pt idx="82">
                  <c:v>400.70425102542157</c:v>
                </c:pt>
                <c:pt idx="83">
                  <c:v>420.73946357669263</c:v>
                </c:pt>
                <c:pt idx="84">
                  <c:v>441.7764367555273</c:v>
                </c:pt>
                <c:pt idx="85">
                  <c:v>463.86525859330357</c:v>
                </c:pt>
                <c:pt idx="86">
                  <c:v>487.05852152296876</c:v>
                </c:pt>
                <c:pt idx="87">
                  <c:v>511.41144759911731</c:v>
                </c:pt>
                <c:pt idx="88">
                  <c:v>536.98201997907313</c:v>
                </c:pt>
                <c:pt idx="89">
                  <c:v>563.83112097802677</c:v>
                </c:pt>
                <c:pt idx="90">
                  <c:v>592.02267702692814</c:v>
                </c:pt>
                <c:pt idx="91">
                  <c:v>621.62381087827464</c:v>
                </c:pt>
                <c:pt idx="92">
                  <c:v>652.70500142218827</c:v>
                </c:pt>
                <c:pt idx="93">
                  <c:v>685.34025149329773</c:v>
                </c:pt>
                <c:pt idx="94">
                  <c:v>719.60726406796243</c:v>
                </c:pt>
                <c:pt idx="95">
                  <c:v>755.58762727136082</c:v>
                </c:pt>
                <c:pt idx="96">
                  <c:v>793.36700863492877</c:v>
                </c:pt>
                <c:pt idx="97">
                  <c:v>833.03535906667526</c:v>
                </c:pt>
                <c:pt idx="98">
                  <c:v>874.68712702000903</c:v>
                </c:pt>
                <c:pt idx="99">
                  <c:v>918.42148337100957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D3-410C-81DE-612860E6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192416"/>
        <c:axId val="147189920"/>
      </c:lineChart>
      <c:catAx>
        <c:axId val="147192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89920"/>
        <c:crosses val="autoZero"/>
        <c:auto val="1"/>
        <c:lblAlgn val="ctr"/>
        <c:lblOffset val="100"/>
        <c:noMultiLvlLbl val="0"/>
      </c:catAx>
      <c:valAx>
        <c:axId val="1471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719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100011</xdr:colOff>
      <xdr:row>95</xdr:row>
      <xdr:rowOff>128587</xdr:rowOff>
    </xdr:from>
    <xdr:to>
      <xdr:col>32</xdr:col>
      <xdr:colOff>104774</xdr:colOff>
      <xdr:row>110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EED597A1-9DD8-49C6-AEC6-DDAB4A4995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100011</xdr:colOff>
      <xdr:row>96</xdr:row>
      <xdr:rowOff>128587</xdr:rowOff>
    </xdr:from>
    <xdr:to>
      <xdr:col>30</xdr:col>
      <xdr:colOff>104774</xdr:colOff>
      <xdr:row>111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544AB29-9E5B-4451-AE22-5ED75F97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967E5-2CFA-4D53-BAE8-871F5DF4BACC}">
  <sheetPr codeName="Sheet1"/>
  <dimension ref="A1:Y67"/>
  <sheetViews>
    <sheetView workbookViewId="0">
      <pane xSplit="2" ySplit="8" topLeftCell="C39" activePane="bottomRight" state="frozen"/>
      <selection pane="topRight" activeCell="C1" sqref="C1"/>
      <selection pane="bottomLeft" activeCell="A9" sqref="A9"/>
      <selection pane="bottomRight" activeCell="L60" sqref="L60"/>
    </sheetView>
  </sheetViews>
  <sheetFormatPr defaultRowHeight="14.25" customHeight="1" x14ac:dyDescent="0.2"/>
  <cols>
    <col min="1" max="9" width="9" style="1"/>
    <col min="10" max="10" width="2.5" style="1" customWidth="1"/>
    <col min="11" max="21" width="9" style="1"/>
    <col min="22" max="22" width="2.5" style="1" customWidth="1"/>
    <col min="23" max="16384" width="9" style="1"/>
  </cols>
  <sheetData>
    <row r="1" spans="1:25" ht="14.25" customHeight="1" x14ac:dyDescent="0.2">
      <c r="A1" s="81" t="s">
        <v>230</v>
      </c>
      <c r="B1" s="82"/>
    </row>
    <row r="2" spans="1:25" ht="14.25" customHeight="1" x14ac:dyDescent="0.2">
      <c r="A2" s="83"/>
      <c r="B2" s="84"/>
    </row>
    <row r="3" spans="1:25" ht="14.25" customHeight="1" x14ac:dyDescent="0.2">
      <c r="D3" s="2" t="s">
        <v>83</v>
      </c>
    </row>
    <row r="4" spans="1:25" s="3" customFormat="1" ht="14.25" customHeight="1" x14ac:dyDescent="0.2">
      <c r="C4" s="3" t="s">
        <v>25</v>
      </c>
      <c r="K4" s="3" t="s">
        <v>26</v>
      </c>
      <c r="W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K5" s="1" t="s">
        <v>20</v>
      </c>
      <c r="L5" s="1" t="s">
        <v>18</v>
      </c>
      <c r="M5" s="1" t="s">
        <v>15</v>
      </c>
      <c r="N5" s="1" t="s">
        <v>16</v>
      </c>
      <c r="O5" s="1" t="s">
        <v>5</v>
      </c>
      <c r="Q5" s="1" t="s">
        <v>20</v>
      </c>
      <c r="R5" s="1" t="s">
        <v>18</v>
      </c>
      <c r="S5" s="1" t="s">
        <v>15</v>
      </c>
      <c r="T5" s="1" t="s">
        <v>16</v>
      </c>
      <c r="U5" s="1" t="s">
        <v>5</v>
      </c>
      <c r="W5" s="3" t="s">
        <v>18</v>
      </c>
      <c r="X5" s="3" t="s">
        <v>142</v>
      </c>
      <c r="Y5" s="3" t="s">
        <v>143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K6" s="1">
        <v>1</v>
      </c>
      <c r="L6" s="1" t="s">
        <v>127</v>
      </c>
      <c r="M6" s="1">
        <f t="shared" ref="M6:O10" si="0">VLOOKUP($L6,$D$10:$G$13,MATCH(M$5,$D$10:$G$10,0),0)</f>
        <v>5</v>
      </c>
      <c r="N6" s="1">
        <f t="shared" si="0"/>
        <v>100</v>
      </c>
      <c r="O6" s="1">
        <f t="shared" si="0"/>
        <v>5</v>
      </c>
      <c r="Q6" s="1">
        <v>1</v>
      </c>
      <c r="R6" s="1" t="s">
        <v>3</v>
      </c>
      <c r="S6" s="1">
        <f t="shared" ref="S6:U10" si="1">VLOOKUP($R6,$D$10:$G$13,MATCH(S$5,$D$10:$G$10,0),0)</f>
        <v>5</v>
      </c>
      <c r="T6" s="1">
        <f t="shared" si="1"/>
        <v>100</v>
      </c>
      <c r="U6" s="1">
        <f t="shared" si="1"/>
        <v>5</v>
      </c>
      <c r="W6" s="11" t="s">
        <v>3</v>
      </c>
      <c r="X6" s="1">
        <v>2</v>
      </c>
      <c r="Y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K7" s="1">
        <v>2</v>
      </c>
      <c r="L7" s="1" t="s">
        <v>3</v>
      </c>
      <c r="M7" s="1">
        <f t="shared" si="0"/>
        <v>5</v>
      </c>
      <c r="N7" s="1">
        <f t="shared" si="0"/>
        <v>100</v>
      </c>
      <c r="O7" s="1">
        <f t="shared" si="0"/>
        <v>5</v>
      </c>
      <c r="Q7" s="1">
        <v>2</v>
      </c>
      <c r="R7" s="1" t="s">
        <v>3</v>
      </c>
      <c r="S7" s="1">
        <f t="shared" si="1"/>
        <v>5</v>
      </c>
      <c r="T7" s="1">
        <f t="shared" si="1"/>
        <v>100</v>
      </c>
      <c r="U7" s="1">
        <f t="shared" si="1"/>
        <v>5</v>
      </c>
      <c r="W7" s="1" t="s">
        <v>4</v>
      </c>
      <c r="X7" s="1">
        <v>1</v>
      </c>
      <c r="Y7" s="1">
        <v>3</v>
      </c>
    </row>
    <row r="8" spans="1:25" ht="14.25" customHeight="1" x14ac:dyDescent="0.2">
      <c r="D8" s="2" t="s">
        <v>30</v>
      </c>
      <c r="K8" s="1">
        <v>3</v>
      </c>
      <c r="L8" s="1" t="s">
        <v>128</v>
      </c>
      <c r="M8" s="1">
        <f t="shared" si="0"/>
        <v>10</v>
      </c>
      <c r="N8" s="1">
        <f t="shared" si="0"/>
        <v>40</v>
      </c>
      <c r="O8" s="1">
        <f t="shared" si="0"/>
        <v>0</v>
      </c>
      <c r="Q8" s="1">
        <v>3</v>
      </c>
      <c r="R8" s="1" t="s">
        <v>4</v>
      </c>
      <c r="S8" s="1">
        <f t="shared" si="1"/>
        <v>10</v>
      </c>
      <c r="T8" s="1">
        <f t="shared" si="1"/>
        <v>40</v>
      </c>
      <c r="U8" s="1">
        <f t="shared" si="1"/>
        <v>0</v>
      </c>
      <c r="W8" s="1" t="s">
        <v>5</v>
      </c>
      <c r="X8" s="1">
        <v>0</v>
      </c>
      <c r="Y8" s="1">
        <v>2</v>
      </c>
    </row>
    <row r="9" spans="1:25" ht="14.25" customHeight="1" x14ac:dyDescent="0.2">
      <c r="K9" s="1">
        <v>4</v>
      </c>
      <c r="L9" s="1" t="s">
        <v>128</v>
      </c>
      <c r="M9" s="1">
        <f t="shared" si="0"/>
        <v>10</v>
      </c>
      <c r="N9" s="1">
        <f t="shared" si="0"/>
        <v>40</v>
      </c>
      <c r="O9" s="1">
        <f t="shared" si="0"/>
        <v>0</v>
      </c>
      <c r="Q9" s="1">
        <v>4</v>
      </c>
      <c r="R9" s="1" t="s">
        <v>4</v>
      </c>
      <c r="S9" s="1">
        <f t="shared" si="1"/>
        <v>10</v>
      </c>
      <c r="T9" s="1">
        <f t="shared" si="1"/>
        <v>40</v>
      </c>
      <c r="U9" s="1">
        <f t="shared" si="1"/>
        <v>0</v>
      </c>
      <c r="W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K10" s="1">
        <v>5</v>
      </c>
      <c r="L10" s="1" t="s">
        <v>129</v>
      </c>
      <c r="M10" s="1">
        <f t="shared" si="0"/>
        <v>8</v>
      </c>
      <c r="N10" s="1">
        <f t="shared" si="0"/>
        <v>50</v>
      </c>
      <c r="O10" s="1">
        <f t="shared" si="0"/>
        <v>16</v>
      </c>
      <c r="Q10" s="1">
        <v>5</v>
      </c>
      <c r="R10" s="1" t="s">
        <v>5</v>
      </c>
      <c r="S10" s="1">
        <f t="shared" si="1"/>
        <v>8</v>
      </c>
      <c r="T10" s="1">
        <f t="shared" si="1"/>
        <v>50</v>
      </c>
      <c r="U10" s="1">
        <f t="shared" si="1"/>
        <v>16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5</v>
      </c>
      <c r="J11" s="6"/>
      <c r="L11" s="1">
        <v>5</v>
      </c>
      <c r="M11" s="1">
        <f>SUM(M6:M$10)</f>
        <v>38</v>
      </c>
      <c r="N11" s="1">
        <f>SUM(N6:N$10)</f>
        <v>330</v>
      </c>
      <c r="O11" s="1">
        <f>SUM(O6:O$10)</f>
        <v>26</v>
      </c>
      <c r="R11" s="1">
        <v>5</v>
      </c>
      <c r="S11" s="1">
        <f>SUM(S6:S$10)</f>
        <v>38</v>
      </c>
      <c r="T11" s="1">
        <f>SUM(T6:T$10)</f>
        <v>330</v>
      </c>
      <c r="U11" s="1">
        <f>SUM(U6:U$10)</f>
        <v>26</v>
      </c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J12" s="6"/>
      <c r="K12" s="6">
        <f>N11/(M11-O11)</f>
        <v>27.5</v>
      </c>
      <c r="L12" s="1">
        <v>4</v>
      </c>
      <c r="M12" s="1">
        <f>SUM(M7:M$10)</f>
        <v>33</v>
      </c>
      <c r="N12" s="1">
        <f>SUM(N7:N$10)</f>
        <v>230</v>
      </c>
      <c r="O12" s="1">
        <f>SUM(O7:O$10)</f>
        <v>21</v>
      </c>
      <c r="R12" s="1">
        <v>4</v>
      </c>
      <c r="S12" s="1">
        <f>SUM(S7:S$10)</f>
        <v>33</v>
      </c>
      <c r="T12" s="1">
        <f>SUM(T7:T$10)</f>
        <v>230</v>
      </c>
      <c r="U12" s="1">
        <f>IF(R7="治疗",$U$10+$U$9+$U$8,SUM(U7:U$10))</f>
        <v>21</v>
      </c>
    </row>
    <row r="13" spans="1:25" ht="14.25" customHeight="1" x14ac:dyDescent="0.2">
      <c r="D13" s="1" t="s">
        <v>5</v>
      </c>
      <c r="E13" s="6">
        <v>8</v>
      </c>
      <c r="F13" s="6">
        <v>50</v>
      </c>
      <c r="G13" s="6">
        <v>16</v>
      </c>
      <c r="J13" s="6"/>
      <c r="L13" s="1">
        <v>3</v>
      </c>
      <c r="M13" s="1">
        <f>SUM(M8:M$10)</f>
        <v>28</v>
      </c>
      <c r="N13" s="1">
        <f>SUM(N8:N$10)</f>
        <v>130</v>
      </c>
      <c r="O13" s="1">
        <f>SUM(O8:O$10)</f>
        <v>16</v>
      </c>
      <c r="R13" s="1">
        <v>3</v>
      </c>
      <c r="S13" s="1">
        <f>SUM(S8:S$10)</f>
        <v>28</v>
      </c>
      <c r="T13" s="1">
        <f>SUM(T8:T$10)</f>
        <v>130</v>
      </c>
      <c r="U13" s="1">
        <f>IF(R8="治疗",$U$10+$U$9,SUM(U8:U$10))</f>
        <v>16</v>
      </c>
    </row>
    <row r="14" spans="1:25" ht="14.25" customHeight="1" x14ac:dyDescent="0.2">
      <c r="J14" s="6"/>
      <c r="L14" s="1">
        <v>2</v>
      </c>
      <c r="M14" s="1">
        <f>SUM(M9:M$10)</f>
        <v>18</v>
      </c>
      <c r="N14" s="1">
        <f>SUM(N9:N$10)</f>
        <v>90</v>
      </c>
      <c r="O14" s="1">
        <f>SUM(O9:O$10)</f>
        <v>16</v>
      </c>
      <c r="R14" s="1">
        <v>2</v>
      </c>
      <c r="S14" s="1">
        <f>SUM(S9:S$10)</f>
        <v>18</v>
      </c>
      <c r="T14" s="1">
        <f>SUM(T9:T$10)</f>
        <v>90</v>
      </c>
      <c r="U14" s="1">
        <f>IF(R9="治疗",$U$10,SUM(U9:U$10))</f>
        <v>16</v>
      </c>
    </row>
    <row r="15" spans="1:25" s="3" customFormat="1" ht="14.25" customHeight="1" x14ac:dyDescent="0.2">
      <c r="C15" s="1" t="s">
        <v>21</v>
      </c>
      <c r="D15" s="1"/>
      <c r="E15" s="1"/>
      <c r="F15" s="1"/>
      <c r="G15" s="1"/>
      <c r="H15" s="1"/>
      <c r="J15" s="6"/>
      <c r="L15" s="1">
        <v>1</v>
      </c>
      <c r="M15" s="1">
        <f>SUM(M10:M$10)</f>
        <v>8</v>
      </c>
      <c r="N15" s="1">
        <f>SUM(N10:N$10)</f>
        <v>50</v>
      </c>
      <c r="O15" s="1">
        <v>0</v>
      </c>
      <c r="R15" s="1">
        <v>1</v>
      </c>
      <c r="S15" s="1">
        <f>SUM(S10:S$10)</f>
        <v>8</v>
      </c>
      <c r="T15" s="1">
        <f>SUM(T10:T$10)</f>
        <v>50</v>
      </c>
      <c r="U15" s="1">
        <v>0</v>
      </c>
    </row>
    <row r="16" spans="1:25" ht="14.25" customHeight="1" x14ac:dyDescent="0.2">
      <c r="C16" s="3" t="s">
        <v>20</v>
      </c>
      <c r="D16" s="3" t="s">
        <v>18</v>
      </c>
      <c r="E16" s="3" t="s">
        <v>15</v>
      </c>
      <c r="F16" s="3" t="s">
        <v>16</v>
      </c>
      <c r="G16" s="3" t="s">
        <v>5</v>
      </c>
      <c r="L16" s="2" t="s">
        <v>29</v>
      </c>
    </row>
    <row r="17" spans="3:20" ht="14.25" customHeight="1" x14ac:dyDescent="0.2">
      <c r="C17" s="1">
        <v>1</v>
      </c>
      <c r="D17" s="1" t="s">
        <v>3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5</v>
      </c>
      <c r="H17" s="8"/>
      <c r="N17" s="1" t="s">
        <v>24</v>
      </c>
      <c r="R17" s="1" t="s">
        <v>24</v>
      </c>
    </row>
    <row r="18" spans="3:20" ht="14.25" customHeight="1" x14ac:dyDescent="0.2">
      <c r="C18" s="1">
        <v>2</v>
      </c>
      <c r="D18" s="1" t="s">
        <v>3</v>
      </c>
      <c r="E18" s="1">
        <f t="shared" si="2"/>
        <v>5</v>
      </c>
      <c r="F18" s="1">
        <f t="shared" si="2"/>
        <v>100</v>
      </c>
      <c r="G18" s="1">
        <f t="shared" si="2"/>
        <v>5</v>
      </c>
      <c r="H18" s="8"/>
      <c r="N18" s="1">
        <v>5</v>
      </c>
      <c r="O18" s="6">
        <f>INDEX($N$6:$N$10,MATCH(N18,$L$11:$L$15,0))/(VLOOKUP(R18,$R$11:$U$15,2,0)-VLOOKUP(N18,$L$11:$O$15,4,0))</f>
        <v>8.3333333333333339</v>
      </c>
      <c r="P18" s="10">
        <f>O18-Q18</f>
        <v>0</v>
      </c>
      <c r="Q18" s="6">
        <f>INDEX($T$6:$T$10,MATCH(R18,$L$11:$L$15,0))/(VLOOKUP(N18,$L$11:$O$15,2,0)-VLOOKUP(R18,$R$11:$U$15,4,0))</f>
        <v>8.3333333333333339</v>
      </c>
      <c r="R18" s="1">
        <v>5</v>
      </c>
      <c r="S18" s="6">
        <f>IFERROR(IF(P18&gt;0,Q18,O18),"")</f>
        <v>8.3333333333333339</v>
      </c>
      <c r="T18" s="8"/>
    </row>
    <row r="19" spans="3:20" ht="14.25" customHeight="1" x14ac:dyDescent="0.2">
      <c r="C19" s="1">
        <v>3</v>
      </c>
      <c r="D19" s="1" t="s">
        <v>4</v>
      </c>
      <c r="E19" s="1">
        <f t="shared" si="2"/>
        <v>10</v>
      </c>
      <c r="F19" s="1">
        <f t="shared" si="2"/>
        <v>40</v>
      </c>
      <c r="G19" s="1">
        <f t="shared" si="2"/>
        <v>0</v>
      </c>
      <c r="H19" s="8"/>
      <c r="I19" s="5"/>
      <c r="P19" s="6">
        <f>IF(P18&gt;0,P18/O18*INDEX($N$6:$N$10,MATCH(N18,$L$11:$L$15,0)),-P18/Q18*INDEX($T$6:$T$10,MATCH(R18,$L$11:$L$15,0)))</f>
        <v>0</v>
      </c>
    </row>
    <row r="20" spans="3:20" ht="14.25" customHeight="1" x14ac:dyDescent="0.2">
      <c r="C20" s="1">
        <v>4</v>
      </c>
      <c r="D20" s="1" t="s">
        <v>4</v>
      </c>
      <c r="E20" s="1">
        <f t="shared" si="2"/>
        <v>10</v>
      </c>
      <c r="F20" s="1">
        <f t="shared" si="2"/>
        <v>40</v>
      </c>
      <c r="G20" s="1">
        <f t="shared" si="2"/>
        <v>0</v>
      </c>
      <c r="H20" s="8"/>
      <c r="I20" s="5"/>
      <c r="N20" s="1">
        <f>IF($P18&gt;0,N18,N18-1)</f>
        <v>4</v>
      </c>
      <c r="O20" s="6">
        <f>IF(P18&gt;0,P19,INDEX($N$6:$N$10,MATCH(N20,$L$11:$L$15,0)))/MAX((VLOOKUP(R20,$R$11:$U$15,2,0)-VLOOKUP(N20,$L$11:$O$15,4,0)),1)</f>
        <v>8.3333333333333339</v>
      </c>
      <c r="P20" s="10">
        <f>O20-Q20</f>
        <v>0</v>
      </c>
      <c r="Q20" s="6">
        <f>IF(P18&lt;0,P19,INDEX($T$6:$T$10,MATCH(R20,$L$11:$L$15,0)))/MAX((VLOOKUP(N20,$L$11:$O$15,2,0)-VLOOKUP(R20,$R$11:$U$15,4,0)),1)</f>
        <v>8.3333333333333339</v>
      </c>
      <c r="R20" s="1">
        <f>IF($P18&lt;0,R18,R18-1)</f>
        <v>4</v>
      </c>
      <c r="S20" s="6">
        <f>IFERROR(IF(P20&gt;0,Q20,O20),"")</f>
        <v>8.3333333333333339</v>
      </c>
    </row>
    <row r="21" spans="3:20" ht="14.25" customHeight="1" x14ac:dyDescent="0.2">
      <c r="C21" s="1">
        <v>5</v>
      </c>
      <c r="D21" s="1" t="s">
        <v>5</v>
      </c>
      <c r="E21" s="1">
        <f t="shared" si="2"/>
        <v>8</v>
      </c>
      <c r="F21" s="1">
        <f t="shared" si="2"/>
        <v>50</v>
      </c>
      <c r="G21" s="1">
        <f t="shared" si="2"/>
        <v>16</v>
      </c>
      <c r="H21" s="8"/>
      <c r="I21" s="5"/>
      <c r="P21" s="6">
        <f>IF(P20&gt;0,P20/O20*INDEX($N$6:$N$10,MATCH(N20,$L$11:$L$15,0)),-P20/Q20*INDEX($T$6:$T$10,MATCH(R20,$L$11:$L$15,0)))</f>
        <v>0</v>
      </c>
    </row>
    <row r="22" spans="3:20" ht="14.25" customHeight="1" x14ac:dyDescent="0.2">
      <c r="C22" s="7" t="s">
        <v>141</v>
      </c>
      <c r="H22" s="1" t="s">
        <v>17</v>
      </c>
      <c r="I22" s="9"/>
      <c r="J22" s="9"/>
      <c r="N22" s="1">
        <f>IF($P20&gt;0,N20,N20-1)</f>
        <v>3</v>
      </c>
      <c r="O22" s="6">
        <f>IF(P20&gt;0,P21,INDEX($N$6:$N$10,MATCH(N22,$L$11:$L$15,0)))/MAX((VLOOKUP(R22,$R$11:$U$15,2,0)-VLOOKUP(N22,$L$11:$O$15,4,0)),1)</f>
        <v>3.3333333333333335</v>
      </c>
      <c r="P22" s="10">
        <f>O22-Q22</f>
        <v>0</v>
      </c>
      <c r="Q22" s="6">
        <f>IF(P20&lt;0,P21,INDEX($T$6:$T$10,MATCH(R22,$L$11:$L$15,0)))/MAX((VLOOKUP(N22,$L$11:$O$15,2,0)-VLOOKUP(R22,$R$11:$U$15,4,0)),1)</f>
        <v>3.3333333333333335</v>
      </c>
      <c r="R22" s="1">
        <f>IF($P20&lt;0,R20,R20-1)</f>
        <v>3</v>
      </c>
      <c r="S22" s="6">
        <f>IFERROR(IF(P22&gt;0,Q22,O22),"")</f>
        <v>3.3333333333333335</v>
      </c>
    </row>
    <row r="23" spans="3:20" ht="14.25" customHeight="1" x14ac:dyDescent="0.2">
      <c r="D23" s="1">
        <v>5</v>
      </c>
      <c r="E23" s="1">
        <f>SUM(E17:E$21)</f>
        <v>38</v>
      </c>
      <c r="F23" s="1">
        <f>SUM(F17:F$21)</f>
        <v>330</v>
      </c>
      <c r="G23" s="1">
        <f>SUM(G17:G$21)</f>
        <v>26</v>
      </c>
      <c r="H23" s="6">
        <f>F17/(E23-G23)</f>
        <v>8.3333333333333339</v>
      </c>
      <c r="I23" s="9"/>
      <c r="J23" s="9"/>
      <c r="P23" s="6">
        <f>IF(P22&gt;0,P22/O22*INDEX($N$6:$N$10,MATCH(N22,$L$11:$L$15,0)),-P22/Q22*INDEX($T$6:$T$10,MATCH(R22,$L$11:$L$15,0)))</f>
        <v>0</v>
      </c>
    </row>
    <row r="24" spans="3:20" ht="14.25" customHeight="1" x14ac:dyDescent="0.2">
      <c r="D24" s="1">
        <v>4</v>
      </c>
      <c r="E24" s="1">
        <f>SUM(E18:E$21)</f>
        <v>33</v>
      </c>
      <c r="F24" s="1">
        <f>SUM(F18:F$21)</f>
        <v>230</v>
      </c>
      <c r="G24" s="1">
        <f>SUM(G18:G$21)</f>
        <v>21</v>
      </c>
      <c r="H24" s="6">
        <f>F18/(E24-G24)</f>
        <v>8.3333333333333339</v>
      </c>
      <c r="I24" s="9"/>
      <c r="J24" s="9"/>
      <c r="N24" s="1">
        <f>IF($P22&gt;0,N22,N22-1)</f>
        <v>2</v>
      </c>
      <c r="O24" s="6">
        <f>IF(P22&gt;0,P23,INDEX($N$6:$N$10,MATCH(N24,$L$11:$L$15,0)))/MAX((VLOOKUP(R24,$R$11:$U$15,2,0)-VLOOKUP(N24,$L$11:$O$15,4,0)),1)</f>
        <v>20</v>
      </c>
      <c r="P24" s="10">
        <f>O24-Q24</f>
        <v>0</v>
      </c>
      <c r="Q24" s="6">
        <f>IF(P22&lt;0,P23,INDEX($T$6:$T$10,MATCH(R24,$L$11:$L$15,0)))/MAX((VLOOKUP(N24,$L$11:$O$15,2,0)-VLOOKUP(R24,$R$11:$U$15,4,0)),1)</f>
        <v>20</v>
      </c>
      <c r="R24" s="1">
        <f>IF($P22&lt;0,R22,R22-1)</f>
        <v>2</v>
      </c>
      <c r="S24" s="6">
        <f>IFERROR(IF(P24&gt;0,Q24,O24),"")</f>
        <v>20</v>
      </c>
    </row>
    <row r="25" spans="3:20" ht="14.25" customHeight="1" x14ac:dyDescent="0.2">
      <c r="D25" s="1">
        <v>3</v>
      </c>
      <c r="E25" s="1">
        <f>SUM(E19:E$21)</f>
        <v>28</v>
      </c>
      <c r="F25" s="1">
        <f>SUM(F19:F$21)</f>
        <v>130</v>
      </c>
      <c r="G25" s="1">
        <f>SUM(G19:G$21)</f>
        <v>16</v>
      </c>
      <c r="H25" s="6">
        <f>F19/(E25-G25)</f>
        <v>3.3333333333333335</v>
      </c>
      <c r="I25" s="9"/>
      <c r="P25" s="6">
        <f>IF(P24&gt;0,P24/O24*INDEX($N$6:$N$10,MATCH(N24,$L$11:$L$15,0)),-P24/Q24*INDEX($T$6:$T$10,MATCH(R24,$L$11:$L$15,0)))</f>
        <v>0</v>
      </c>
    </row>
    <row r="26" spans="3:20" ht="14.25" customHeight="1" x14ac:dyDescent="0.2">
      <c r="D26" s="1">
        <v>2</v>
      </c>
      <c r="E26" s="1">
        <f>SUM(E20:E$21)</f>
        <v>18</v>
      </c>
      <c r="F26" s="1">
        <f>SUM(F20:F$21)</f>
        <v>90</v>
      </c>
      <c r="G26" s="1">
        <f>SUM(G20:G$21)</f>
        <v>16</v>
      </c>
      <c r="H26" s="6">
        <f>F20/(E26-G26)</f>
        <v>20</v>
      </c>
      <c r="I26" s="9"/>
      <c r="N26" s="1">
        <f>IF($P24&gt;0,N24,N24-1)</f>
        <v>1</v>
      </c>
      <c r="O26" s="6">
        <f>IF(P24&gt;0,P25,INDEX($N$6:$N$10,MATCH(N26,$L$11:$L$15,0)))/MAX((VLOOKUP(R26,$R$11:$U$15,2,0)-VLOOKUP(N26,$L$11:$O$15,4,0)),1)</f>
        <v>6.25</v>
      </c>
      <c r="P26" s="10">
        <f>O26-Q26</f>
        <v>0</v>
      </c>
      <c r="Q26" s="6">
        <f>IF(P24&lt;0,P25,INDEX($T$6:$T$10,MATCH(R26,$L$11:$L$15,0)))/MAX((VLOOKUP(N26,$L$11:$O$15,2,0)-VLOOKUP(R26,$R$11:$U$15,4,0)),1)</f>
        <v>6.25</v>
      </c>
      <c r="R26" s="1">
        <f>IF($P24&lt;0,R24,R24-1)</f>
        <v>1</v>
      </c>
      <c r="S26" s="6">
        <f>IFERROR(IF(P26&gt;0,Q26,O26),"")</f>
        <v>6.25</v>
      </c>
    </row>
    <row r="27" spans="3:20" ht="14.25" customHeight="1" x14ac:dyDescent="0.2">
      <c r="D27" s="1">
        <v>1</v>
      </c>
      <c r="E27" s="1">
        <f>SUM(E21:E$21)</f>
        <v>8</v>
      </c>
      <c r="F27" s="1">
        <f>SUM(F21:F$21)</f>
        <v>50</v>
      </c>
      <c r="G27" s="1">
        <v>0</v>
      </c>
      <c r="H27" s="6">
        <f>F21/(E27-G27)</f>
        <v>6.25</v>
      </c>
      <c r="I27" s="9"/>
      <c r="P27" s="6">
        <f>IF(P26&gt;0,P26/O26*INDEX($N$6:$N$10,MATCH(N26,$L$11:$L$15,0)),-P26/Q26*INDEX($T$6:$T$10,MATCH(R26,$L$11:$L$15,0)))</f>
        <v>0</v>
      </c>
    </row>
    <row r="28" spans="3:20" ht="14.25" customHeight="1" x14ac:dyDescent="0.2">
      <c r="H28" s="6">
        <f>SUM(H23:H27)</f>
        <v>46.25</v>
      </c>
      <c r="N28" s="1">
        <f>IF($P26&gt;0,N26,N26-1)</f>
        <v>0</v>
      </c>
      <c r="O28" s="6" t="e">
        <f>IF(P26&gt;0,P27,INDEX($N$6:$N$10,MATCH(N28,$L$11:$L$15,0)))/MAX((VLOOKUP(R28,$R$11:$U$15,2,0)-VLOOKUP(N28,$L$11:$O$15,4,0)),1)</f>
        <v>#N/A</v>
      </c>
      <c r="P28" s="10" t="e">
        <f>O28-Q28</f>
        <v>#N/A</v>
      </c>
      <c r="Q28" s="6" t="e">
        <f>IF(P26&lt;0,P27,INDEX($T$6:$T$10,MATCH(R28,$L$11:$L$15,0)))/MAX((VLOOKUP(N28,$L$11:$O$15,2,0)-VLOOKUP(R28,$R$11:$U$15,4,0)),1)</f>
        <v>#N/A</v>
      </c>
      <c r="R28" s="1">
        <f>IF($P26&lt;0,R26,R26-1)</f>
        <v>0</v>
      </c>
      <c r="S28" s="6" t="str">
        <f>IFERROR(IF(P28&gt;0,Q28,O28),"")</f>
        <v/>
      </c>
    </row>
    <row r="29" spans="3:20" ht="14.25" customHeight="1" x14ac:dyDescent="0.2">
      <c r="G29" s="1" t="s">
        <v>22</v>
      </c>
      <c r="H29" s="9">
        <f>G21*H28</f>
        <v>740</v>
      </c>
      <c r="P29" s="6" t="e">
        <f>IF(P28&gt;0,P28/O28*INDEX($N$6:$N$10,MATCH(N28,$L$11:$L$15,0)),-P28/Q28*INDEX($T$6:$T$10,MATCH(R28,$L$11:$L$15,0)))</f>
        <v>#N/A</v>
      </c>
    </row>
    <row r="30" spans="3:20" ht="14.25" customHeight="1" x14ac:dyDescent="0.2">
      <c r="G30" s="1" t="s">
        <v>23</v>
      </c>
      <c r="H30" s="9">
        <f>G17*H23*2</f>
        <v>83.333333333333343</v>
      </c>
      <c r="I30" s="24">
        <f>H29/SUM(H29:H30)</f>
        <v>0.89878542510121451</v>
      </c>
      <c r="N30" s="1" t="e">
        <f>IF($P28&gt;0,N28,N28-1)</f>
        <v>#N/A</v>
      </c>
      <c r="O30" s="6" t="e">
        <f>IF(P28&gt;0,P29,INDEX($N$6:$N$10,MATCH(N30,$L$11:$L$15,0)))/MAX((VLOOKUP(R30,$R$11:$U$15,2,0)-VLOOKUP(N30,$L$11:$O$15,4,0)),1)</f>
        <v>#N/A</v>
      </c>
      <c r="P30" s="10" t="e">
        <f>O30-Q30</f>
        <v>#N/A</v>
      </c>
      <c r="Q30" s="6" t="e">
        <f>IF(P28&lt;0,P29,INDEX($T$6:$T$10,MATCH(R30,$L$11:$L$15,0)))/MAX((VLOOKUP(N30,$L$11:$O$15,2,0)-VLOOKUP(R30,$R$11:$U$15,4,0)),1)</f>
        <v>#N/A</v>
      </c>
      <c r="R30" s="1" t="e">
        <f>IF($P28&lt;0,R28,R28-1)</f>
        <v>#N/A</v>
      </c>
      <c r="S30" s="6" t="str">
        <f>IFERROR(IF(P30&gt;0,Q30,O30),"")</f>
        <v/>
      </c>
    </row>
    <row r="31" spans="3:20" ht="14.25" customHeight="1" x14ac:dyDescent="0.2">
      <c r="P31" s="6" t="e">
        <f>IF(P30&gt;0,P30/O30*INDEX($N$6:$N$10,MATCH(N30,$L$11:$L$15,0)),-P30/Q30*INDEX($T$6:$T$10,MATCH(R30,$L$11:$L$15,0)))</f>
        <v>#N/A</v>
      </c>
    </row>
    <row r="32" spans="3:20" ht="14.25" customHeight="1" x14ac:dyDescent="0.2">
      <c r="N32" s="1" t="e">
        <f>IF($P30&gt;0,N30,N30-1)</f>
        <v>#N/A</v>
      </c>
      <c r="O32" s="6" t="e">
        <f>IF(P30&gt;0,P31,INDEX($N$6:$N$10,MATCH(N32,$L$11:$L$15,0)))/MAX((VLOOKUP(R32,$R$11:$U$15,2,0)-VLOOKUP(N32,$L$11:$O$15,4,0)),1)</f>
        <v>#N/A</v>
      </c>
      <c r="P32" s="10" t="e">
        <f>O32-Q32</f>
        <v>#N/A</v>
      </c>
      <c r="Q32" s="6" t="e">
        <f>IF(P30&lt;0,P31,INDEX($T$6:$T$10,MATCH(R32,$L$11:$L$15,0)))/MAX((VLOOKUP(N32,$L$11:$O$15,2,0)-VLOOKUP(R32,$R$11:$U$15,4,0)),1)</f>
        <v>#N/A</v>
      </c>
      <c r="R32" s="1" t="e">
        <f>IF($P30&lt;0,R30,R30-1)</f>
        <v>#N/A</v>
      </c>
      <c r="S32" s="6" t="str">
        <f>IFERROR(IF(P32&gt;0,Q32,O32),"")</f>
        <v/>
      </c>
    </row>
    <row r="33" spans="9:19" ht="14.25" customHeight="1" x14ac:dyDescent="0.2">
      <c r="P33" s="6" t="e">
        <f>IF(P32&gt;0,P32/O32*INDEX($N$6:$N$10,MATCH(N32,$L$11:$L$15,0)),-P32/Q32*INDEX($T$6:$T$10,MATCH(R32,$L$11:$L$15,0)))</f>
        <v>#N/A</v>
      </c>
    </row>
    <row r="34" spans="9:19" ht="14.25" customHeight="1" x14ac:dyDescent="0.2">
      <c r="I34" s="6"/>
      <c r="N34" s="1" t="e">
        <f>IF($P32&gt;0,N32,N32-1)</f>
        <v>#N/A</v>
      </c>
      <c r="O34" s="6" t="e">
        <f>IF(P32&gt;0,P33,INDEX($N$6:$N$10,MATCH(N34,$L$11:$L$15,0)))/MAX((VLOOKUP(R34,$R$11:$U$15,2,0)-VLOOKUP(N34,$L$11:$O$15,4,0)),1)</f>
        <v>#N/A</v>
      </c>
      <c r="P34" s="10" t="e">
        <f>O34-Q34</f>
        <v>#N/A</v>
      </c>
      <c r="Q34" s="6" t="e">
        <f>IF(P32&lt;0,P33,INDEX($T$6:$T$10,MATCH(R34,$L$11:$L$15,0)))/MAX((VLOOKUP(N34,$L$11:$O$15,2,0)-VLOOKUP(R34,$R$11:$U$15,4,0)),1)</f>
        <v>#N/A</v>
      </c>
      <c r="R34" s="1" t="e">
        <f>IF($P32&lt;0,R32,R32-1)</f>
        <v>#N/A</v>
      </c>
      <c r="S34" s="6" t="str">
        <f>IFERROR(IF(P34&gt;0,Q34,O34),"")</f>
        <v/>
      </c>
    </row>
    <row r="35" spans="9:19" ht="14.25" customHeight="1" x14ac:dyDescent="0.2">
      <c r="I35" s="6"/>
      <c r="P35" s="6" t="e">
        <f>IF(P34&gt;0,P34/O34*INDEX($N$6:$N$10,MATCH(N34,$L$11:$L$15,0)),-P34/Q34*INDEX($T$6:$T$10,MATCH(R34,$L$11:$L$15,0)))</f>
        <v>#N/A</v>
      </c>
    </row>
    <row r="36" spans="9:19" ht="14.25" customHeight="1" x14ac:dyDescent="0.2">
      <c r="I36" s="6"/>
      <c r="N36" s="1" t="e">
        <f>IF($P34&gt;0,N34,N34-1)</f>
        <v>#N/A</v>
      </c>
      <c r="O36" s="6" t="e">
        <f>IF(P34&gt;0,P35,INDEX($N$6:$N$10,MATCH(N36,$L$11:$L$15,0)))/MAX((VLOOKUP(R36,$R$11:$U$15,2,0)-VLOOKUP(N36,$L$11:$O$15,4,0)),1)</f>
        <v>#N/A</v>
      </c>
      <c r="P36" s="10" t="e">
        <f>O36-Q36</f>
        <v>#N/A</v>
      </c>
      <c r="Q36" s="6" t="e">
        <f>IF(P34&lt;0,P35,INDEX($T$6:$T$10,MATCH(R36,$L$11:$L$15,0)))/MAX((VLOOKUP(N36,$L$11:$O$15,2,0)-VLOOKUP(R36,$R$11:$U$15,4,0)),1)</f>
        <v>#N/A</v>
      </c>
      <c r="R36" s="1" t="e">
        <f>IF($P34&lt;0,R34,R34-1)</f>
        <v>#N/A</v>
      </c>
      <c r="S36" s="6" t="str">
        <f>IFERROR(IF(P36&gt;0,Q36,O36),"")</f>
        <v/>
      </c>
    </row>
    <row r="37" spans="9:19" ht="14.25" customHeight="1" x14ac:dyDescent="0.2">
      <c r="I37" s="6"/>
    </row>
    <row r="38" spans="9:19" ht="14.25" customHeight="1" x14ac:dyDescent="0.2">
      <c r="I38" s="6"/>
      <c r="R38" s="1" t="s">
        <v>28</v>
      </c>
      <c r="S38" s="6">
        <f>SUM(S18:S36)</f>
        <v>46.25</v>
      </c>
    </row>
    <row r="40" spans="9:19" ht="14.25" customHeight="1" x14ac:dyDescent="0.2">
      <c r="I40" s="6"/>
    </row>
    <row r="49" spans="11:21" ht="14.25" customHeight="1" x14ac:dyDescent="0.2">
      <c r="Q49" s="6"/>
      <c r="T49" s="6"/>
    </row>
    <row r="50" spans="11:21" ht="14.25" customHeight="1" x14ac:dyDescent="0.2">
      <c r="L50" s="1">
        <v>100</v>
      </c>
      <c r="M50" s="1">
        <v>10</v>
      </c>
      <c r="T50" s="6"/>
    </row>
    <row r="51" spans="11:21" ht="14.25" customHeight="1" x14ac:dyDescent="0.2">
      <c r="T51" s="6"/>
    </row>
    <row r="52" spans="11:21" ht="14.25" customHeight="1" x14ac:dyDescent="0.2">
      <c r="L52" s="1" t="s">
        <v>290</v>
      </c>
      <c r="M52" s="1">
        <f>L50/M50</f>
        <v>10</v>
      </c>
      <c r="N52" s="2" t="s">
        <v>296</v>
      </c>
    </row>
    <row r="53" spans="11:21" ht="14.25" customHeight="1" x14ac:dyDescent="0.2">
      <c r="L53" s="1" t="s">
        <v>291</v>
      </c>
      <c r="M53" s="1">
        <v>5</v>
      </c>
      <c r="N53" s="2"/>
      <c r="Q53" s="1">
        <v>5</v>
      </c>
      <c r="R53" s="1">
        <v>2</v>
      </c>
      <c r="S53" s="1">
        <f>Q53*R53</f>
        <v>10</v>
      </c>
    </row>
    <row r="54" spans="11:21" ht="14.25" customHeight="1" x14ac:dyDescent="0.2">
      <c r="L54" s="1" t="s">
        <v>292</v>
      </c>
      <c r="M54" s="1">
        <f>L50/M53</f>
        <v>20</v>
      </c>
      <c r="N54" s="2" t="s">
        <v>297</v>
      </c>
      <c r="Q54" s="1">
        <v>4</v>
      </c>
      <c r="R54" s="1">
        <v>2</v>
      </c>
      <c r="S54" s="1">
        <f t="shared" ref="S54:S57" si="3">Q54*R54</f>
        <v>8</v>
      </c>
    </row>
    <row r="55" spans="11:21" ht="14.25" customHeight="1" x14ac:dyDescent="0.2">
      <c r="L55" s="1" t="s">
        <v>293</v>
      </c>
      <c r="M55" s="1">
        <f>M54/M50</f>
        <v>2</v>
      </c>
      <c r="N55" s="2" t="s">
        <v>298</v>
      </c>
      <c r="Q55" s="1">
        <v>3</v>
      </c>
      <c r="R55" s="1">
        <v>2</v>
      </c>
      <c r="S55" s="1">
        <f t="shared" si="3"/>
        <v>6</v>
      </c>
    </row>
    <row r="56" spans="11:21" ht="14.25" customHeight="1" x14ac:dyDescent="0.2">
      <c r="L56" s="1" t="s">
        <v>294</v>
      </c>
      <c r="M56" s="1">
        <f>M53*(1+M53)/2</f>
        <v>15</v>
      </c>
      <c r="N56" s="2" t="s">
        <v>299</v>
      </c>
      <c r="Q56" s="1">
        <v>2</v>
      </c>
      <c r="R56" s="1">
        <v>2</v>
      </c>
      <c r="S56" s="1">
        <f t="shared" si="3"/>
        <v>4</v>
      </c>
    </row>
    <row r="57" spans="11:21" ht="14.25" customHeight="1" x14ac:dyDescent="0.2">
      <c r="L57" s="1" t="s">
        <v>295</v>
      </c>
      <c r="M57" s="6">
        <f>L50/(M55*M56)</f>
        <v>3.3333333333333335</v>
      </c>
      <c r="N57" s="2"/>
      <c r="Q57" s="1">
        <v>1</v>
      </c>
      <c r="R57" s="1">
        <v>2</v>
      </c>
      <c r="S57" s="1">
        <f t="shared" si="3"/>
        <v>2</v>
      </c>
    </row>
    <row r="58" spans="11:21" ht="14.25" customHeight="1" x14ac:dyDescent="0.2">
      <c r="L58" s="2" t="s">
        <v>303</v>
      </c>
    </row>
    <row r="59" spans="11:21" ht="14.25" customHeight="1" x14ac:dyDescent="0.2">
      <c r="S59" s="1">
        <f>SUM(S53:S57)</f>
        <v>30</v>
      </c>
      <c r="T59" s="6">
        <v>100</v>
      </c>
      <c r="U59" s="6">
        <f>T59/S59</f>
        <v>3.3333333333333335</v>
      </c>
    </row>
    <row r="60" spans="11:21" ht="14.25" customHeight="1" x14ac:dyDescent="0.2">
      <c r="K60" s="1" t="s">
        <v>300</v>
      </c>
      <c r="L60" s="2" t="s">
        <v>302</v>
      </c>
      <c r="N60" s="1">
        <f>L50/$M$53</f>
        <v>20</v>
      </c>
    </row>
    <row r="61" spans="11:21" ht="14.25" customHeight="1" x14ac:dyDescent="0.2">
      <c r="K61" s="1" t="s">
        <v>301</v>
      </c>
      <c r="L61" s="2" t="s">
        <v>304</v>
      </c>
      <c r="N61" s="6">
        <f>2*M50/(1+M53)</f>
        <v>3.3333333333333335</v>
      </c>
      <c r="Q61" s="1">
        <f>$U$59*Q53</f>
        <v>16.666666666666668</v>
      </c>
      <c r="S61" s="1">
        <f>Q61*R53</f>
        <v>33.333333333333336</v>
      </c>
    </row>
    <row r="62" spans="11:21" ht="14.25" customHeight="1" x14ac:dyDescent="0.2">
      <c r="Q62" s="1">
        <f>$U$59*Q54</f>
        <v>13.333333333333334</v>
      </c>
      <c r="S62" s="1">
        <f>Q62*R54</f>
        <v>26.666666666666668</v>
      </c>
    </row>
    <row r="63" spans="11:21" ht="14.25" customHeight="1" x14ac:dyDescent="0.2">
      <c r="Q63" s="1">
        <f>$U$59*Q55</f>
        <v>10</v>
      </c>
      <c r="S63" s="1">
        <f>Q63*R55</f>
        <v>20</v>
      </c>
    </row>
    <row r="64" spans="11:21" ht="14.25" customHeight="1" x14ac:dyDescent="0.2">
      <c r="Q64" s="1">
        <f>$U$59*Q56</f>
        <v>6.666666666666667</v>
      </c>
      <c r="S64" s="1">
        <f>Q64*R56</f>
        <v>13.333333333333334</v>
      </c>
    </row>
    <row r="65" spans="17:19" ht="14.25" customHeight="1" x14ac:dyDescent="0.2">
      <c r="Q65" s="1">
        <f>$U$59*Q57</f>
        <v>3.3333333333333335</v>
      </c>
      <c r="S65" s="1">
        <f>Q65*R57</f>
        <v>6.666666666666667</v>
      </c>
    </row>
    <row r="67" spans="17:19" ht="14.25" customHeight="1" x14ac:dyDescent="0.2">
      <c r="S67" s="1">
        <f>SUM(S61:S65)</f>
        <v>100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E2CF2-C5AF-4FBC-A2AC-E659AD390C3C}">
  <sheetPr codeName="Sheet2"/>
  <dimension ref="A1:Y71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H23" sqref="H23"/>
    </sheetView>
  </sheetViews>
  <sheetFormatPr defaultRowHeight="14.25" x14ac:dyDescent="0.2"/>
  <cols>
    <col min="1" max="8" width="9" style="1"/>
    <col min="9" max="9" width="2.5" style="1" customWidth="1"/>
    <col min="10" max="20" width="9" style="1"/>
    <col min="21" max="21" width="2.5" style="1" customWidth="1"/>
    <col min="22" max="16384" width="9" style="1"/>
  </cols>
  <sheetData>
    <row r="1" spans="1:25" ht="14.25" customHeight="1" x14ac:dyDescent="0.2">
      <c r="A1" s="81" t="s">
        <v>19</v>
      </c>
      <c r="B1" s="82"/>
    </row>
    <row r="2" spans="1:25" ht="14.25" customHeight="1" x14ac:dyDescent="0.2">
      <c r="A2" s="83"/>
      <c r="B2" s="84"/>
    </row>
    <row r="3" spans="1:25" x14ac:dyDescent="0.2">
      <c r="D3" s="2" t="s">
        <v>84</v>
      </c>
    </row>
    <row r="4" spans="1:25" s="3" customFormat="1" ht="14.25" customHeight="1" x14ac:dyDescent="0.2">
      <c r="C4" s="3" t="s">
        <v>25</v>
      </c>
      <c r="J4" s="3" t="s">
        <v>26</v>
      </c>
      <c r="K4" s="2" t="s">
        <v>140</v>
      </c>
      <c r="V4" s="3" t="s">
        <v>27</v>
      </c>
    </row>
    <row r="5" spans="1:25" ht="14.25" customHeight="1" x14ac:dyDescent="0.2">
      <c r="D5" s="1" t="s">
        <v>0</v>
      </c>
      <c r="E5" s="1" t="s">
        <v>3</v>
      </c>
      <c r="F5" s="1" t="s">
        <v>4</v>
      </c>
      <c r="J5" s="1" t="s">
        <v>85</v>
      </c>
      <c r="K5" s="1" t="s">
        <v>18</v>
      </c>
      <c r="L5" s="1" t="s">
        <v>15</v>
      </c>
      <c r="M5" s="1" t="s">
        <v>16</v>
      </c>
      <c r="N5" s="1" t="s">
        <v>5</v>
      </c>
      <c r="P5" s="1" t="s">
        <v>85</v>
      </c>
      <c r="Q5" s="1" t="s">
        <v>18</v>
      </c>
      <c r="R5" s="1" t="s">
        <v>15</v>
      </c>
      <c r="S5" s="1" t="s">
        <v>16</v>
      </c>
      <c r="T5" s="1" t="s">
        <v>5</v>
      </c>
      <c r="V5" s="3" t="s">
        <v>18</v>
      </c>
      <c r="W5" s="3" t="s">
        <v>221</v>
      </c>
      <c r="X5" s="3" t="s">
        <v>222</v>
      </c>
    </row>
    <row r="6" spans="1:25" ht="14.25" customHeight="1" x14ac:dyDescent="0.2">
      <c r="D6" s="1" t="s">
        <v>1</v>
      </c>
      <c r="E6" s="1" t="s">
        <v>4</v>
      </c>
      <c r="F6" s="1" t="s">
        <v>6</v>
      </c>
      <c r="J6" s="1">
        <v>1</v>
      </c>
      <c r="K6" s="1" t="s">
        <v>3</v>
      </c>
      <c r="L6" s="1">
        <f t="shared" ref="L6:N10" si="0">VLOOKUP($K6,$D$10:$G$13,MATCH(L$5,$D$10:$G$10,0),0)</f>
        <v>5</v>
      </c>
      <c r="M6" s="1">
        <f t="shared" si="0"/>
        <v>100</v>
      </c>
      <c r="N6" s="1">
        <f t="shared" si="0"/>
        <v>2</v>
      </c>
      <c r="P6" s="1">
        <v>1</v>
      </c>
      <c r="Q6" s="1" t="s">
        <v>3</v>
      </c>
      <c r="R6" s="1">
        <f t="shared" ref="R6:T10" si="1">VLOOKUP($Q6,$D$10:$G$13,MATCH(R$5,$D$10:$G$10,0),0)</f>
        <v>5</v>
      </c>
      <c r="S6" s="1">
        <f t="shared" si="1"/>
        <v>100</v>
      </c>
      <c r="T6" s="1">
        <f t="shared" si="1"/>
        <v>2</v>
      </c>
      <c r="V6" s="11" t="s">
        <v>3</v>
      </c>
      <c r="W6" s="1">
        <v>2</v>
      </c>
      <c r="X6" s="1">
        <v>3</v>
      </c>
    </row>
    <row r="7" spans="1:25" ht="14.25" customHeight="1" x14ac:dyDescent="0.2">
      <c r="D7" s="1" t="s">
        <v>2</v>
      </c>
      <c r="E7" s="1" t="s">
        <v>5</v>
      </c>
      <c r="F7" s="1" t="s">
        <v>7</v>
      </c>
      <c r="J7" s="1">
        <v>1</v>
      </c>
      <c r="K7" s="1" t="s">
        <v>4</v>
      </c>
      <c r="L7" s="1">
        <f t="shared" si="0"/>
        <v>10</v>
      </c>
      <c r="M7" s="1">
        <f t="shared" si="0"/>
        <v>40</v>
      </c>
      <c r="N7" s="1">
        <f t="shared" si="0"/>
        <v>0</v>
      </c>
      <c r="P7" s="1">
        <v>1</v>
      </c>
      <c r="Q7" s="1" t="s">
        <v>3</v>
      </c>
      <c r="R7" s="1">
        <f t="shared" si="1"/>
        <v>5</v>
      </c>
      <c r="S7" s="1">
        <f t="shared" si="1"/>
        <v>100</v>
      </c>
      <c r="T7" s="1">
        <f t="shared" si="1"/>
        <v>2</v>
      </c>
      <c r="V7" s="1" t="s">
        <v>4</v>
      </c>
      <c r="W7" s="1">
        <v>1</v>
      </c>
      <c r="X7" s="12">
        <v>3</v>
      </c>
    </row>
    <row r="8" spans="1:25" ht="14.25" customHeight="1" x14ac:dyDescent="0.2">
      <c r="D8" s="2" t="s">
        <v>30</v>
      </c>
      <c r="J8" s="1">
        <v>2</v>
      </c>
      <c r="K8" s="1" t="s">
        <v>3</v>
      </c>
      <c r="L8" s="1">
        <f t="shared" si="0"/>
        <v>5</v>
      </c>
      <c r="M8" s="1">
        <f t="shared" si="0"/>
        <v>100</v>
      </c>
      <c r="N8" s="1">
        <f t="shared" si="0"/>
        <v>2</v>
      </c>
      <c r="P8" s="1">
        <v>2</v>
      </c>
      <c r="Q8" s="1" t="s">
        <v>3</v>
      </c>
      <c r="R8" s="1">
        <f t="shared" si="1"/>
        <v>5</v>
      </c>
      <c r="S8" s="1">
        <f t="shared" si="1"/>
        <v>100</v>
      </c>
      <c r="T8" s="1">
        <f t="shared" si="1"/>
        <v>2</v>
      </c>
      <c r="V8" s="1" t="s">
        <v>5</v>
      </c>
      <c r="W8" s="1">
        <v>0</v>
      </c>
      <c r="X8" s="1">
        <v>2</v>
      </c>
    </row>
    <row r="9" spans="1:25" ht="14.25" customHeight="1" x14ac:dyDescent="0.2">
      <c r="J9" s="1">
        <v>2</v>
      </c>
      <c r="K9" s="1" t="s">
        <v>4</v>
      </c>
      <c r="L9" s="1">
        <f t="shared" si="0"/>
        <v>10</v>
      </c>
      <c r="M9" s="1">
        <f t="shared" si="0"/>
        <v>40</v>
      </c>
      <c r="N9" s="1">
        <f t="shared" si="0"/>
        <v>0</v>
      </c>
      <c r="P9" s="1">
        <v>2</v>
      </c>
      <c r="Q9" s="1" t="s">
        <v>3</v>
      </c>
      <c r="R9" s="1">
        <f t="shared" si="1"/>
        <v>5</v>
      </c>
      <c r="S9" s="1">
        <f t="shared" si="1"/>
        <v>100</v>
      </c>
      <c r="T9" s="1">
        <f t="shared" si="1"/>
        <v>2</v>
      </c>
      <c r="V9" s="2" t="s">
        <v>87</v>
      </c>
    </row>
    <row r="10" spans="1:25" ht="14.25" customHeight="1" x14ac:dyDescent="0.2">
      <c r="D10" s="3" t="s">
        <v>18</v>
      </c>
      <c r="E10" s="3" t="s">
        <v>15</v>
      </c>
      <c r="F10" s="3" t="s">
        <v>16</v>
      </c>
      <c r="G10" s="3" t="s">
        <v>5</v>
      </c>
      <c r="J10" s="1">
        <v>0</v>
      </c>
      <c r="K10" s="1" t="s">
        <v>5</v>
      </c>
      <c r="L10" s="1">
        <f t="shared" si="0"/>
        <v>4</v>
      </c>
      <c r="M10" s="1">
        <f t="shared" si="0"/>
        <v>50</v>
      </c>
      <c r="N10" s="1">
        <f t="shared" si="0"/>
        <v>6</v>
      </c>
      <c r="P10" s="1">
        <v>0</v>
      </c>
      <c r="Q10" s="1" t="s">
        <v>3</v>
      </c>
      <c r="R10" s="1">
        <f t="shared" si="1"/>
        <v>5</v>
      </c>
      <c r="S10" s="1">
        <f t="shared" si="1"/>
        <v>100</v>
      </c>
      <c r="T10" s="1">
        <f t="shared" si="1"/>
        <v>2</v>
      </c>
    </row>
    <row r="11" spans="1:25" ht="14.25" customHeight="1" x14ac:dyDescent="0.2">
      <c r="D11" s="1" t="s">
        <v>3</v>
      </c>
      <c r="E11" s="6">
        <v>5</v>
      </c>
      <c r="F11" s="6">
        <v>100</v>
      </c>
      <c r="G11" s="6">
        <v>2</v>
      </c>
      <c r="I11" s="6"/>
    </row>
    <row r="12" spans="1:25" ht="14.25" customHeight="1" x14ac:dyDescent="0.2">
      <c r="D12" s="1" t="s">
        <v>4</v>
      </c>
      <c r="E12" s="6">
        <v>10</v>
      </c>
      <c r="F12" s="6">
        <v>40</v>
      </c>
      <c r="G12" s="6">
        <v>0</v>
      </c>
      <c r="I12" s="6"/>
      <c r="K12" s="1">
        <v>2</v>
      </c>
      <c r="L12" s="1">
        <f>SUM(L6:L$7)+L$10/2</f>
        <v>17</v>
      </c>
      <c r="M12" s="1">
        <f>SUM(M6:M$7)</f>
        <v>140</v>
      </c>
      <c r="N12" s="1">
        <f>SUM(N6:N$7)+N$10/2</f>
        <v>5</v>
      </c>
      <c r="Q12" s="1">
        <v>2</v>
      </c>
      <c r="R12" s="1">
        <f>SUM(R6:R$7)+R$10/2</f>
        <v>12.5</v>
      </c>
      <c r="S12" s="1">
        <f>SUM(S6:S$7)</f>
        <v>200</v>
      </c>
      <c r="T12" s="1">
        <f>SUM(T6:T$7)+T$10/2</f>
        <v>5</v>
      </c>
    </row>
    <row r="13" spans="1:25" ht="14.25" customHeight="1" x14ac:dyDescent="0.2">
      <c r="D13" s="1" t="s">
        <v>5</v>
      </c>
      <c r="E13" s="6">
        <v>4</v>
      </c>
      <c r="F13" s="6">
        <v>50</v>
      </c>
      <c r="G13" s="6">
        <v>6</v>
      </c>
      <c r="I13" s="6"/>
      <c r="K13" s="1">
        <v>1</v>
      </c>
      <c r="L13" s="1">
        <f>SUM(L7:L$7)+L$10/2</f>
        <v>12</v>
      </c>
      <c r="M13" s="1">
        <f>SUM(M7:M$7)</f>
        <v>40</v>
      </c>
      <c r="N13" s="1">
        <f>SUM(N7:N$7)+N$10/2</f>
        <v>3</v>
      </c>
      <c r="Q13" s="1">
        <v>1</v>
      </c>
      <c r="R13" s="1">
        <f>SUM(R7:R$7)+R$10/2</f>
        <v>7.5</v>
      </c>
      <c r="S13" s="1">
        <f>SUM(S7:S$7)</f>
        <v>100</v>
      </c>
      <c r="T13" s="1">
        <f>SUM(T7:T$7)+T$10/2</f>
        <v>3</v>
      </c>
    </row>
    <row r="14" spans="1:25" ht="14.25" customHeight="1" x14ac:dyDescent="0.2">
      <c r="I14" s="6"/>
      <c r="K14" s="1">
        <v>2</v>
      </c>
      <c r="L14" s="1">
        <f>SUM(L8:L$9)+L$10/2</f>
        <v>17</v>
      </c>
      <c r="M14" s="1">
        <f>SUM(M8:M$9)</f>
        <v>140</v>
      </c>
      <c r="N14" s="1">
        <f>SUM(N8:N$9)+N$10/2</f>
        <v>5</v>
      </c>
      <c r="Q14" s="1">
        <v>2</v>
      </c>
      <c r="R14" s="1">
        <f>SUM(R8:R$9)+R$10/2</f>
        <v>12.5</v>
      </c>
      <c r="S14" s="1">
        <f>SUM(S8:S$9)</f>
        <v>200</v>
      </c>
      <c r="T14" s="1">
        <f>SUM(T8:T$9)+T$10/2</f>
        <v>5</v>
      </c>
    </row>
    <row r="15" spans="1:25" s="3" customFormat="1" ht="14.25" customHeight="1" x14ac:dyDescent="0.2">
      <c r="C15" s="3" t="s">
        <v>223</v>
      </c>
      <c r="I15" s="6"/>
      <c r="K15" s="1">
        <v>1</v>
      </c>
      <c r="L15" s="1">
        <f>SUM(L9:L$9)+L$10/2</f>
        <v>12</v>
      </c>
      <c r="M15" s="1">
        <f>SUM(M9:M$9)</f>
        <v>40</v>
      </c>
      <c r="N15" s="1">
        <f>SUM(N9:N$9)+N$10/2</f>
        <v>3</v>
      </c>
      <c r="Q15" s="1">
        <v>1</v>
      </c>
      <c r="R15" s="1">
        <f>SUM(R9:R$9)+R$10/2</f>
        <v>7.5</v>
      </c>
      <c r="S15" s="1">
        <f>SUM(S9:S$9)</f>
        <v>100</v>
      </c>
      <c r="T15" s="1">
        <f>SUM(T9:T$9)+T$10/2</f>
        <v>3</v>
      </c>
      <c r="W15" s="3">
        <v>5</v>
      </c>
      <c r="X15" s="3">
        <v>100</v>
      </c>
      <c r="Y15" s="3">
        <v>2</v>
      </c>
    </row>
    <row r="16" spans="1:25" ht="14.25" customHeight="1" x14ac:dyDescent="0.2">
      <c r="C16" s="3" t="s">
        <v>224</v>
      </c>
      <c r="D16" s="3" t="s">
        <v>225</v>
      </c>
      <c r="E16" s="3" t="s">
        <v>153</v>
      </c>
      <c r="F16" s="3" t="s">
        <v>154</v>
      </c>
      <c r="G16" s="3" t="s">
        <v>129</v>
      </c>
      <c r="K16" s="1">
        <v>1</v>
      </c>
      <c r="L16" s="1">
        <f>L10</f>
        <v>4</v>
      </c>
      <c r="M16" s="1">
        <f>M10</f>
        <v>50</v>
      </c>
      <c r="N16" s="1">
        <f>IF(K10="治疗",0,N10)</f>
        <v>0</v>
      </c>
      <c r="Q16" s="1">
        <v>1</v>
      </c>
      <c r="R16" s="1">
        <f>R10</f>
        <v>5</v>
      </c>
      <c r="S16" s="1">
        <f>S10</f>
        <v>100</v>
      </c>
      <c r="T16" s="1">
        <f>IF(Q10="治疗",0,T10)</f>
        <v>2</v>
      </c>
      <c r="W16" s="1">
        <v>10</v>
      </c>
      <c r="X16" s="1">
        <v>40</v>
      </c>
      <c r="Y16" s="1">
        <v>0</v>
      </c>
    </row>
    <row r="17" spans="3:25" ht="14.25" customHeight="1" x14ac:dyDescent="0.2">
      <c r="C17" s="44" t="s">
        <v>226</v>
      </c>
      <c r="D17" s="1" t="s">
        <v>127</v>
      </c>
      <c r="E17" s="1">
        <f t="shared" ref="E17:G21" si="2">VLOOKUP($D17,$D$10:$G$13,MATCH(E$16,$D$10:$G$10,0),0)</f>
        <v>5</v>
      </c>
      <c r="F17" s="1">
        <f t="shared" si="2"/>
        <v>100</v>
      </c>
      <c r="G17" s="1">
        <f t="shared" si="2"/>
        <v>2</v>
      </c>
      <c r="J17" s="3"/>
      <c r="W17" s="1">
        <v>4</v>
      </c>
      <c r="X17" s="1">
        <v>50</v>
      </c>
      <c r="Y17" s="1">
        <v>6</v>
      </c>
    </row>
    <row r="18" spans="3:25" ht="14.25" customHeight="1" x14ac:dyDescent="0.2">
      <c r="C18" s="1" t="s">
        <v>227</v>
      </c>
      <c r="D18" s="1" t="s">
        <v>128</v>
      </c>
      <c r="E18" s="1">
        <f t="shared" si="2"/>
        <v>10</v>
      </c>
      <c r="F18" s="1">
        <f t="shared" si="2"/>
        <v>40</v>
      </c>
      <c r="G18" s="1">
        <f t="shared" si="2"/>
        <v>0</v>
      </c>
      <c r="H18" s="2"/>
      <c r="O18" s="3">
        <f>M51-Q51</f>
        <v>3</v>
      </c>
      <c r="P18" s="3"/>
    </row>
    <row r="19" spans="3:25" ht="14.25" customHeight="1" x14ac:dyDescent="0.2">
      <c r="C19" s="1" t="s">
        <v>228</v>
      </c>
      <c r="D19" s="1" t="s">
        <v>127</v>
      </c>
      <c r="E19" s="1">
        <f t="shared" si="2"/>
        <v>5</v>
      </c>
      <c r="F19" s="1">
        <f t="shared" si="2"/>
        <v>100</v>
      </c>
      <c r="G19" s="1">
        <f t="shared" si="2"/>
        <v>2</v>
      </c>
      <c r="K19" s="2" t="s">
        <v>29</v>
      </c>
      <c r="R19" s="34">
        <f>MAX(R29,R39)+R52</f>
        <v>22.142857142857146</v>
      </c>
    </row>
    <row r="20" spans="3:25" ht="14.25" customHeight="1" x14ac:dyDescent="0.2">
      <c r="C20" s="1" t="s">
        <v>229</v>
      </c>
      <c r="D20" s="1" t="s">
        <v>128</v>
      </c>
      <c r="E20" s="1">
        <f t="shared" si="2"/>
        <v>10</v>
      </c>
      <c r="F20" s="1">
        <f t="shared" si="2"/>
        <v>40</v>
      </c>
      <c r="G20" s="1">
        <f t="shared" si="2"/>
        <v>0</v>
      </c>
      <c r="L20" s="1" t="s">
        <v>138</v>
      </c>
      <c r="M20" s="1" t="s">
        <v>24</v>
      </c>
      <c r="Q20" s="1" t="s">
        <v>24</v>
      </c>
    </row>
    <row r="21" spans="3:25" ht="14.25" customHeight="1" x14ac:dyDescent="0.2">
      <c r="C21" s="1">
        <v>0</v>
      </c>
      <c r="D21" s="1" t="s">
        <v>129</v>
      </c>
      <c r="E21" s="1">
        <f t="shared" si="2"/>
        <v>4</v>
      </c>
      <c r="F21" s="1">
        <f t="shared" si="2"/>
        <v>50</v>
      </c>
      <c r="G21" s="1">
        <f t="shared" si="2"/>
        <v>6</v>
      </c>
      <c r="M21" s="1">
        <v>2</v>
      </c>
      <c r="N21" s="6">
        <f>INDEX($M$6:$M$7,MATCH(M21,$K$12:$K$13,0))/MAX((VLOOKUP(Q21,$Q$12:$T$13,2,0)-VLOOKUP(M21,$K$12:$N$13,4,0)),1)</f>
        <v>13.333333333333334</v>
      </c>
      <c r="O21" s="10">
        <f>N21-P21</f>
        <v>5</v>
      </c>
      <c r="P21" s="6">
        <f>INDEX($S$6:$S$7,MATCH(Q21,$K$12:$K$13,0))/MAX((VLOOKUP(M21,$K$12:$N$13,2,0)-VLOOKUP(Q21,$Q$12:$T$13,4,0)),1)</f>
        <v>8.3333333333333339</v>
      </c>
      <c r="Q21" s="1">
        <v>2</v>
      </c>
      <c r="R21" s="6">
        <f>IFERROR(IF(O21&gt;0,P21,N21),"")</f>
        <v>8.3333333333333339</v>
      </c>
      <c r="S21" s="8"/>
    </row>
    <row r="22" spans="3:25" ht="14.25" customHeight="1" x14ac:dyDescent="0.2">
      <c r="H22" s="9"/>
      <c r="I22" s="9"/>
      <c r="N22" s="15">
        <f>IFERROR(VLOOKUP(M21,K$12:N$13,2,0),0)</f>
        <v>17</v>
      </c>
      <c r="O22" s="6">
        <f>IFERROR(IF(O21&gt;0,O21/N21*INDEX($M$6:$M$7,MATCH(M21,$K$12:$K$13,0)),-O21/P21*INDEX($S$6:$S$7,MATCH(Q21,$K$12:$K$13,0))),O20)</f>
        <v>37.5</v>
      </c>
      <c r="P22" s="15">
        <f>IFERROR(VLOOKUP(Q21,Q$12:T$13,2,0),0)</f>
        <v>12.5</v>
      </c>
    </row>
    <row r="23" spans="3:25" ht="14.25" customHeight="1" x14ac:dyDescent="0.2">
      <c r="D23" s="1">
        <v>2</v>
      </c>
      <c r="E23" s="1">
        <f>E18+E17+E21/2</f>
        <v>17</v>
      </c>
      <c r="F23" s="1">
        <f>F17+F18</f>
        <v>140</v>
      </c>
      <c r="G23" s="1">
        <f>G17+G21/2</f>
        <v>5</v>
      </c>
      <c r="H23" s="9">
        <f>F17/(E23-G23)</f>
        <v>8.3333333333333339</v>
      </c>
      <c r="I23" s="9"/>
      <c r="M23" s="1">
        <f>IF($O21&gt;0,M21,M21-1)</f>
        <v>2</v>
      </c>
      <c r="N23" s="6">
        <f>IFERROR(IF(O21&gt;0,O22,INDEX($M$6:$M$7,MATCH(M23,$K$12:$K$13,0)))/MAX((VLOOKUP(Q23,$Q$12:$T$13,2,0)-VLOOKUP(M23,$K$12:$N$13,4,0)),1),0)</f>
        <v>15</v>
      </c>
      <c r="O23" s="10">
        <f>N23-P23</f>
        <v>7.8571428571428568</v>
      </c>
      <c r="P23" s="6">
        <f>IFERROR(IF(O21&lt;0,O22,INDEX($S$6:$S$7,MATCH(Q23,$K$12:$K$13,0)))/MAX((VLOOKUP(M23,$K$12:$N$13,2,0)-VLOOKUP(Q23,$Q$12:$T$13,4,0)),1),0)</f>
        <v>7.1428571428571432</v>
      </c>
      <c r="Q23" s="1">
        <f>IF($O21&lt;0,Q21,Q21-1)</f>
        <v>1</v>
      </c>
      <c r="R23" s="6">
        <f>IFERROR(IF(O23&gt;0,P23,N23),"")</f>
        <v>7.1428571428571432</v>
      </c>
    </row>
    <row r="24" spans="3:25" ht="14.25" customHeight="1" x14ac:dyDescent="0.2">
      <c r="D24" s="1">
        <v>1</v>
      </c>
      <c r="E24" s="1">
        <f>E18</f>
        <v>10</v>
      </c>
      <c r="F24" s="1">
        <f>F18</f>
        <v>40</v>
      </c>
      <c r="G24" s="1">
        <f>G21/2</f>
        <v>3</v>
      </c>
      <c r="H24" s="9">
        <f>F18/(E24+G24)</f>
        <v>3.0769230769230771</v>
      </c>
      <c r="I24" s="9"/>
      <c r="N24" s="15">
        <f>IFERROR(VLOOKUP(M23,K$12:N$13,2,0),0)</f>
        <v>17</v>
      </c>
      <c r="O24" s="6">
        <f>IFERROR(IF(O23&gt;0,O23/N23*INDEX($M$6:$M$7,MATCH(M23,$K$12:$K$13,0)),-O23/P23*INDEX($S$6:$S$7,MATCH(Q23,$K$12:$K$13,0))),O22)</f>
        <v>52.380952380952387</v>
      </c>
      <c r="P24" s="15">
        <f>IFERROR(VLOOKUP(Q23,Q$12:T$13,2,0),0)</f>
        <v>7.5</v>
      </c>
    </row>
    <row r="25" spans="3:25" ht="14.25" customHeight="1" x14ac:dyDescent="0.2">
      <c r="D25" s="1">
        <v>0</v>
      </c>
      <c r="E25" s="1">
        <f>E21</f>
        <v>4</v>
      </c>
      <c r="F25" s="1">
        <f>F21</f>
        <v>50</v>
      </c>
      <c r="G25" s="1">
        <v>0</v>
      </c>
      <c r="H25" s="1">
        <f>F21/(E25-G25)</f>
        <v>12.5</v>
      </c>
      <c r="M25" s="1">
        <f>IF($O23&gt;0,M23,M23-1)</f>
        <v>2</v>
      </c>
      <c r="N25" s="6">
        <f>IFERROR(IF(O23&gt;0,O24,INDEX($M$6:$M$7,MATCH(M25,$K$12:$K$13,0)))/MAX((VLOOKUP(Q25,$Q$12:$T$13,2,0)-VLOOKUP(M25,$K$12:$N$13,4,0)),1),0)</f>
        <v>0</v>
      </c>
      <c r="O25" s="10">
        <f>N25-P25</f>
        <v>0</v>
      </c>
      <c r="P25" s="6">
        <f>IFERROR(IF(O23&lt;0,O24,INDEX($S$6:$S$7,MATCH(Q25,$K$12:$K$13,0)))/MAX((VLOOKUP(M25,$K$12:$N$13,2,0)-VLOOKUP(Q25,$Q$12:$T$13,4,0)),1),0)</f>
        <v>0</v>
      </c>
      <c r="Q25" s="1">
        <f>IF($O23&lt;0,Q23,Q23-1)</f>
        <v>0</v>
      </c>
      <c r="R25" s="6">
        <f>IFERROR(IF(O25&gt;0,P25,N25),"")</f>
        <v>0</v>
      </c>
    </row>
    <row r="26" spans="3:25" ht="14.25" customHeight="1" x14ac:dyDescent="0.2">
      <c r="N26" s="15">
        <f>IFERROR(VLOOKUP(M25,K$12:N$13,2,0),0)</f>
        <v>17</v>
      </c>
      <c r="O26" s="6">
        <f>IFERROR(IF(O25&gt;0,O25/N25*INDEX($M$6:$M$7,MATCH(M25,$K$12:$K$13,0)),-O25/P25*INDEX($S$6:$S$7,MATCH(Q25,$K$12:$K$13,0))),O24)</f>
        <v>52.380952380952387</v>
      </c>
      <c r="P26" s="15">
        <f>IFERROR(VLOOKUP(Q25,Q$12:T$13,2,0),0)</f>
        <v>0</v>
      </c>
    </row>
    <row r="27" spans="3:25" ht="14.25" customHeight="1" x14ac:dyDescent="0.2">
      <c r="C27" s="3"/>
      <c r="E27" s="1" t="s">
        <v>15</v>
      </c>
      <c r="F27" s="3"/>
      <c r="G27" s="3"/>
      <c r="M27" s="1">
        <f>IF($O25&gt;0,M25,M25-1)</f>
        <v>1</v>
      </c>
      <c r="N27" s="6">
        <f>IFERROR(IF(O25&gt;0,O26,INDEX($M$6:$M$7,MATCH(M27,$K$12:$K$13,0)))/MAX((VLOOKUP(Q27,$Q$12:$T$13,2,0)-VLOOKUP(M27,$K$12:$N$13,4,0)),1),0)</f>
        <v>0</v>
      </c>
      <c r="O27" s="10">
        <f>N27-P27</f>
        <v>0</v>
      </c>
      <c r="P27" s="6">
        <f>IFERROR(IF(O25&lt;0,O26,INDEX($S$6:$S$7,MATCH(Q27,$K$12:$K$13,0)))/MAX((VLOOKUP(M27,$K$12:$N$13,2,0)-VLOOKUP(Q27,$Q$12:$T$13,4,0)),1),0)</f>
        <v>0</v>
      </c>
      <c r="Q27" s="1">
        <f>IF($O25&lt;0,Q25,Q25-1)</f>
        <v>-1</v>
      </c>
      <c r="R27" s="6">
        <f>IFERROR(IF(O27&gt;0,P27,N27),"")</f>
        <v>0</v>
      </c>
    </row>
    <row r="28" spans="3:25" ht="14.25" customHeight="1" x14ac:dyDescent="0.2">
      <c r="D28" s="1" t="s">
        <v>127</v>
      </c>
      <c r="E28" s="8">
        <f>H23*E17</f>
        <v>41.666666666666671</v>
      </c>
      <c r="F28" s="5">
        <f>E28/SUM($E$28:$E$32)</f>
        <v>0.10232997481108314</v>
      </c>
      <c r="M28" s="15">
        <f>IFERROR(VLOOKUP(M27,K$12:N$13,4,0),0)</f>
        <v>3</v>
      </c>
      <c r="N28" s="15">
        <f>IFERROR(VLOOKUP(M27,K$12:N$13,2,0),0)</f>
        <v>12</v>
      </c>
      <c r="O28" s="6">
        <f>IFERROR(IF(O27&gt;0,O27/N27*INDEX($M$6:$M$7,MATCH(M27,$K$12:$K$13,0)),-O27/P27*INDEX($S$6:$S$7,MATCH(Q27,$K$12:$K$13,0))),O26)</f>
        <v>52.380952380952387</v>
      </c>
      <c r="P28" s="15">
        <f>IFERROR(VLOOKUP(Q27,Q$12:T$13,2,0),0)</f>
        <v>0</v>
      </c>
      <c r="Q28" s="15">
        <f>IFERROR(VLOOKUP(Q27,Q$12:T$13,4,0),0)</f>
        <v>0</v>
      </c>
    </row>
    <row r="29" spans="3:25" ht="14.25" customHeight="1" x14ac:dyDescent="0.2">
      <c r="D29" s="1" t="s">
        <v>128</v>
      </c>
      <c r="E29" s="8">
        <f>H24*E18+E18*H23</f>
        <v>114.10256410256412</v>
      </c>
      <c r="F29" s="5">
        <f t="shared" ref="F29:F32" si="3">E29/SUM($E$28:$E$32)</f>
        <v>0.28022670025188923</v>
      </c>
      <c r="M29" s="1">
        <f>MAX(M27-Q27,0)</f>
        <v>2</v>
      </c>
      <c r="N29" s="6"/>
      <c r="O29" s="10"/>
      <c r="P29" s="6"/>
      <c r="Q29" s="1">
        <f>MAX(Q27-M27,0)</f>
        <v>0</v>
      </c>
      <c r="R29" s="6">
        <f>SUM(R21:R27)</f>
        <v>15.476190476190478</v>
      </c>
    </row>
    <row r="30" spans="3:25" ht="14.25" customHeight="1" x14ac:dyDescent="0.2">
      <c r="D30" s="1" t="s">
        <v>127</v>
      </c>
      <c r="E30" s="8">
        <f>E28</f>
        <v>41.666666666666671</v>
      </c>
      <c r="F30" s="5">
        <f t="shared" si="3"/>
        <v>0.10232997481108314</v>
      </c>
      <c r="L30" s="1" t="s">
        <v>139</v>
      </c>
      <c r="M30" s="1" t="s">
        <v>24</v>
      </c>
      <c r="N30" s="15">
        <f>IFERROR(VLOOKUP(M29,K$12:N$13,2,0),0)</f>
        <v>17</v>
      </c>
      <c r="P30" s="15">
        <f>IFERROR(VLOOKUP(Q29,Q$12:T$13,2,0),0)</f>
        <v>0</v>
      </c>
      <c r="Q30" s="1" t="s">
        <v>24</v>
      </c>
    </row>
    <row r="31" spans="3:25" ht="14.25" customHeight="1" x14ac:dyDescent="0.2">
      <c r="D31" s="1" t="s">
        <v>128</v>
      </c>
      <c r="E31" s="8">
        <f>E29</f>
        <v>114.10256410256412</v>
      </c>
      <c r="F31" s="5">
        <f t="shared" si="3"/>
        <v>0.28022670025188923</v>
      </c>
      <c r="M31" s="1">
        <v>2</v>
      </c>
      <c r="N31" s="6">
        <f>INDEX($M$8:$M$9,MATCH(M31,$K$14:$K$15,0))/MAX((VLOOKUP(Q31,$Q$14:$T$15,2,0)-VLOOKUP(M31,$K$14:$N$15,4,0)),1)</f>
        <v>13.333333333333334</v>
      </c>
      <c r="O31" s="10">
        <f>N31-P31</f>
        <v>5</v>
      </c>
      <c r="P31" s="6">
        <f>INDEX($S$8:$S$9,MATCH(Q31,$K$14:$K$15,0))/MAX((VLOOKUP(M31,$K$14:$N$15,2,0)-VLOOKUP(Q31,$Q$14:$T$15,4,0)),1)</f>
        <v>8.3333333333333339</v>
      </c>
      <c r="Q31" s="1">
        <v>2</v>
      </c>
      <c r="R31" s="6">
        <f>IFERROR(IF(O31&gt;0,P31,N31),"")</f>
        <v>8.3333333333333339</v>
      </c>
    </row>
    <row r="32" spans="3:25" ht="14.25" customHeight="1" x14ac:dyDescent="0.2">
      <c r="D32" s="1" t="s">
        <v>129</v>
      </c>
      <c r="E32" s="8">
        <f>E21*SUM(H23:H25)</f>
        <v>95.641025641025635</v>
      </c>
      <c r="F32" s="5">
        <f t="shared" si="3"/>
        <v>0.23488664987405539</v>
      </c>
      <c r="N32" s="15">
        <f>IFERROR(VLOOKUP(M31,K$14:N$15,2,0),0)</f>
        <v>17</v>
      </c>
      <c r="O32" s="6">
        <f>IFERROR(IF(O31&gt;0,O31/N31*INDEX($M$8:$M$9,MATCH(M31,$K$14:$K$15,0)),-O31/P31*INDEX($S$8:$S$9,MATCH(Q31,$K$14:$K$15,0))),O30)</f>
        <v>37.5</v>
      </c>
      <c r="P32" s="15">
        <f>IFERROR(VLOOKUP(Q31,Q$14:T$15,2,0),0)</f>
        <v>12.5</v>
      </c>
    </row>
    <row r="33" spans="3:18" ht="14.25" customHeight="1" x14ac:dyDescent="0.2">
      <c r="C33" s="7"/>
      <c r="M33" s="1">
        <f>IF($O31&gt;0,M31,M31-1)</f>
        <v>2</v>
      </c>
      <c r="N33" s="6">
        <f>IFERROR(IF(O31&gt;0,O32,INDEX($M$8:$M$9,MATCH(M33,$K$14:$K$15,0)))/MAX((VLOOKUP(Q33,$Q$14:$T$15,2,0)-VLOOKUP(M33,$K$14:$N$15,4,0)),1),0)</f>
        <v>15</v>
      </c>
      <c r="O33" s="10">
        <f>N33-P33</f>
        <v>7.8571428571428568</v>
      </c>
      <c r="P33" s="6">
        <f>IFERROR(IF(O31&lt;0,O32,INDEX($S$8:$S$9,MATCH(Q33,$K$14:$K$15,0)))/MAX((VLOOKUP(M33,$K$14:$N$15,2,0)-VLOOKUP(Q33,$Q$14:$T$15,4,0)),1),0)</f>
        <v>7.1428571428571432</v>
      </c>
      <c r="Q33" s="1">
        <f>IF($O31&lt;0,Q31,Q31-1)</f>
        <v>1</v>
      </c>
      <c r="R33" s="6">
        <f>IFERROR(IF(O33&gt;0,P33,N33),"")</f>
        <v>7.1428571428571432</v>
      </c>
    </row>
    <row r="34" spans="3:18" ht="14.25" customHeight="1" x14ac:dyDescent="0.2">
      <c r="D34" s="1" t="s">
        <v>127</v>
      </c>
      <c r="E34" s="36">
        <f>F30+F28</f>
        <v>0.20465994962216627</v>
      </c>
      <c r="H34" s="6"/>
      <c r="N34" s="15">
        <f>IFERROR(VLOOKUP(M33,K$14:N$15,2,0),0)</f>
        <v>17</v>
      </c>
      <c r="O34" s="6">
        <f>IFERROR(IF(O33&gt;0,O33/N33*INDEX($M$8:$M$9,MATCH(M33,$K$14:$K$15,0)),-O33/P33*INDEX($S$8:$S$9,MATCH(Q33,$K$14:$K$15,0))),O32)</f>
        <v>52.380952380952387</v>
      </c>
      <c r="P34" s="15">
        <f>IFERROR(VLOOKUP(Q33,Q$14:T$15,2,0),0)</f>
        <v>7.5</v>
      </c>
    </row>
    <row r="35" spans="3:18" ht="14.25" customHeight="1" x14ac:dyDescent="0.2">
      <c r="D35" s="1" t="s">
        <v>128</v>
      </c>
      <c r="E35" s="36">
        <f>F31+F29</f>
        <v>0.56045340050377845</v>
      </c>
      <c r="H35" s="6"/>
      <c r="M35" s="1">
        <f>IF($O33&gt;0,M33,M33-1)</f>
        <v>2</v>
      </c>
      <c r="N35" s="6">
        <f>IFERROR(IF(O33&gt;0,O34,INDEX($M$8:$M$9,MATCH(M35,$K$14:$K$15,0)))/MAX((VLOOKUP(Q35,$Q$14:$T$15,2,0)-VLOOKUP(M35,$K$14:$N$15,4,0)),1),0)</f>
        <v>0</v>
      </c>
      <c r="O35" s="10">
        <f>N35-P35</f>
        <v>0</v>
      </c>
      <c r="P35" s="6">
        <f>IFERROR(IF(O33&lt;0,O34,INDEX($S$8:$S$9,MATCH(Q35,$K$14:$K$15,0)))/MAX((VLOOKUP(M35,$K$14:$N$15,2,0)-VLOOKUP(Q35,$Q$14:$T$15,4,0)),1),0)</f>
        <v>0</v>
      </c>
      <c r="Q35" s="1">
        <f>IF($O33&lt;0,Q33,Q33-1)</f>
        <v>0</v>
      </c>
      <c r="R35" s="6">
        <f>IFERROR(IF(O35&gt;0,P35,N35),"")</f>
        <v>0</v>
      </c>
    </row>
    <row r="36" spans="3:18" ht="14.25" customHeight="1" x14ac:dyDescent="0.2">
      <c r="D36" s="1" t="s">
        <v>129</v>
      </c>
      <c r="E36" s="36">
        <f>F32</f>
        <v>0.23488664987405539</v>
      </c>
      <c r="H36" s="6"/>
      <c r="N36" s="15">
        <f>IFERROR(VLOOKUP(M35,K$14:N$15,2,0),0)</f>
        <v>17</v>
      </c>
      <c r="O36" s="6">
        <f>IFERROR(IF(O35&gt;0,O35/N35*INDEX($M$8:$M$9,MATCH(M35,$K$14:$K$15,0)),-O35/P35*INDEX($S$8:$S$9,MATCH(Q35,$K$14:$K$15,0))),O34)</f>
        <v>52.380952380952387</v>
      </c>
      <c r="P36" s="15">
        <f>IFERROR(VLOOKUP(Q35,Q$14:T$15,2,0),0)</f>
        <v>0</v>
      </c>
    </row>
    <row r="37" spans="3:18" ht="14.25" customHeight="1" x14ac:dyDescent="0.2">
      <c r="H37" s="6"/>
      <c r="M37" s="1">
        <f>IF($O35&gt;0,M35,M35-1)</f>
        <v>1</v>
      </c>
      <c r="N37" s="6">
        <f>IFERROR(IF(O35&gt;0,O36,INDEX($M$8:$M$9,MATCH(M37,$K$14:$K$15,0)))/MAX((VLOOKUP(Q37,$Q$14:$T$15,2,0)-VLOOKUP(M37,$K$14:$N$15,4,0)),1),0)</f>
        <v>0</v>
      </c>
      <c r="O37" s="10">
        <f>N37-P37</f>
        <v>0</v>
      </c>
      <c r="P37" s="6">
        <f>IFERROR(IF(O35&lt;0,O36,INDEX($S$8:$S$9,MATCH(Q37,$K$14:$K$15,0)))/MAX((VLOOKUP(M37,$K$14:$N$15,2,0)-VLOOKUP(Q37,$Q$14:$T$15,4,0)),1),0)</f>
        <v>0</v>
      </c>
      <c r="Q37" s="1">
        <f>IF($O35&lt;0,Q35,Q35-1)</f>
        <v>-1</v>
      </c>
      <c r="R37" s="6">
        <f>IFERROR(IF(O37&gt;0,P37,N37),"")</f>
        <v>0</v>
      </c>
    </row>
    <row r="38" spans="3:18" ht="14.25" customHeight="1" x14ac:dyDescent="0.2">
      <c r="H38" s="6"/>
      <c r="M38" s="15">
        <f>IFERROR(VLOOKUP(M37,K$14:N$15,4,0),0)</f>
        <v>3</v>
      </c>
      <c r="N38" s="15">
        <f>IFERROR(VLOOKUP(M37,K$14:N$15,2,0),0)</f>
        <v>12</v>
      </c>
      <c r="O38" s="6">
        <f>IFERROR(IF(O37&gt;0,O37/N37*INDEX($M$8:$M$9,MATCH(M37,$K$14:$K$15,0)),-O37/P37*INDEX($S$8:$S$9,MATCH(Q37,$K$14:$K$15,0))),O36)</f>
        <v>52.380952380952387</v>
      </c>
      <c r="P38" s="15">
        <f>IFERROR(VLOOKUP(Q37,Q$14:T$15,2,0),0)</f>
        <v>0</v>
      </c>
      <c r="Q38" s="15">
        <f>IFERROR(VLOOKUP(Q37,Q$14:T$15,4,0),0)</f>
        <v>0</v>
      </c>
    </row>
    <row r="39" spans="3:18" ht="14.25" customHeight="1" x14ac:dyDescent="0.2">
      <c r="H39" s="6"/>
      <c r="M39" s="1">
        <f>MAX(M37-Q37,0)</f>
        <v>2</v>
      </c>
      <c r="N39" s="6"/>
      <c r="O39" s="10"/>
      <c r="P39" s="6"/>
      <c r="Q39" s="1">
        <f>MAX(Q37-M37,0)</f>
        <v>0</v>
      </c>
      <c r="R39" s="6">
        <f>SUM(R31:R37)</f>
        <v>15.476190476190478</v>
      </c>
    </row>
    <row r="40" spans="3:18" ht="14.25" customHeight="1" x14ac:dyDescent="0.2">
      <c r="H40" s="6"/>
      <c r="N40" s="15">
        <f>IFERROR(VLOOKUP(M39,K$14:N$15,2,0),0)</f>
        <v>17</v>
      </c>
      <c r="P40" s="15">
        <f>IFERROR(VLOOKUP(Q39,Q$14:T$15,2,0),0)</f>
        <v>0</v>
      </c>
    </row>
    <row r="41" spans="3:18" ht="14.25" customHeight="1" x14ac:dyDescent="0.2">
      <c r="H41" s="6"/>
      <c r="L41" s="1" t="s">
        <v>15</v>
      </c>
      <c r="M41" s="1" t="s">
        <v>16</v>
      </c>
      <c r="N41" s="1" t="s">
        <v>5</v>
      </c>
      <c r="O41" s="10"/>
      <c r="P41" s="1" t="s">
        <v>15</v>
      </c>
      <c r="Q41" s="1" t="s">
        <v>16</v>
      </c>
      <c r="R41" s="1" t="s">
        <v>5</v>
      </c>
    </row>
    <row r="42" spans="3:18" x14ac:dyDescent="0.2">
      <c r="K42" s="1">
        <f>IF(L42&lt;&gt;0,COUNTIF($L$42:$L$44,"&gt;0"),"")</f>
        <v>3</v>
      </c>
      <c r="L42" s="1">
        <f>N30</f>
        <v>17</v>
      </c>
      <c r="M42" s="6">
        <f>IF(L42=0,0,O28)</f>
        <v>52.380952380952387</v>
      </c>
      <c r="N42" s="1">
        <f>M28</f>
        <v>3</v>
      </c>
      <c r="O42" s="1" t="str">
        <f>IF(P42&lt;&gt;0,COUNTIF($P$42:$P$44,"&gt;0"),"")</f>
        <v/>
      </c>
      <c r="P42" s="1">
        <f>P30</f>
        <v>0</v>
      </c>
      <c r="Q42" s="16">
        <f>IF(P42=0,0,O28)</f>
        <v>0</v>
      </c>
      <c r="R42" s="1">
        <f>Q28</f>
        <v>0</v>
      </c>
    </row>
    <row r="43" spans="3:18" x14ac:dyDescent="0.2">
      <c r="K43" s="1">
        <f>IF(K42&lt;&gt;"",IF(L43&lt;&gt;0,COUNTIF($L$42:$L$44,"&gt;0")-1,""),IF(L43&lt;&gt;0,COUNTIF($L$42:$L$44,"&gt;0"),""))</f>
        <v>2</v>
      </c>
      <c r="L43" s="1">
        <f>N40</f>
        <v>17</v>
      </c>
      <c r="M43" s="6">
        <f>IF(L43=0,0,O38)</f>
        <v>52.380952380952387</v>
      </c>
      <c r="N43" s="1">
        <f>M38</f>
        <v>3</v>
      </c>
      <c r="O43" s="1" t="str">
        <f>IF(O42&lt;&gt;"",IF(P43&lt;&gt;0,COUNTIF($P$42:$P$44,"&gt;0")-1,""),IF(P43&lt;&gt;0,COUNTIF($P$42:$P$44,"&gt;0"),""))</f>
        <v/>
      </c>
      <c r="P43" s="1">
        <f>P40</f>
        <v>0</v>
      </c>
      <c r="Q43" s="6">
        <f>IF(P43=0,0,O38)</f>
        <v>0</v>
      </c>
      <c r="R43" s="1">
        <f>Q38</f>
        <v>0</v>
      </c>
    </row>
    <row r="44" spans="3:18" x14ac:dyDescent="0.2">
      <c r="K44" s="1">
        <v>1</v>
      </c>
      <c r="L44" s="1">
        <f>L16</f>
        <v>4</v>
      </c>
      <c r="M44" s="1">
        <f>M16</f>
        <v>50</v>
      </c>
      <c r="N44" s="1">
        <f>N16</f>
        <v>0</v>
      </c>
      <c r="O44" s="1">
        <v>1</v>
      </c>
      <c r="P44" s="1">
        <f>R16</f>
        <v>5</v>
      </c>
      <c r="Q44" s="1">
        <f t="shared" ref="Q44:R44" si="4">S16</f>
        <v>100</v>
      </c>
      <c r="R44" s="1">
        <f t="shared" si="4"/>
        <v>2</v>
      </c>
    </row>
    <row r="46" spans="3:18" x14ac:dyDescent="0.2">
      <c r="L46" s="1" t="s">
        <v>86</v>
      </c>
      <c r="M46" s="6" t="s">
        <v>24</v>
      </c>
      <c r="Q46" s="6" t="s">
        <v>24</v>
      </c>
    </row>
    <row r="47" spans="3:18" x14ac:dyDescent="0.2">
      <c r="M47" s="9">
        <f>COUNTIF(L42:L44,"&gt;0")</f>
        <v>3</v>
      </c>
      <c r="N47" s="6">
        <f>IFERROR(VLOOKUP(M47,$K$41:$R$44,3,0)/MAX((VLOOKUP(Q47,$O$41:$R$44,2,0)-VLOOKUP(M47,$K$41:$R$44,4,0)),1),0)</f>
        <v>26.190476190476193</v>
      </c>
      <c r="O47" s="10">
        <f>N47-P47</f>
        <v>19.523809523809526</v>
      </c>
      <c r="P47" s="6">
        <f>IFERROR(VLOOKUP(Q47,$O$41:$R$44,3,0)/MAX((VLOOKUP(M47,$K$41:$R$44,2,0)-VLOOKUP(Q47,$O$41:$R$44,4,0)),1),0)</f>
        <v>6.666666666666667</v>
      </c>
      <c r="Q47" s="9">
        <f>COUNTIF(P42:P44,"&gt;0")</f>
        <v>1</v>
      </c>
      <c r="R47" s="6">
        <f>IFERROR(IF(O47&gt;0,P47,N47),"")</f>
        <v>6.666666666666667</v>
      </c>
    </row>
    <row r="48" spans="3:18" ht="14.25" customHeight="1" x14ac:dyDescent="0.2">
      <c r="D48" s="79"/>
      <c r="N48" s="15">
        <f>IFERROR(VLOOKUP(M47,K$14:N$15,2,0),0)</f>
        <v>0</v>
      </c>
      <c r="O48" s="6">
        <f>IFERROR(IF(O47&gt;0,O47/N47*VLOOKUP(M47,$K$41:$R$44,3,0),-O47/P47*VLOOKUP(Q47,$O$41:$R$44,3,0)),O46)</f>
        <v>39.047619047619051</v>
      </c>
      <c r="P48" s="15">
        <f>IFERROR(VLOOKUP(Q47,Q$14:T$15,2,0),0)</f>
        <v>7.5</v>
      </c>
    </row>
    <row r="49" spans="4:18" ht="14.25" customHeight="1" x14ac:dyDescent="0.2">
      <c r="D49" s="79"/>
      <c r="M49" s="1">
        <f>IF($O47&gt;0,M47,M47-1)</f>
        <v>3</v>
      </c>
      <c r="N49" s="6">
        <f>IFERROR(VLOOKUP(M49,$K$41:$R$44,3,0)/MAX((VLOOKUP(Q49,$O$41:$R$44,2,0)-VLOOKUP(M49,$K$41:$R$44,4,0)),1),0)</f>
        <v>0</v>
      </c>
      <c r="O49" s="10">
        <f>N49-P49</f>
        <v>0</v>
      </c>
      <c r="P49" s="6">
        <f>IFERROR(VLOOKUP(Q49,$O$41:$R$44,3,0)/MAX((VLOOKUP(M49,$K$41:$R$44,2,0)-VLOOKUP(Q49,$O$41:$R$44,4,0)),1),0)</f>
        <v>0</v>
      </c>
      <c r="Q49" s="1">
        <f>IF($O47&lt;0,Q47,Q47-1)</f>
        <v>0</v>
      </c>
      <c r="R49" s="6">
        <f>IFERROR(IF(O49&gt;0,P49,N49),"")</f>
        <v>0</v>
      </c>
    </row>
    <row r="50" spans="4:18" ht="14.25" customHeight="1" x14ac:dyDescent="0.2">
      <c r="M50" s="6"/>
      <c r="N50" s="15">
        <f>IFERROR(VLOOKUP(M49,K$14:N$15,2,0),0)</f>
        <v>0</v>
      </c>
      <c r="O50" s="6">
        <f>IFERROR(IF(O49&gt;0,O49/N49*VLOOKUP(M49,$K$41:$R$44,3,0),-O49/P49*VLOOKUP(Q49,$O$41:$R$44,3,0)),O48)</f>
        <v>39.047619047619051</v>
      </c>
      <c r="P50" s="15">
        <f>IFERROR(VLOOKUP(Q49,Q$14:T$15,2,0),0)</f>
        <v>0</v>
      </c>
      <c r="Q50" s="6"/>
      <c r="R50" s="6"/>
    </row>
    <row r="51" spans="4:18" ht="14.25" customHeight="1" x14ac:dyDescent="0.2">
      <c r="M51" s="1">
        <f>IF($O49&gt;0,M49,M49-1)</f>
        <v>2</v>
      </c>
      <c r="N51" s="6">
        <f>IFERROR(VLOOKUP(M51,$K$41:$R$44,3,0)/MAX((VLOOKUP(Q51,$O$41:$R$44,2,0)-VLOOKUP(M51,$K$41:$R$44,4,0)),1),0)</f>
        <v>0</v>
      </c>
      <c r="O51" s="10">
        <f>N51-P51</f>
        <v>0</v>
      </c>
      <c r="P51" s="6">
        <f>IFERROR(VLOOKUP(Q51,$O$41:$R$44,3,0)/MAX((VLOOKUP(M51,$K$41:$R$44,2,0)-VLOOKUP(Q51,$O$41:$R$44,4,0)),1),0)</f>
        <v>0</v>
      </c>
      <c r="Q51" s="1">
        <f>IF($O49&lt;0,Q49,Q49-1)</f>
        <v>-1</v>
      </c>
      <c r="R51" s="6">
        <f>IFERROR(IF(O51&gt;0,P51,N51),"")</f>
        <v>0</v>
      </c>
    </row>
    <row r="52" spans="4:18" x14ac:dyDescent="0.2">
      <c r="M52" s="6"/>
      <c r="N52" s="15">
        <f>IFERROR(VLOOKUP(M51,K$14:N$15,2,0),0)</f>
        <v>17</v>
      </c>
      <c r="O52" s="6">
        <f>IFERROR(IF(O51&gt;0,O51/N51*VLOOKUP(M51,$K$41:$R$44,3,0),-O51/P51*VLOOKUP(Q51,$O$41:$R$44,3,0)),O50)</f>
        <v>39.047619047619051</v>
      </c>
      <c r="P52" s="15">
        <f>IFERROR(VLOOKUP(Q51,Q$14:T$15,2,0),0)</f>
        <v>0</v>
      </c>
      <c r="Q52" s="6"/>
      <c r="R52" s="6">
        <f>SUM(R47:R51)</f>
        <v>6.666666666666667</v>
      </c>
    </row>
    <row r="53" spans="4:18" x14ac:dyDescent="0.2">
      <c r="N53" s="6"/>
      <c r="O53" s="6"/>
      <c r="P53" s="6"/>
      <c r="Q53" s="6"/>
    </row>
    <row r="54" spans="4:18" x14ac:dyDescent="0.2">
      <c r="Q54" s="6"/>
      <c r="R54" s="6"/>
    </row>
    <row r="55" spans="4:18" x14ac:dyDescent="0.2">
      <c r="Q55" s="6"/>
    </row>
    <row r="57" spans="4:18" x14ac:dyDescent="0.2">
      <c r="Q57" s="6"/>
      <c r="R57" s="6"/>
    </row>
    <row r="58" spans="4:18" x14ac:dyDescent="0.2">
      <c r="Q58" s="10"/>
    </row>
    <row r="59" spans="4:18" x14ac:dyDescent="0.2">
      <c r="R59" s="6"/>
    </row>
    <row r="60" spans="4:18" x14ac:dyDescent="0.2">
      <c r="Q60" s="10"/>
    </row>
    <row r="69" spans="16:19" x14ac:dyDescent="0.2">
      <c r="P69" s="6"/>
      <c r="S69" s="6"/>
    </row>
    <row r="70" spans="16:19" x14ac:dyDescent="0.2">
      <c r="S70" s="6"/>
    </row>
    <row r="71" spans="16:19" x14ac:dyDescent="0.2">
      <c r="S71" s="6"/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54E0-0AD6-4977-92DC-701FB0265883}">
  <sheetPr codeName="Sheet3"/>
  <dimension ref="A1:Q47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E32" sqref="E32"/>
    </sheetView>
  </sheetViews>
  <sheetFormatPr defaultRowHeight="14.25" customHeight="1" x14ac:dyDescent="0.2"/>
  <cols>
    <col min="1" max="2" width="9" style="1"/>
    <col min="3" max="3" width="11.75" style="1" customWidth="1"/>
    <col min="4" max="16384" width="9" style="1"/>
  </cols>
  <sheetData>
    <row r="1" spans="1:17" ht="14.25" customHeight="1" x14ac:dyDescent="0.2">
      <c r="A1" s="81" t="s">
        <v>31</v>
      </c>
      <c r="B1" s="82"/>
    </row>
    <row r="2" spans="1:17" ht="14.25" customHeight="1" x14ac:dyDescent="0.2">
      <c r="A2" s="83"/>
      <c r="B2" s="84"/>
    </row>
    <row r="3" spans="1:17" ht="14.25" customHeight="1" x14ac:dyDescent="0.2">
      <c r="C3" s="2" t="s">
        <v>8</v>
      </c>
      <c r="D3" s="2"/>
    </row>
    <row r="4" spans="1:17" ht="14.25" customHeight="1" x14ac:dyDescent="0.2">
      <c r="C4" s="2" t="s">
        <v>9</v>
      </c>
      <c r="D4" s="2"/>
    </row>
    <row r="5" spans="1:17" ht="14.25" customHeight="1" x14ac:dyDescent="0.2">
      <c r="C5" s="2" t="s">
        <v>10</v>
      </c>
    </row>
    <row r="6" spans="1:17" ht="14.25" customHeight="1" x14ac:dyDescent="0.2">
      <c r="C6" s="2" t="s">
        <v>11</v>
      </c>
    </row>
    <row r="7" spans="1:17" ht="14.25" customHeight="1" x14ac:dyDescent="0.2">
      <c r="C7" s="2" t="s">
        <v>12</v>
      </c>
    </row>
    <row r="9" spans="1:17" ht="14.25" customHeight="1" x14ac:dyDescent="0.2">
      <c r="D9" s="3" t="s">
        <v>32</v>
      </c>
      <c r="E9" s="3" t="s">
        <v>43</v>
      </c>
      <c r="F9" s="3" t="s">
        <v>47</v>
      </c>
      <c r="G9" s="14" t="s">
        <v>54</v>
      </c>
      <c r="H9" s="97" t="s">
        <v>49</v>
      </c>
      <c r="I9" s="98"/>
      <c r="J9" s="98"/>
      <c r="K9" s="98"/>
      <c r="L9" s="98"/>
      <c r="M9" s="98"/>
      <c r="N9" s="98"/>
      <c r="O9" s="98"/>
      <c r="P9" s="98"/>
      <c r="Q9" s="99"/>
    </row>
    <row r="10" spans="1:17" ht="14.25" customHeight="1" x14ac:dyDescent="0.2">
      <c r="C10" s="85" t="s">
        <v>33</v>
      </c>
      <c r="D10" s="1" t="s">
        <v>34</v>
      </c>
      <c r="E10" s="1" t="s">
        <v>44</v>
      </c>
      <c r="F10" s="1" t="s">
        <v>48</v>
      </c>
      <c r="G10" s="13" t="s">
        <v>64</v>
      </c>
      <c r="H10" s="100" t="s">
        <v>50</v>
      </c>
      <c r="I10" s="101"/>
      <c r="J10" s="101"/>
      <c r="K10" s="101"/>
      <c r="L10" s="101"/>
      <c r="M10" s="101"/>
      <c r="N10" s="101"/>
      <c r="O10" s="101"/>
      <c r="P10" s="101"/>
      <c r="Q10" s="102"/>
    </row>
    <row r="11" spans="1:17" ht="14.25" customHeight="1" x14ac:dyDescent="0.2">
      <c r="C11" s="86"/>
      <c r="D11" s="1" t="s">
        <v>35</v>
      </c>
      <c r="E11" s="1" t="s">
        <v>44</v>
      </c>
      <c r="F11" s="1" t="s">
        <v>48</v>
      </c>
      <c r="G11" s="13" t="s">
        <v>64</v>
      </c>
      <c r="H11" s="100" t="s">
        <v>51</v>
      </c>
      <c r="I11" s="101"/>
      <c r="J11" s="101"/>
      <c r="K11" s="101"/>
      <c r="L11" s="101"/>
      <c r="M11" s="101"/>
      <c r="N11" s="101"/>
      <c r="O11" s="101"/>
      <c r="P11" s="101"/>
      <c r="Q11" s="102"/>
    </row>
    <row r="12" spans="1:17" ht="14.25" customHeight="1" x14ac:dyDescent="0.2">
      <c r="C12" s="86"/>
      <c r="D12" s="1" t="s">
        <v>36</v>
      </c>
      <c r="E12" s="1" t="s">
        <v>44</v>
      </c>
      <c r="F12" s="1" t="s">
        <v>48</v>
      </c>
      <c r="G12" s="13" t="s">
        <v>64</v>
      </c>
      <c r="H12" s="100" t="s">
        <v>52</v>
      </c>
      <c r="I12" s="101"/>
      <c r="J12" s="101"/>
      <c r="K12" s="101"/>
      <c r="L12" s="101"/>
      <c r="M12" s="101"/>
      <c r="N12" s="101"/>
      <c r="O12" s="101"/>
      <c r="P12" s="101"/>
      <c r="Q12" s="102"/>
    </row>
    <row r="13" spans="1:17" ht="14.25" customHeight="1" x14ac:dyDescent="0.2">
      <c r="C13" s="86"/>
      <c r="D13" s="1" t="s">
        <v>37</v>
      </c>
      <c r="E13" s="1" t="s">
        <v>44</v>
      </c>
      <c r="F13" s="1" t="s">
        <v>48</v>
      </c>
      <c r="G13" s="13" t="s">
        <v>55</v>
      </c>
      <c r="H13" s="100" t="s">
        <v>53</v>
      </c>
      <c r="I13" s="101"/>
      <c r="J13" s="101"/>
      <c r="K13" s="101"/>
      <c r="L13" s="101"/>
      <c r="M13" s="101"/>
      <c r="N13" s="101"/>
      <c r="O13" s="101"/>
      <c r="P13" s="101"/>
      <c r="Q13" s="102"/>
    </row>
    <row r="14" spans="1:17" ht="14.25" customHeight="1" x14ac:dyDescent="0.2">
      <c r="C14" s="86"/>
      <c r="D14" s="1" t="s">
        <v>57</v>
      </c>
      <c r="E14" s="1" t="s">
        <v>44</v>
      </c>
      <c r="F14" s="1" t="s">
        <v>48</v>
      </c>
      <c r="G14" s="13" t="s">
        <v>56</v>
      </c>
      <c r="H14" s="100" t="s">
        <v>58</v>
      </c>
      <c r="I14" s="101"/>
      <c r="J14" s="101"/>
      <c r="K14" s="101"/>
      <c r="L14" s="101"/>
      <c r="M14" s="101"/>
      <c r="N14" s="101"/>
      <c r="O14" s="101"/>
      <c r="P14" s="101"/>
      <c r="Q14" s="102"/>
    </row>
    <row r="15" spans="1:17" ht="14.25" customHeight="1" x14ac:dyDescent="0.2">
      <c r="C15" s="87"/>
      <c r="D15" s="1" t="s">
        <v>13</v>
      </c>
      <c r="E15" s="1" t="s">
        <v>44</v>
      </c>
      <c r="F15" s="1" t="s">
        <v>48</v>
      </c>
      <c r="G15" s="13" t="s">
        <v>59</v>
      </c>
      <c r="H15" s="100" t="s">
        <v>60</v>
      </c>
      <c r="I15" s="101"/>
      <c r="J15" s="101"/>
      <c r="K15" s="101"/>
      <c r="L15" s="101"/>
      <c r="M15" s="101"/>
      <c r="N15" s="101"/>
      <c r="O15" s="101"/>
      <c r="P15" s="101"/>
      <c r="Q15" s="102"/>
    </row>
    <row r="16" spans="1:17" ht="14.25" customHeight="1" x14ac:dyDescent="0.2">
      <c r="C16" s="85" t="s">
        <v>38</v>
      </c>
      <c r="D16" s="1" t="s">
        <v>39</v>
      </c>
      <c r="E16" s="1" t="s">
        <v>45</v>
      </c>
      <c r="F16" s="1" t="s">
        <v>48</v>
      </c>
      <c r="G16" s="13" t="s">
        <v>65</v>
      </c>
      <c r="H16" s="88" t="s">
        <v>63</v>
      </c>
      <c r="I16" s="89"/>
      <c r="J16" s="89"/>
      <c r="K16" s="89"/>
      <c r="L16" s="89"/>
      <c r="M16" s="89"/>
      <c r="N16" s="89"/>
      <c r="O16" s="89"/>
      <c r="P16" s="89"/>
      <c r="Q16" s="90"/>
    </row>
    <row r="17" spans="3:17" ht="14.25" customHeight="1" x14ac:dyDescent="0.2">
      <c r="C17" s="86"/>
      <c r="D17" s="1" t="s">
        <v>40</v>
      </c>
      <c r="E17" s="1" t="s">
        <v>45</v>
      </c>
      <c r="F17" s="1" t="s">
        <v>48</v>
      </c>
      <c r="G17" s="13" t="s">
        <v>65</v>
      </c>
      <c r="H17" s="91"/>
      <c r="I17" s="92"/>
      <c r="J17" s="92"/>
      <c r="K17" s="92"/>
      <c r="L17" s="92"/>
      <c r="M17" s="92"/>
      <c r="N17" s="92"/>
      <c r="O17" s="92"/>
      <c r="P17" s="92"/>
      <c r="Q17" s="93"/>
    </row>
    <row r="18" spans="3:17" ht="14.25" customHeight="1" x14ac:dyDescent="0.2">
      <c r="C18" s="87"/>
      <c r="D18" s="1" t="s">
        <v>41</v>
      </c>
      <c r="E18" s="1" t="s">
        <v>45</v>
      </c>
      <c r="F18" s="1" t="s">
        <v>48</v>
      </c>
      <c r="G18" s="13" t="s">
        <v>65</v>
      </c>
      <c r="H18" s="94"/>
      <c r="I18" s="95"/>
      <c r="J18" s="95"/>
      <c r="K18" s="95"/>
      <c r="L18" s="95"/>
      <c r="M18" s="95"/>
      <c r="N18" s="95"/>
      <c r="O18" s="95"/>
      <c r="P18" s="95"/>
      <c r="Q18" s="96"/>
    </row>
    <row r="19" spans="3:17" ht="14.25" customHeight="1" x14ac:dyDescent="0.2">
      <c r="C19" s="85" t="s">
        <v>42</v>
      </c>
      <c r="D19" s="1" t="s">
        <v>73</v>
      </c>
      <c r="E19" s="1" t="s">
        <v>45</v>
      </c>
      <c r="F19" s="1" t="s">
        <v>48</v>
      </c>
      <c r="G19" s="1" t="s">
        <v>66</v>
      </c>
      <c r="H19" s="88" t="s">
        <v>67</v>
      </c>
      <c r="I19" s="89"/>
      <c r="J19" s="89"/>
      <c r="K19" s="89"/>
      <c r="L19" s="89"/>
      <c r="M19" s="89"/>
      <c r="N19" s="89"/>
      <c r="O19" s="89"/>
      <c r="P19" s="89"/>
      <c r="Q19" s="90"/>
    </row>
    <row r="20" spans="3:17" ht="14.25" customHeight="1" x14ac:dyDescent="0.2">
      <c r="C20" s="86"/>
      <c r="D20" s="1" t="s">
        <v>133</v>
      </c>
      <c r="E20" s="1" t="s">
        <v>45</v>
      </c>
      <c r="F20" s="1" t="s">
        <v>48</v>
      </c>
      <c r="G20" s="1" t="s">
        <v>126</v>
      </c>
      <c r="H20" s="91"/>
      <c r="I20" s="92"/>
      <c r="J20" s="92"/>
      <c r="K20" s="92"/>
      <c r="L20" s="92"/>
      <c r="M20" s="92"/>
      <c r="N20" s="92"/>
      <c r="O20" s="92"/>
      <c r="P20" s="92"/>
      <c r="Q20" s="93"/>
    </row>
    <row r="21" spans="3:17" ht="14.25" customHeight="1" x14ac:dyDescent="0.2">
      <c r="C21" s="87"/>
      <c r="D21" s="1" t="s">
        <v>125</v>
      </c>
      <c r="E21" s="1" t="s">
        <v>45</v>
      </c>
      <c r="F21" s="1" t="s">
        <v>48</v>
      </c>
      <c r="G21" s="1" t="s">
        <v>126</v>
      </c>
      <c r="H21" s="94"/>
      <c r="I21" s="95"/>
      <c r="J21" s="95"/>
      <c r="K21" s="95"/>
      <c r="L21" s="95"/>
      <c r="M21" s="95"/>
      <c r="N21" s="95"/>
      <c r="O21" s="95"/>
      <c r="P21" s="95"/>
      <c r="Q21" s="96"/>
    </row>
    <row r="22" spans="3:17" ht="14.25" customHeight="1" x14ac:dyDescent="0.2">
      <c r="C22" s="27"/>
      <c r="H22" s="28"/>
      <c r="I22" s="29"/>
      <c r="J22" s="29"/>
      <c r="K22" s="29"/>
      <c r="L22" s="29"/>
      <c r="M22" s="29"/>
      <c r="N22" s="29"/>
      <c r="O22" s="29"/>
      <c r="P22" s="29"/>
      <c r="Q22" s="30"/>
    </row>
    <row r="23" spans="3:17" ht="14.25" customHeight="1" x14ac:dyDescent="0.2">
      <c r="D23" s="17"/>
    </row>
    <row r="24" spans="3:17" ht="14.25" customHeight="1" x14ac:dyDescent="0.2">
      <c r="D24" s="7" t="s">
        <v>61</v>
      </c>
    </row>
    <row r="25" spans="3:17" ht="14.25" customHeight="1" x14ac:dyDescent="0.2">
      <c r="E25" s="2" t="s">
        <v>62</v>
      </c>
      <c r="Q25" s="17" t="s">
        <v>46</v>
      </c>
    </row>
    <row r="27" spans="3:17" s="3" customFormat="1" ht="14.25" customHeight="1" x14ac:dyDescent="0.2">
      <c r="C27" s="3" t="s">
        <v>31</v>
      </c>
      <c r="D27" s="2" t="s">
        <v>79</v>
      </c>
      <c r="L27" s="3" t="s">
        <v>18</v>
      </c>
      <c r="M27" s="3" t="s">
        <v>134</v>
      </c>
    </row>
    <row r="28" spans="3:17" ht="14.25" customHeight="1" x14ac:dyDescent="0.2">
      <c r="D28" s="3" t="s">
        <v>69</v>
      </c>
      <c r="E28" s="3" t="s">
        <v>77</v>
      </c>
      <c r="L28" s="1" t="s">
        <v>3</v>
      </c>
      <c r="M28" s="7" t="s">
        <v>135</v>
      </c>
    </row>
    <row r="29" spans="3:17" ht="14.25" customHeight="1" x14ac:dyDescent="0.2">
      <c r="D29" s="1" t="s">
        <v>14</v>
      </c>
      <c r="E29" s="7" t="s">
        <v>68</v>
      </c>
      <c r="L29" s="1" t="s">
        <v>4</v>
      </c>
      <c r="M29" s="7" t="s">
        <v>136</v>
      </c>
    </row>
    <row r="30" spans="3:17" ht="14.25" customHeight="1" x14ac:dyDescent="0.2">
      <c r="D30" s="1" t="s">
        <v>72</v>
      </c>
      <c r="E30" s="7" t="s">
        <v>70</v>
      </c>
      <c r="L30" s="1" t="s">
        <v>5</v>
      </c>
      <c r="M30" s="7" t="s">
        <v>137</v>
      </c>
    </row>
    <row r="31" spans="3:17" ht="14.25" customHeight="1" x14ac:dyDescent="0.2">
      <c r="D31" s="1" t="s">
        <v>71</v>
      </c>
      <c r="E31" s="7" t="s">
        <v>232</v>
      </c>
    </row>
    <row r="32" spans="3:17" ht="14.25" customHeight="1" x14ac:dyDescent="0.2">
      <c r="D32" s="1" t="s">
        <v>15</v>
      </c>
      <c r="E32" s="7" t="s">
        <v>74</v>
      </c>
    </row>
    <row r="33" spans="3:6" ht="14.25" customHeight="1" x14ac:dyDescent="0.2">
      <c r="D33" s="3" t="s">
        <v>75</v>
      </c>
      <c r="E33" s="7" t="s">
        <v>76</v>
      </c>
    </row>
    <row r="34" spans="3:6" ht="14.25" customHeight="1" x14ac:dyDescent="0.2">
      <c r="D34" s="3" t="s">
        <v>81</v>
      </c>
      <c r="E34" s="7" t="s">
        <v>78</v>
      </c>
    </row>
    <row r="35" spans="3:6" ht="14.25" customHeight="1" x14ac:dyDescent="0.2">
      <c r="D35" s="3" t="s">
        <v>80</v>
      </c>
      <c r="E35" s="7" t="s">
        <v>82</v>
      </c>
    </row>
    <row r="37" spans="3:6" ht="14.25" customHeight="1" x14ac:dyDescent="0.2">
      <c r="C37" s="1" t="s">
        <v>88</v>
      </c>
      <c r="D37" s="1" t="s">
        <v>130</v>
      </c>
      <c r="E37" s="1">
        <v>25</v>
      </c>
    </row>
    <row r="38" spans="3:6" ht="14.25" customHeight="1" x14ac:dyDescent="0.2">
      <c r="D38" s="1" t="s">
        <v>32</v>
      </c>
      <c r="E38" s="1" t="s">
        <v>90</v>
      </c>
    </row>
    <row r="39" spans="3:6" ht="14.25" customHeight="1" x14ac:dyDescent="0.2">
      <c r="D39" s="1" t="s">
        <v>34</v>
      </c>
      <c r="E39" s="1">
        <f>E41*E37</f>
        <v>25</v>
      </c>
    </row>
    <row r="40" spans="3:6" ht="14.25" customHeight="1" x14ac:dyDescent="0.2">
      <c r="D40" s="1" t="s">
        <v>35</v>
      </c>
      <c r="E40" s="32">
        <f>1/100000</f>
        <v>1.0000000000000001E-5</v>
      </c>
      <c r="F40" s="1" t="s">
        <v>36</v>
      </c>
    </row>
    <row r="41" spans="3:6" ht="14.25" customHeight="1" x14ac:dyDescent="0.2">
      <c r="D41" s="1" t="s">
        <v>36</v>
      </c>
      <c r="E41" s="18">
        <v>1</v>
      </c>
    </row>
    <row r="42" spans="3:6" ht="14.25" customHeight="1" x14ac:dyDescent="0.2">
      <c r="D42" s="1" t="s">
        <v>37</v>
      </c>
      <c r="E42" s="4">
        <f>0.5*0.01</f>
        <v>5.0000000000000001E-3</v>
      </c>
      <c r="F42" s="1" t="s">
        <v>34</v>
      </c>
    </row>
    <row r="43" spans="3:6" ht="14.25" customHeight="1" x14ac:dyDescent="0.2">
      <c r="D43" s="1" t="s">
        <v>89</v>
      </c>
      <c r="E43" s="5">
        <f>0.75*0.01</f>
        <v>7.4999999999999997E-3</v>
      </c>
      <c r="F43" s="1" t="s">
        <v>34</v>
      </c>
    </row>
    <row r="44" spans="3:6" ht="14.25" customHeight="1" x14ac:dyDescent="0.2">
      <c r="D44" s="1" t="s">
        <v>13</v>
      </c>
      <c r="E44" s="5">
        <f>0.67*0.01</f>
        <v>6.7000000000000002E-3</v>
      </c>
      <c r="F44" s="1" t="s">
        <v>34</v>
      </c>
    </row>
    <row r="46" spans="3:6" ht="14.25" customHeight="1" x14ac:dyDescent="0.2">
      <c r="D46" s="7" t="s">
        <v>132</v>
      </c>
    </row>
    <row r="47" spans="3:6" ht="14.25" customHeight="1" x14ac:dyDescent="0.2">
      <c r="D47" s="7" t="s">
        <v>150</v>
      </c>
    </row>
  </sheetData>
  <mergeCells count="13">
    <mergeCell ref="C19:C21"/>
    <mergeCell ref="H19:Q21"/>
    <mergeCell ref="H16:Q18"/>
    <mergeCell ref="A1:B2"/>
    <mergeCell ref="H9:Q9"/>
    <mergeCell ref="H10:Q10"/>
    <mergeCell ref="H11:Q11"/>
    <mergeCell ref="H12:Q12"/>
    <mergeCell ref="H13:Q13"/>
    <mergeCell ref="H14:Q14"/>
    <mergeCell ref="H15:Q15"/>
    <mergeCell ref="C10:C15"/>
    <mergeCell ref="C16:C18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03BA-5820-4007-A302-649D045C5304}">
  <sheetPr codeName="Sheet4"/>
  <dimension ref="A1:AJ33"/>
  <sheetViews>
    <sheetView workbookViewId="0">
      <pane xSplit="3" ySplit="15" topLeftCell="D16" activePane="bottomRight" state="frozen"/>
      <selection pane="topRight" activeCell="D1" sqref="D1"/>
      <selection pane="bottomLeft" activeCell="A16" sqref="A16"/>
      <selection pane="bottomRight" activeCell="O27" sqref="O27"/>
    </sheetView>
  </sheetViews>
  <sheetFormatPr defaultRowHeight="14.25" customHeight="1" x14ac:dyDescent="0.2"/>
  <cols>
    <col min="1" max="9" width="9" style="1"/>
    <col min="10" max="10" width="9" style="1" customWidth="1"/>
    <col min="11" max="15" width="9" style="1"/>
    <col min="16" max="16" width="2.5" style="1" customWidth="1"/>
    <col min="17" max="16384" width="9" style="1"/>
  </cols>
  <sheetData>
    <row r="1" spans="1:36" ht="14.25" customHeight="1" x14ac:dyDescent="0.2">
      <c r="A1" s="81" t="s">
        <v>91</v>
      </c>
      <c r="B1" s="82"/>
    </row>
    <row r="2" spans="1:36" ht="14.25" customHeight="1" x14ac:dyDescent="0.2">
      <c r="A2" s="83"/>
      <c r="B2" s="84"/>
    </row>
    <row r="3" spans="1:36" ht="14.25" customHeight="1" x14ac:dyDescent="0.2">
      <c r="C3" s="3" t="s">
        <v>117</v>
      </c>
    </row>
    <row r="4" spans="1:36" s="3" customFormat="1" ht="14.25" customHeight="1" x14ac:dyDescent="0.2">
      <c r="D4" s="3" t="s">
        <v>93</v>
      </c>
      <c r="E4" s="3" t="s">
        <v>15</v>
      </c>
      <c r="F4" s="3" t="s">
        <v>16</v>
      </c>
    </row>
    <row r="5" spans="1:36" ht="14.25" customHeight="1" x14ac:dyDescent="0.2">
      <c r="D5" s="1" t="s">
        <v>3</v>
      </c>
      <c r="E5" s="9">
        <f>基础模型!E11</f>
        <v>5</v>
      </c>
      <c r="F5" s="9">
        <f>基础模型!F11</f>
        <v>100</v>
      </c>
    </row>
    <row r="6" spans="1:36" ht="14.25" customHeight="1" x14ac:dyDescent="0.2">
      <c r="D6" s="1" t="s">
        <v>4</v>
      </c>
      <c r="E6" s="9">
        <f>基础模型!E12</f>
        <v>10</v>
      </c>
      <c r="F6" s="9">
        <f>基础模型!F12</f>
        <v>40</v>
      </c>
    </row>
    <row r="7" spans="1:36" ht="14.25" customHeight="1" x14ac:dyDescent="0.2">
      <c r="D7" s="1" t="s">
        <v>5</v>
      </c>
      <c r="E7" s="9">
        <f>基础模型!E13</f>
        <v>4</v>
      </c>
      <c r="F7" s="9">
        <f>基础模型!F13</f>
        <v>50</v>
      </c>
    </row>
    <row r="8" spans="1:36" ht="14.25" customHeight="1" x14ac:dyDescent="0.2">
      <c r="C8" s="3" t="s">
        <v>114</v>
      </c>
      <c r="Q8" s="3" t="s">
        <v>156</v>
      </c>
      <c r="AB8" s="3" t="s">
        <v>144</v>
      </c>
    </row>
    <row r="9" spans="1:36" s="3" customFormat="1" ht="14.25" customHeight="1" x14ac:dyDescent="0.2">
      <c r="D9" s="3" t="s">
        <v>92</v>
      </c>
      <c r="E9" s="3" t="s">
        <v>93</v>
      </c>
      <c r="F9" s="3" t="s">
        <v>15</v>
      </c>
      <c r="G9" s="3" t="s">
        <v>16</v>
      </c>
      <c r="I9" s="25" t="s">
        <v>95</v>
      </c>
      <c r="J9" s="3" t="s">
        <v>96</v>
      </c>
      <c r="K9" s="3" t="s">
        <v>97</v>
      </c>
      <c r="L9" s="3" t="s">
        <v>98</v>
      </c>
      <c r="M9" s="25" t="s">
        <v>165</v>
      </c>
      <c r="R9" s="3" t="s">
        <v>157</v>
      </c>
      <c r="S9" s="3" t="s">
        <v>92</v>
      </c>
      <c r="T9" s="3" t="s">
        <v>164</v>
      </c>
      <c r="U9" s="25" t="s">
        <v>95</v>
      </c>
      <c r="V9" s="3" t="s">
        <v>96</v>
      </c>
      <c r="W9" s="3" t="s">
        <v>97</v>
      </c>
      <c r="X9" s="3" t="s">
        <v>98</v>
      </c>
      <c r="Y9" s="3" t="s">
        <v>164</v>
      </c>
      <c r="Z9" s="25" t="s">
        <v>35</v>
      </c>
      <c r="AA9" s="39" t="s">
        <v>176</v>
      </c>
      <c r="AC9" s="3" t="s">
        <v>151</v>
      </c>
      <c r="AD9" s="3" t="s">
        <v>153</v>
      </c>
      <c r="AE9" s="3" t="s">
        <v>154</v>
      </c>
      <c r="AF9" s="3" t="s">
        <v>145</v>
      </c>
      <c r="AG9" s="3" t="s">
        <v>146</v>
      </c>
      <c r="AH9" s="3" t="s">
        <v>147</v>
      </c>
      <c r="AI9" s="3" t="s">
        <v>148</v>
      </c>
      <c r="AJ9" s="3" t="s">
        <v>175</v>
      </c>
    </row>
    <row r="10" spans="1:36" ht="14.25" customHeight="1" x14ac:dyDescent="0.2">
      <c r="C10" s="19" t="s">
        <v>103</v>
      </c>
      <c r="D10" s="1" t="s">
        <v>71</v>
      </c>
      <c r="E10" s="1" t="s">
        <v>3</v>
      </c>
      <c r="F10" s="6">
        <f>VLOOKUP($E10,$D$4:$F$7,MATCH(F$9,$D$4:$F$4,0),0)</f>
        <v>5</v>
      </c>
      <c r="G10" s="6">
        <f t="shared" ref="F10:G15" si="0">VLOOKUP($E10,$D$4:$F$7,MATCH(G$9,$D$4:$F$4,0),0)</f>
        <v>100</v>
      </c>
      <c r="H10" s="6">
        <f>F10*G10</f>
        <v>500</v>
      </c>
      <c r="I10" s="6">
        <v>0.9</v>
      </c>
      <c r="J10" s="6">
        <f>L10/G10</f>
        <v>1.1111111111111112</v>
      </c>
      <c r="K10" s="6">
        <f>F10*I10</f>
        <v>4.5</v>
      </c>
      <c r="L10" s="6">
        <f>H10/K10</f>
        <v>111.11111111111111</v>
      </c>
      <c r="M10" s="1">
        <v>1</v>
      </c>
      <c r="R10" s="1" t="s">
        <v>258</v>
      </c>
      <c r="S10" s="1" t="s">
        <v>158</v>
      </c>
      <c r="T10" s="1" t="str">
        <f>MIN(VLOOKUP(S10,$D$9:$M$15,6,0),VLOOKUP(S10,$D$9:$M$15,10,0))&amp;"~"&amp;MAX(VLOOKUP(S10,$D$9:$M$15,6,0),VLOOKUP(S10,$D$9:$M$15,10,0))</f>
        <v>0.9~1</v>
      </c>
      <c r="U10" s="6">
        <v>0.9</v>
      </c>
      <c r="V10" s="6">
        <f>X10/VLOOKUP(S10,$D$9:$L$15,4,0)</f>
        <v>1.1111111111111112</v>
      </c>
      <c r="W10" s="6">
        <f>VLOOKUP(S10,$D$9:$L$15,3,0)*U10</f>
        <v>4.5</v>
      </c>
      <c r="X10" s="6">
        <f>VLOOKUP(S10,$D$9:$L$15,5,0)/W10</f>
        <v>111.11111111111111</v>
      </c>
      <c r="Y10" s="6" t="str">
        <f>MIN(VLOOKUP(S10,$D$18:$O$24,4,0),VLOOKUP(S10,$D$18:$O$24,12,0))&amp;"~"&amp;MAX(VLOOKUP(S10,$D$18:$O$24,4,0),VLOOKUP(S10,$D$18:$O$24,12,0))</f>
        <v>11.5~25</v>
      </c>
      <c r="Z10" s="6">
        <v>25</v>
      </c>
      <c r="AA10" s="1">
        <f>VLOOKUP(S10,$D$27:$M$33,MATCH(AA$9,$D$27:$M$27,0),0)</f>
        <v>0.75</v>
      </c>
      <c r="AB10" s="1" t="str">
        <f>R10</f>
        <v>饼干1</v>
      </c>
      <c r="AC10" s="1" t="str">
        <f>VLOOKUP($S10,$D$27:$L$33,MATCH(AC$9,$D$27:$L$27,0),0)</f>
        <v>承伤</v>
      </c>
      <c r="AD10" s="26">
        <f>W10/INDEX($G$26:$L$26,MATCH(AD$9,$G$27:$L$27,0))</f>
        <v>0.61363636363636365</v>
      </c>
      <c r="AE10" s="26">
        <f>X10/INDEX($G$26:$L$26,MATCH(AE$9,$G$27:$L$27,0))</f>
        <v>1.8018018018018018</v>
      </c>
      <c r="AF10" s="26">
        <f>Z10/INDEX($G$26:$L$26,MATCH(AF$9,$G$27:$L$27,0))</f>
        <v>4.4117647058823524</v>
      </c>
      <c r="AG10" s="26">
        <f>VLOOKUP($S10,$D$18:$O$24,MATCH(AG$9,$D$18:$O$18,0),0)/INDEX($G$26:$L$26,MATCH(AG$9,$G$27:$L$27,0))</f>
        <v>1</v>
      </c>
      <c r="AH10" s="26">
        <f t="shared" ref="AH10:AI21" si="1">VLOOKUP($S10,$D$18:$O$24,MATCH(AH$9,$D$18:$O$18,0),0)/INDEX($G$26:$L$26,MATCH(AH$9,$G$27:$L$27,0))</f>
        <v>1</v>
      </c>
      <c r="AI10" s="26">
        <f t="shared" si="1"/>
        <v>0.9</v>
      </c>
      <c r="AJ10" s="1">
        <f>AA10</f>
        <v>0.75</v>
      </c>
    </row>
    <row r="11" spans="1:36" ht="14.25" customHeight="1" x14ac:dyDescent="0.2">
      <c r="C11" s="19" t="s">
        <v>104</v>
      </c>
      <c r="D11" s="1" t="s">
        <v>94</v>
      </c>
      <c r="E11" s="1" t="s">
        <v>3</v>
      </c>
      <c r="F11" s="6">
        <f t="shared" si="0"/>
        <v>5</v>
      </c>
      <c r="G11" s="6">
        <f t="shared" si="0"/>
        <v>100</v>
      </c>
      <c r="H11" s="6">
        <f>F11*G11</f>
        <v>500</v>
      </c>
      <c r="I11" s="6">
        <v>1.2</v>
      </c>
      <c r="J11" s="6">
        <f>L11/G11</f>
        <v>0.83333333333333326</v>
      </c>
      <c r="K11" s="6">
        <f>F11*I11</f>
        <v>6</v>
      </c>
      <c r="L11" s="6">
        <f>H11/K11</f>
        <v>83.333333333333329</v>
      </c>
      <c r="M11" s="1">
        <v>1</v>
      </c>
      <c r="R11" s="1" t="s">
        <v>259</v>
      </c>
      <c r="S11" s="1" t="s">
        <v>158</v>
      </c>
      <c r="T11" s="1" t="str">
        <f t="shared" ref="T11:T21" si="2">MIN(VLOOKUP(S11,$D$9:$M$15,6,0),VLOOKUP(S11,$D$9:$M$15,10,0))&amp;"~"&amp;MAX(VLOOKUP(S11,$D$9:$M$15,6,0),VLOOKUP(S11,$D$9:$M$15,10,0))</f>
        <v>0.9~1</v>
      </c>
      <c r="U11" s="6">
        <v>1</v>
      </c>
      <c r="V11" s="6">
        <f t="shared" ref="V11:V21" si="3">X11/VLOOKUP(S11,$D$9:$L$15,4,0)</f>
        <v>1</v>
      </c>
      <c r="W11" s="6">
        <f t="shared" ref="W11:W21" si="4">VLOOKUP(S11,$D$9:$L$15,3,0)*U11</f>
        <v>5</v>
      </c>
      <c r="X11" s="6">
        <f t="shared" ref="X11:X21" si="5">VLOOKUP(S11,$D$9:$L$15,5,0)/W11</f>
        <v>100</v>
      </c>
      <c r="Y11" s="6" t="str">
        <f t="shared" ref="Y11:Y21" si="6">MIN(VLOOKUP(S11,$D$18:$O$24,4,0),VLOOKUP(S11,$D$18:$O$24,12,0))&amp;"~"&amp;MAX(VLOOKUP(S11,$D$18:$O$24,4,0),VLOOKUP(S11,$D$18:$O$24,12,0))</f>
        <v>11.5~25</v>
      </c>
      <c r="Z11" s="6">
        <v>20</v>
      </c>
      <c r="AA11" s="1">
        <f t="shared" ref="AA11:AA21" si="7">VLOOKUP(S11,$D$27:$M$33,MATCH(AA$9,$D$27:$M$27,0),0)</f>
        <v>0.75</v>
      </c>
      <c r="AB11" s="1" t="str">
        <f t="shared" ref="AB11:AB21" si="8">R11</f>
        <v>饼干2</v>
      </c>
      <c r="AC11" s="1" t="str">
        <f t="shared" ref="AC11:AC21" si="9">VLOOKUP($S11,$D$27:$L$33,MATCH(AC$9,$D$27:$L$27,0),0)</f>
        <v>承伤</v>
      </c>
      <c r="AD11" s="26">
        <f t="shared" ref="AD11:AD21" si="10">W11/INDEX($G$26:$L$26,MATCH(AD$9,$G$27:$L$27,0))</f>
        <v>0.68181818181818188</v>
      </c>
      <c r="AE11" s="26">
        <f t="shared" ref="AE11:AE21" si="11">X11/INDEX($G$26:$L$26,MATCH(AE$9,$G$27:$L$27,0))</f>
        <v>1.6216216216216217</v>
      </c>
      <c r="AF11" s="26">
        <f t="shared" ref="AF11:AF21" si="12">Z11/INDEX($G$26:$L$26,MATCH(AF$9,$G$27:$L$27,0))</f>
        <v>3.5294117647058822</v>
      </c>
      <c r="AG11" s="26">
        <f t="shared" ref="AG11:AG21" si="13">VLOOKUP($S11,$D$18:$O$24,MATCH(AG$9,$D$18:$O$18,0),0)/INDEX($G$26:$L$26,MATCH(AG$9,$G$27:$L$27,0))</f>
        <v>1</v>
      </c>
      <c r="AH11" s="26">
        <f t="shared" si="1"/>
        <v>1</v>
      </c>
      <c r="AI11" s="26">
        <f t="shared" si="1"/>
        <v>0.9</v>
      </c>
      <c r="AJ11" s="1">
        <f t="shared" ref="AJ11:AJ21" si="14">AA11</f>
        <v>0.75</v>
      </c>
    </row>
    <row r="12" spans="1:36" ht="14.25" customHeight="1" x14ac:dyDescent="0.2">
      <c r="C12" s="19" t="s">
        <v>105</v>
      </c>
      <c r="D12" s="1" t="s">
        <v>99</v>
      </c>
      <c r="E12" s="1" t="s">
        <v>4</v>
      </c>
      <c r="F12" s="6">
        <f t="shared" si="0"/>
        <v>10</v>
      </c>
      <c r="G12" s="6">
        <f t="shared" si="0"/>
        <v>40</v>
      </c>
      <c r="H12" s="6">
        <f t="shared" ref="H12:H15" si="15">F12*G12</f>
        <v>400</v>
      </c>
      <c r="I12" s="6">
        <v>1.05</v>
      </c>
      <c r="J12" s="6">
        <f t="shared" ref="J12:J15" si="16">L12/G12</f>
        <v>0.95238095238095233</v>
      </c>
      <c r="K12" s="6">
        <f t="shared" ref="K12:K15" si="17">F12*I12</f>
        <v>10.5</v>
      </c>
      <c r="L12" s="6">
        <f t="shared" ref="L12:L15" si="18">H12/K12</f>
        <v>38.095238095238095</v>
      </c>
      <c r="M12" s="1">
        <v>1</v>
      </c>
      <c r="R12" s="1" t="s">
        <v>260</v>
      </c>
      <c r="S12" s="1" t="s">
        <v>159</v>
      </c>
      <c r="T12" s="1" t="str">
        <f t="shared" si="2"/>
        <v>1~1.2</v>
      </c>
      <c r="U12" s="6">
        <v>1.1000000000000001</v>
      </c>
      <c r="V12" s="6">
        <f t="shared" si="3"/>
        <v>0.90909090909090906</v>
      </c>
      <c r="W12" s="6">
        <f t="shared" si="4"/>
        <v>5.5</v>
      </c>
      <c r="X12" s="6">
        <f t="shared" si="5"/>
        <v>90.909090909090907</v>
      </c>
      <c r="Y12" s="6" t="str">
        <f t="shared" si="6"/>
        <v>7.5~25</v>
      </c>
      <c r="Z12" s="6">
        <v>23</v>
      </c>
      <c r="AA12" s="1">
        <f t="shared" si="7"/>
        <v>0.751</v>
      </c>
      <c r="AB12" s="1" t="str">
        <f t="shared" si="8"/>
        <v>饼干3</v>
      </c>
      <c r="AC12" s="1" t="str">
        <f t="shared" si="9"/>
        <v>伤害</v>
      </c>
      <c r="AD12" s="26">
        <f t="shared" si="10"/>
        <v>0.75</v>
      </c>
      <c r="AE12" s="26">
        <f t="shared" si="11"/>
        <v>1.4742014742014742</v>
      </c>
      <c r="AF12" s="26">
        <f t="shared" si="12"/>
        <v>4.0588235294117645</v>
      </c>
      <c r="AG12" s="26">
        <f t="shared" si="13"/>
        <v>1</v>
      </c>
      <c r="AH12" s="26">
        <f t="shared" si="1"/>
        <v>1</v>
      </c>
      <c r="AI12" s="26">
        <f t="shared" si="1"/>
        <v>0.95</v>
      </c>
      <c r="AJ12" s="1">
        <f t="shared" si="14"/>
        <v>0.751</v>
      </c>
    </row>
    <row r="13" spans="1:36" ht="14.25" customHeight="1" x14ac:dyDescent="0.2">
      <c r="C13" s="19" t="s">
        <v>106</v>
      </c>
      <c r="D13" s="1" t="s">
        <v>100</v>
      </c>
      <c r="E13" s="1" t="s">
        <v>4</v>
      </c>
      <c r="F13" s="6">
        <f t="shared" si="0"/>
        <v>10</v>
      </c>
      <c r="G13" s="6">
        <f t="shared" si="0"/>
        <v>40</v>
      </c>
      <c r="H13" s="6">
        <f t="shared" si="15"/>
        <v>400</v>
      </c>
      <c r="I13" s="6">
        <v>1</v>
      </c>
      <c r="J13" s="6">
        <f t="shared" si="16"/>
        <v>1</v>
      </c>
      <c r="K13" s="6">
        <f t="shared" si="17"/>
        <v>10</v>
      </c>
      <c r="L13" s="6">
        <f t="shared" si="18"/>
        <v>40</v>
      </c>
      <c r="M13" s="1">
        <v>0.95</v>
      </c>
      <c r="R13" s="1" t="s">
        <v>261</v>
      </c>
      <c r="S13" s="1" t="s">
        <v>159</v>
      </c>
      <c r="T13" s="1" t="str">
        <f t="shared" si="2"/>
        <v>1~1.2</v>
      </c>
      <c r="U13" s="6">
        <v>1.2</v>
      </c>
      <c r="V13" s="6">
        <f t="shared" si="3"/>
        <v>0.83333333333333326</v>
      </c>
      <c r="W13" s="6">
        <f t="shared" si="4"/>
        <v>6</v>
      </c>
      <c r="X13" s="6">
        <f t="shared" si="5"/>
        <v>83.333333333333329</v>
      </c>
      <c r="Y13" s="6" t="str">
        <f t="shared" si="6"/>
        <v>7.5~25</v>
      </c>
      <c r="Z13" s="6">
        <v>22.5</v>
      </c>
      <c r="AA13" s="1">
        <f t="shared" si="7"/>
        <v>0.751</v>
      </c>
      <c r="AB13" s="1" t="str">
        <f t="shared" si="8"/>
        <v>饼干4</v>
      </c>
      <c r="AC13" s="1" t="str">
        <f t="shared" si="9"/>
        <v>伤害</v>
      </c>
      <c r="AD13" s="26">
        <f t="shared" si="10"/>
        <v>0.81818181818181823</v>
      </c>
      <c r="AE13" s="26">
        <f t="shared" si="11"/>
        <v>1.3513513513513513</v>
      </c>
      <c r="AF13" s="26">
        <f t="shared" si="12"/>
        <v>3.9705882352941173</v>
      </c>
      <c r="AG13" s="26">
        <f t="shared" si="13"/>
        <v>1</v>
      </c>
      <c r="AH13" s="26">
        <f t="shared" si="1"/>
        <v>1</v>
      </c>
      <c r="AI13" s="26">
        <f t="shared" si="1"/>
        <v>0.95</v>
      </c>
      <c r="AJ13" s="1">
        <f t="shared" si="14"/>
        <v>0.751</v>
      </c>
    </row>
    <row r="14" spans="1:36" ht="14.25" customHeight="1" x14ac:dyDescent="0.2">
      <c r="C14" s="19" t="s">
        <v>107</v>
      </c>
      <c r="D14" s="1" t="s">
        <v>101</v>
      </c>
      <c r="E14" s="1" t="s">
        <v>4</v>
      </c>
      <c r="F14" s="6">
        <f t="shared" si="0"/>
        <v>10</v>
      </c>
      <c r="G14" s="6">
        <f t="shared" si="0"/>
        <v>40</v>
      </c>
      <c r="H14" s="6">
        <f t="shared" si="15"/>
        <v>400</v>
      </c>
      <c r="I14" s="6">
        <v>0.95</v>
      </c>
      <c r="J14" s="6">
        <f t="shared" si="16"/>
        <v>1.0526315789473686</v>
      </c>
      <c r="K14" s="6">
        <f t="shared" si="17"/>
        <v>9.5</v>
      </c>
      <c r="L14" s="6">
        <f t="shared" si="18"/>
        <v>42.10526315789474</v>
      </c>
      <c r="M14" s="1">
        <v>0.9</v>
      </c>
      <c r="R14" s="1" t="s">
        <v>262</v>
      </c>
      <c r="S14" s="1" t="s">
        <v>160</v>
      </c>
      <c r="T14" s="1" t="str">
        <f t="shared" si="2"/>
        <v>1~1.05</v>
      </c>
      <c r="U14" s="6">
        <v>1.05</v>
      </c>
      <c r="V14" s="6">
        <f t="shared" si="3"/>
        <v>0.95238095238095233</v>
      </c>
      <c r="W14" s="6">
        <f t="shared" si="4"/>
        <v>10.5</v>
      </c>
      <c r="X14" s="6">
        <f t="shared" si="5"/>
        <v>38.095238095238095</v>
      </c>
      <c r="Y14" s="6" t="str">
        <f t="shared" si="6"/>
        <v>2~10</v>
      </c>
      <c r="Z14" s="6">
        <v>5</v>
      </c>
      <c r="AA14" s="1">
        <f t="shared" si="7"/>
        <v>0.8</v>
      </c>
      <c r="AB14" s="1" t="str">
        <f t="shared" si="8"/>
        <v>饼干5</v>
      </c>
      <c r="AC14" s="1" t="str">
        <f t="shared" si="9"/>
        <v>伤害</v>
      </c>
      <c r="AD14" s="26">
        <f t="shared" si="10"/>
        <v>1.4318181818181819</v>
      </c>
      <c r="AE14" s="26">
        <f t="shared" si="11"/>
        <v>0.61776061776061775</v>
      </c>
      <c r="AF14" s="26">
        <f t="shared" si="12"/>
        <v>0.88235294117647056</v>
      </c>
      <c r="AG14" s="26">
        <f t="shared" si="13"/>
        <v>1</v>
      </c>
      <c r="AH14" s="26">
        <f t="shared" si="1"/>
        <v>1</v>
      </c>
      <c r="AI14" s="26">
        <f t="shared" si="1"/>
        <v>1</v>
      </c>
      <c r="AJ14" s="1">
        <f t="shared" si="14"/>
        <v>0.8</v>
      </c>
    </row>
    <row r="15" spans="1:36" ht="14.25" customHeight="1" x14ac:dyDescent="0.2">
      <c r="C15" s="19" t="s">
        <v>108</v>
      </c>
      <c r="D15" s="1" t="s">
        <v>102</v>
      </c>
      <c r="E15" s="1" t="s">
        <v>5</v>
      </c>
      <c r="F15" s="6">
        <f t="shared" si="0"/>
        <v>4</v>
      </c>
      <c r="G15" s="6">
        <f t="shared" si="0"/>
        <v>50</v>
      </c>
      <c r="H15" s="6">
        <f t="shared" si="15"/>
        <v>200</v>
      </c>
      <c r="I15" s="6">
        <v>0.9</v>
      </c>
      <c r="J15" s="6">
        <f t="shared" si="16"/>
        <v>1.1111111111111112</v>
      </c>
      <c r="K15" s="6">
        <f t="shared" si="17"/>
        <v>3.6</v>
      </c>
      <c r="L15" s="6">
        <f t="shared" si="18"/>
        <v>55.555555555555557</v>
      </c>
      <c r="M15" s="1">
        <v>1</v>
      </c>
      <c r="R15" s="1" t="s">
        <v>263</v>
      </c>
      <c r="S15" s="1" t="s">
        <v>160</v>
      </c>
      <c r="T15" s="1" t="str">
        <f t="shared" si="2"/>
        <v>1~1.05</v>
      </c>
      <c r="U15" s="6">
        <v>1</v>
      </c>
      <c r="V15" s="6">
        <f t="shared" si="3"/>
        <v>1</v>
      </c>
      <c r="W15" s="6">
        <f t="shared" si="4"/>
        <v>10</v>
      </c>
      <c r="X15" s="6">
        <f t="shared" si="5"/>
        <v>40</v>
      </c>
      <c r="Y15" s="6" t="str">
        <f t="shared" si="6"/>
        <v>2~10</v>
      </c>
      <c r="Z15" s="6">
        <v>7.5</v>
      </c>
      <c r="AA15" s="1">
        <f t="shared" si="7"/>
        <v>0.8</v>
      </c>
      <c r="AB15" s="1" t="str">
        <f t="shared" si="8"/>
        <v>饼干6</v>
      </c>
      <c r="AC15" s="1" t="str">
        <f t="shared" si="9"/>
        <v>伤害</v>
      </c>
      <c r="AD15" s="26">
        <f t="shared" si="10"/>
        <v>1.3636363636363638</v>
      </c>
      <c r="AE15" s="26">
        <f t="shared" si="11"/>
        <v>0.64864864864864868</v>
      </c>
      <c r="AF15" s="26">
        <f t="shared" si="12"/>
        <v>1.3235294117647058</v>
      </c>
      <c r="AG15" s="26">
        <f t="shared" si="13"/>
        <v>1</v>
      </c>
      <c r="AH15" s="26">
        <f t="shared" si="1"/>
        <v>1</v>
      </c>
      <c r="AI15" s="26">
        <f t="shared" si="1"/>
        <v>1</v>
      </c>
      <c r="AJ15" s="1">
        <f t="shared" si="14"/>
        <v>0.8</v>
      </c>
    </row>
    <row r="16" spans="1:36" ht="14.25" customHeight="1" x14ac:dyDescent="0.2">
      <c r="F16" s="6">
        <f>AVERAGE(F10:F15)</f>
        <v>7.333333333333333</v>
      </c>
      <c r="G16" s="6">
        <f>AVERAGE(G10:G15)</f>
        <v>61.666666666666664</v>
      </c>
      <c r="H16" s="6">
        <f>AVERAGE(G19:G24)</f>
        <v>5.666666666666667</v>
      </c>
      <c r="K16" s="23"/>
      <c r="L16" s="23"/>
      <c r="R16" s="1" t="s">
        <v>264</v>
      </c>
      <c r="S16" s="1" t="s">
        <v>161</v>
      </c>
      <c r="T16" s="1" t="str">
        <f t="shared" si="2"/>
        <v>0.95~1</v>
      </c>
      <c r="U16" s="6">
        <v>0.96</v>
      </c>
      <c r="V16" s="6">
        <f t="shared" si="3"/>
        <v>1.0416666666666667</v>
      </c>
      <c r="W16" s="6">
        <f t="shared" si="4"/>
        <v>9.6</v>
      </c>
      <c r="X16" s="6">
        <f t="shared" si="5"/>
        <v>41.666666666666671</v>
      </c>
      <c r="Y16" s="6" t="str">
        <f t="shared" si="6"/>
        <v>4~7.5</v>
      </c>
      <c r="Z16" s="6">
        <v>5</v>
      </c>
      <c r="AA16" s="1">
        <f t="shared" si="7"/>
        <v>0.80500000000000005</v>
      </c>
      <c r="AB16" s="1" t="str">
        <f t="shared" si="8"/>
        <v>饼干7</v>
      </c>
      <c r="AC16" s="1" t="str">
        <f t="shared" si="9"/>
        <v>伤害</v>
      </c>
      <c r="AD16" s="26">
        <f t="shared" si="10"/>
        <v>1.3090909090909091</v>
      </c>
      <c r="AE16" s="26">
        <f t="shared" si="11"/>
        <v>0.67567567567567577</v>
      </c>
      <c r="AF16" s="26">
        <f t="shared" si="12"/>
        <v>0.88235294117647056</v>
      </c>
      <c r="AG16" s="26">
        <f t="shared" si="13"/>
        <v>1</v>
      </c>
      <c r="AH16" s="26">
        <f t="shared" si="1"/>
        <v>1</v>
      </c>
      <c r="AI16" s="26">
        <f t="shared" si="1"/>
        <v>1.1000000000000001</v>
      </c>
      <c r="AJ16" s="1">
        <f t="shared" si="14"/>
        <v>0.80500000000000005</v>
      </c>
    </row>
    <row r="17" spans="3:36" ht="14.25" customHeight="1" x14ac:dyDescent="0.2">
      <c r="C17" s="3" t="s">
        <v>115</v>
      </c>
      <c r="G17" s="6">
        <v>100000</v>
      </c>
      <c r="H17" s="6"/>
      <c r="L17" s="1">
        <f>战斗公式!E39</f>
        <v>25</v>
      </c>
      <c r="M17" s="1">
        <f>战斗公式!E41</f>
        <v>1</v>
      </c>
      <c r="R17" s="1" t="s">
        <v>265</v>
      </c>
      <c r="S17" s="1" t="s">
        <v>161</v>
      </c>
      <c r="T17" s="1" t="str">
        <f t="shared" si="2"/>
        <v>0.95~1</v>
      </c>
      <c r="U17" s="6">
        <v>0.98</v>
      </c>
      <c r="V17" s="6">
        <f t="shared" si="3"/>
        <v>1.0204081632653061</v>
      </c>
      <c r="W17" s="6">
        <f t="shared" si="4"/>
        <v>9.8000000000000007</v>
      </c>
      <c r="X17" s="6">
        <f t="shared" si="5"/>
        <v>40.816326530612244</v>
      </c>
      <c r="Y17" s="6" t="str">
        <f t="shared" si="6"/>
        <v>4~7.5</v>
      </c>
      <c r="Z17" s="6">
        <v>6</v>
      </c>
      <c r="AA17" s="1">
        <f t="shared" si="7"/>
        <v>0.80500000000000005</v>
      </c>
      <c r="AB17" s="1" t="str">
        <f t="shared" si="8"/>
        <v>饼干8</v>
      </c>
      <c r="AC17" s="1" t="str">
        <f t="shared" si="9"/>
        <v>伤害</v>
      </c>
      <c r="AD17" s="26">
        <f t="shared" si="10"/>
        <v>1.3363636363636364</v>
      </c>
      <c r="AE17" s="26">
        <f t="shared" si="11"/>
        <v>0.66188637617209045</v>
      </c>
      <c r="AF17" s="26">
        <f t="shared" si="12"/>
        <v>1.0588235294117647</v>
      </c>
      <c r="AG17" s="26">
        <f t="shared" si="13"/>
        <v>1</v>
      </c>
      <c r="AH17" s="26">
        <f t="shared" si="1"/>
        <v>1</v>
      </c>
      <c r="AI17" s="26">
        <f t="shared" si="1"/>
        <v>1.1000000000000001</v>
      </c>
      <c r="AJ17" s="1">
        <f t="shared" si="14"/>
        <v>0.80500000000000005</v>
      </c>
    </row>
    <row r="18" spans="3:36" s="3" customFormat="1" ht="14.25" customHeight="1" x14ac:dyDescent="0.2">
      <c r="D18" s="3" t="s">
        <v>92</v>
      </c>
      <c r="E18" s="3" t="s">
        <v>93</v>
      </c>
      <c r="F18" s="3" t="s">
        <v>34</v>
      </c>
      <c r="G18" s="25" t="s">
        <v>35</v>
      </c>
      <c r="H18" s="3" t="s">
        <v>36</v>
      </c>
      <c r="I18" s="25" t="s">
        <v>37</v>
      </c>
      <c r="J18" s="25" t="s">
        <v>89</v>
      </c>
      <c r="K18" s="25" t="s">
        <v>13</v>
      </c>
      <c r="L18" s="3" t="s">
        <v>109</v>
      </c>
      <c r="M18" s="3" t="s">
        <v>110</v>
      </c>
      <c r="N18" s="31">
        <f>MAX(N19:N23)/MIN(N19:N23)</f>
        <v>1.0986221899927484</v>
      </c>
      <c r="O18" s="25" t="s">
        <v>166</v>
      </c>
      <c r="R18" s="1" t="s">
        <v>266</v>
      </c>
      <c r="S18" s="1" t="s">
        <v>162</v>
      </c>
      <c r="T18" s="1" t="str">
        <f t="shared" si="2"/>
        <v>0.9~0.95</v>
      </c>
      <c r="U18" s="6">
        <v>0.94</v>
      </c>
      <c r="V18" s="6">
        <f t="shared" si="3"/>
        <v>1.0638297872340428</v>
      </c>
      <c r="W18" s="6">
        <f t="shared" si="4"/>
        <v>9.3999999999999986</v>
      </c>
      <c r="X18" s="6">
        <f t="shared" si="5"/>
        <v>42.553191489361708</v>
      </c>
      <c r="Y18" s="6" t="str">
        <f t="shared" si="6"/>
        <v>5~15</v>
      </c>
      <c r="Z18" s="6">
        <v>7</v>
      </c>
      <c r="AA18" s="1">
        <f t="shared" si="7"/>
        <v>0.77400000000000002</v>
      </c>
      <c r="AB18" s="1" t="str">
        <f t="shared" si="8"/>
        <v>饼干9</v>
      </c>
      <c r="AC18" s="1" t="str">
        <f t="shared" si="9"/>
        <v>伤害</v>
      </c>
      <c r="AD18" s="26">
        <f t="shared" si="10"/>
        <v>1.2818181818181817</v>
      </c>
      <c r="AE18" s="26">
        <f t="shared" si="11"/>
        <v>0.69005175388154127</v>
      </c>
      <c r="AF18" s="26">
        <f t="shared" si="12"/>
        <v>1.2352941176470587</v>
      </c>
      <c r="AG18" s="26">
        <f t="shared" si="13"/>
        <v>1</v>
      </c>
      <c r="AH18" s="26">
        <f t="shared" si="1"/>
        <v>1</v>
      </c>
      <c r="AI18" s="26">
        <f t="shared" si="1"/>
        <v>1.2</v>
      </c>
      <c r="AJ18" s="1">
        <f t="shared" si="14"/>
        <v>0.77400000000000002</v>
      </c>
    </row>
    <row r="19" spans="3:36" ht="14.25" customHeight="1" x14ac:dyDescent="0.2">
      <c r="D19" s="1" t="s">
        <v>71</v>
      </c>
      <c r="E19" s="1" t="s">
        <v>3</v>
      </c>
      <c r="F19" s="6">
        <f>K10/K19/(1+I19*(J19-1))</f>
        <v>4.166666666666667</v>
      </c>
      <c r="G19" s="1">
        <v>11.5</v>
      </c>
      <c r="H19" s="6">
        <f>L10/(G19/$G$17+1)</f>
        <v>111.0983348026088</v>
      </c>
      <c r="I19" s="20">
        <v>0.4</v>
      </c>
      <c r="J19" s="20">
        <v>1.5</v>
      </c>
      <c r="K19" s="1">
        <v>0.9</v>
      </c>
      <c r="L19" s="6">
        <f>F19*$L$17*(1+I19*(J19-1))*K19</f>
        <v>112.5</v>
      </c>
      <c r="M19" s="6">
        <f>H19*$M$17*(1+G19*战斗公式!$E$40)+$M$17*基础模型!$G$17*$L$17</f>
        <v>161.11111111111111</v>
      </c>
      <c r="N19" s="22">
        <f>L19+M19</f>
        <v>273.61111111111109</v>
      </c>
      <c r="O19" s="1">
        <v>25</v>
      </c>
      <c r="P19" s="21"/>
      <c r="R19" s="1" t="s">
        <v>267</v>
      </c>
      <c r="S19" s="1" t="s">
        <v>162</v>
      </c>
      <c r="T19" s="1" t="str">
        <f t="shared" si="2"/>
        <v>0.9~0.95</v>
      </c>
      <c r="U19" s="6">
        <v>0.9</v>
      </c>
      <c r="V19" s="6">
        <f t="shared" si="3"/>
        <v>1.1111111111111112</v>
      </c>
      <c r="W19" s="6">
        <f t="shared" si="4"/>
        <v>9</v>
      </c>
      <c r="X19" s="6">
        <f t="shared" si="5"/>
        <v>44.444444444444443</v>
      </c>
      <c r="Y19" s="6" t="str">
        <f t="shared" si="6"/>
        <v>5~15</v>
      </c>
      <c r="Z19" s="6">
        <v>10</v>
      </c>
      <c r="AA19" s="1">
        <f t="shared" si="7"/>
        <v>0.77400000000000002</v>
      </c>
      <c r="AB19" s="1" t="str">
        <f t="shared" si="8"/>
        <v>饼干10</v>
      </c>
      <c r="AC19" s="1" t="str">
        <f t="shared" si="9"/>
        <v>伤害</v>
      </c>
      <c r="AD19" s="26">
        <f t="shared" si="10"/>
        <v>1.2272727272727273</v>
      </c>
      <c r="AE19" s="26">
        <f t="shared" si="11"/>
        <v>0.72072072072072069</v>
      </c>
      <c r="AF19" s="26">
        <f t="shared" si="12"/>
        <v>1.7647058823529411</v>
      </c>
      <c r="AG19" s="26">
        <f t="shared" si="13"/>
        <v>1</v>
      </c>
      <c r="AH19" s="26">
        <f t="shared" si="1"/>
        <v>1</v>
      </c>
      <c r="AI19" s="26">
        <f t="shared" si="1"/>
        <v>1.2</v>
      </c>
      <c r="AJ19" s="1">
        <f t="shared" si="14"/>
        <v>0.77400000000000002</v>
      </c>
    </row>
    <row r="20" spans="3:36" ht="14.25" customHeight="1" x14ac:dyDescent="0.2">
      <c r="D20" s="1" t="s">
        <v>94</v>
      </c>
      <c r="E20" s="1" t="s">
        <v>3</v>
      </c>
      <c r="F20" s="6">
        <f t="shared" ref="F20:F24" si="19">K11/K20/(1+I20*(J20-1))</f>
        <v>5.2631578947368425</v>
      </c>
      <c r="G20" s="1">
        <v>7.5</v>
      </c>
      <c r="H20" s="6">
        <f t="shared" ref="H20:H24" si="20">L11/(G20/$G$17+1)</f>
        <v>83.327083802048165</v>
      </c>
      <c r="I20" s="20">
        <v>0.4</v>
      </c>
      <c r="J20" s="20">
        <v>1.5</v>
      </c>
      <c r="K20" s="1">
        <v>0.95</v>
      </c>
      <c r="L20" s="6">
        <f t="shared" ref="L20:L23" si="21">F20*$L$17*(1+I20*(J20-1))*K20</f>
        <v>150.00000000000003</v>
      </c>
      <c r="M20" s="6">
        <f>H20*$M$17*(1+G20*战斗公式!$E$40)+$M$17*基础模型!$G$17*$L$17</f>
        <v>133.33333333333331</v>
      </c>
      <c r="N20" s="22">
        <f t="shared" ref="N20:N23" si="22">L20+M20</f>
        <v>283.33333333333337</v>
      </c>
      <c r="O20" s="1">
        <v>25</v>
      </c>
      <c r="P20" s="21"/>
      <c r="R20" s="1" t="s">
        <v>268</v>
      </c>
      <c r="S20" s="1" t="s">
        <v>163</v>
      </c>
      <c r="T20" s="1" t="str">
        <f t="shared" si="2"/>
        <v>0.9~1</v>
      </c>
      <c r="U20" s="6">
        <v>0.9</v>
      </c>
      <c r="V20" s="6">
        <f t="shared" si="3"/>
        <v>1.1111111111111112</v>
      </c>
      <c r="W20" s="6">
        <f t="shared" si="4"/>
        <v>3.6</v>
      </c>
      <c r="X20" s="6">
        <f t="shared" si="5"/>
        <v>55.555555555555557</v>
      </c>
      <c r="Y20" s="6" t="str">
        <f t="shared" si="6"/>
        <v>4~15</v>
      </c>
      <c r="Z20" s="6">
        <v>8</v>
      </c>
      <c r="AA20" s="1">
        <f t="shared" si="7"/>
        <v>0.79800000000000004</v>
      </c>
      <c r="AB20" s="1" t="str">
        <f t="shared" si="8"/>
        <v>饼干11</v>
      </c>
      <c r="AC20" s="1" t="str">
        <f t="shared" si="9"/>
        <v>无</v>
      </c>
      <c r="AD20" s="26">
        <f t="shared" si="10"/>
        <v>0.49090909090909096</v>
      </c>
      <c r="AE20" s="26">
        <f t="shared" si="11"/>
        <v>0.90090090090090091</v>
      </c>
      <c r="AF20" s="26">
        <f t="shared" si="12"/>
        <v>1.4117647058823528</v>
      </c>
      <c r="AG20" s="26">
        <f t="shared" si="13"/>
        <v>1</v>
      </c>
      <c r="AH20" s="26">
        <f t="shared" si="1"/>
        <v>1</v>
      </c>
      <c r="AI20" s="26">
        <f t="shared" si="1"/>
        <v>0.9</v>
      </c>
      <c r="AJ20" s="1">
        <f t="shared" si="14"/>
        <v>0.79800000000000004</v>
      </c>
    </row>
    <row r="21" spans="3:36" ht="14.25" customHeight="1" x14ac:dyDescent="0.2">
      <c r="D21" s="1" t="s">
        <v>99</v>
      </c>
      <c r="E21" s="1" t="s">
        <v>4</v>
      </c>
      <c r="F21" s="6">
        <f t="shared" si="19"/>
        <v>8.75</v>
      </c>
      <c r="G21" s="1">
        <v>2</v>
      </c>
      <c r="H21" s="6">
        <f t="shared" si="20"/>
        <v>38.094476205713981</v>
      </c>
      <c r="I21" s="20">
        <v>0.4</v>
      </c>
      <c r="J21" s="20">
        <v>1.5</v>
      </c>
      <c r="K21" s="1">
        <v>1</v>
      </c>
      <c r="L21" s="6">
        <f>F21*$L$17*(1+I21*(J21-1))*K21</f>
        <v>262.5</v>
      </c>
      <c r="M21" s="6">
        <f>H21*$M$17*(1+G21*战斗公式!$E$40)</f>
        <v>38.095238095238095</v>
      </c>
      <c r="N21" s="22">
        <f>L21+M21</f>
        <v>300.59523809523807</v>
      </c>
      <c r="O21" s="1">
        <v>10</v>
      </c>
      <c r="P21" s="21"/>
      <c r="R21" s="1" t="s">
        <v>269</v>
      </c>
      <c r="S21" s="1" t="s">
        <v>163</v>
      </c>
      <c r="T21" s="1" t="str">
        <f t="shared" si="2"/>
        <v>0.9~1</v>
      </c>
      <c r="U21" s="6">
        <v>1</v>
      </c>
      <c r="V21" s="6">
        <f t="shared" si="3"/>
        <v>1</v>
      </c>
      <c r="W21" s="6">
        <f t="shared" si="4"/>
        <v>4</v>
      </c>
      <c r="X21" s="6">
        <f t="shared" si="5"/>
        <v>50</v>
      </c>
      <c r="Y21" s="6" t="str">
        <f t="shared" si="6"/>
        <v>4~15</v>
      </c>
      <c r="Z21" s="6">
        <v>10</v>
      </c>
      <c r="AA21" s="1">
        <f t="shared" si="7"/>
        <v>0.79800000000000004</v>
      </c>
      <c r="AB21" s="1" t="str">
        <f t="shared" si="8"/>
        <v>饼干12</v>
      </c>
      <c r="AC21" s="1" t="str">
        <f t="shared" si="9"/>
        <v>无</v>
      </c>
      <c r="AD21" s="26">
        <f t="shared" si="10"/>
        <v>0.54545454545454553</v>
      </c>
      <c r="AE21" s="26">
        <f t="shared" si="11"/>
        <v>0.81081081081081086</v>
      </c>
      <c r="AF21" s="26">
        <f t="shared" si="12"/>
        <v>1.7647058823529411</v>
      </c>
      <c r="AG21" s="26">
        <f t="shared" si="13"/>
        <v>1</v>
      </c>
      <c r="AH21" s="26">
        <f t="shared" si="1"/>
        <v>1</v>
      </c>
      <c r="AI21" s="26">
        <f t="shared" si="1"/>
        <v>0.9</v>
      </c>
      <c r="AJ21" s="1">
        <f t="shared" si="14"/>
        <v>0.79800000000000004</v>
      </c>
    </row>
    <row r="22" spans="3:36" ht="14.25" customHeight="1" x14ac:dyDescent="0.2">
      <c r="D22" s="1" t="s">
        <v>100</v>
      </c>
      <c r="E22" s="1" t="s">
        <v>4</v>
      </c>
      <c r="F22" s="6">
        <f t="shared" si="19"/>
        <v>7.5757575757575752</v>
      </c>
      <c r="G22" s="1">
        <v>4</v>
      </c>
      <c r="H22" s="6">
        <f t="shared" si="20"/>
        <v>39.998400063997437</v>
      </c>
      <c r="I22" s="20">
        <v>0.4</v>
      </c>
      <c r="J22" s="20">
        <v>1.5</v>
      </c>
      <c r="K22" s="1">
        <v>1.1000000000000001</v>
      </c>
      <c r="L22" s="6">
        <f t="shared" si="21"/>
        <v>250</v>
      </c>
      <c r="M22" s="6">
        <f>H22*$M$17*(1+G22*战斗公式!$E$40)</f>
        <v>40</v>
      </c>
      <c r="N22" s="22">
        <f>L22+M22</f>
        <v>290</v>
      </c>
      <c r="O22" s="1">
        <v>7.5</v>
      </c>
      <c r="P22" s="21"/>
    </row>
    <row r="23" spans="3:36" ht="14.25" customHeight="1" x14ac:dyDescent="0.2">
      <c r="D23" s="1" t="s">
        <v>101</v>
      </c>
      <c r="E23" s="1" t="s">
        <v>4</v>
      </c>
      <c r="F23" s="6">
        <f t="shared" si="19"/>
        <v>6.5972222222222223</v>
      </c>
      <c r="G23" s="1">
        <v>5</v>
      </c>
      <c r="H23" s="6">
        <f t="shared" si="20"/>
        <v>42.103157999994735</v>
      </c>
      <c r="I23" s="20">
        <v>0.4</v>
      </c>
      <c r="J23" s="20">
        <v>1.5</v>
      </c>
      <c r="K23" s="1">
        <v>1.2</v>
      </c>
      <c r="L23" s="6">
        <f t="shared" si="21"/>
        <v>237.5</v>
      </c>
      <c r="M23" s="6">
        <f>H23*$M$17*(1+G23*战斗公式!$E$40)</f>
        <v>42.10526315789474</v>
      </c>
      <c r="N23" s="22">
        <f t="shared" si="22"/>
        <v>279.60526315789474</v>
      </c>
      <c r="O23" s="1">
        <v>15</v>
      </c>
      <c r="P23" s="21"/>
    </row>
    <row r="24" spans="3:36" ht="14.25" customHeight="1" x14ac:dyDescent="0.2">
      <c r="D24" s="1" t="s">
        <v>102</v>
      </c>
      <c r="E24" s="1" t="s">
        <v>5</v>
      </c>
      <c r="F24" s="6">
        <f t="shared" si="19"/>
        <v>3.3333333333333335</v>
      </c>
      <c r="G24" s="1">
        <v>4</v>
      </c>
      <c r="H24" s="6">
        <f t="shared" si="20"/>
        <v>55.553333422218664</v>
      </c>
      <c r="I24" s="20">
        <v>0.4</v>
      </c>
      <c r="J24" s="20">
        <v>1.5</v>
      </c>
      <c r="K24" s="1">
        <v>0.9</v>
      </c>
      <c r="L24" s="6">
        <f>F24*$L$17*(1+I24*(J24-1))*K24</f>
        <v>90.000000000000014</v>
      </c>
      <c r="M24" s="6">
        <f>H24*$M$17*(1+G24*战斗公式!$E$40)+$M$17*基础模型!$G$13*$L$17</f>
        <v>205.55555555555554</v>
      </c>
      <c r="N24" s="22">
        <f>L24+M24</f>
        <v>295.55555555555554</v>
      </c>
      <c r="O24" s="1">
        <v>15</v>
      </c>
      <c r="P24" s="21"/>
    </row>
    <row r="26" spans="3:36" ht="14.25" customHeight="1" x14ac:dyDescent="0.2">
      <c r="C26" s="3" t="s">
        <v>144</v>
      </c>
      <c r="E26" s="20"/>
      <c r="F26" s="1" t="s">
        <v>149</v>
      </c>
      <c r="G26" s="6">
        <f>F16</f>
        <v>7.333333333333333</v>
      </c>
      <c r="H26" s="6">
        <f>G16</f>
        <v>61.666666666666664</v>
      </c>
      <c r="I26" s="6">
        <f>H16</f>
        <v>5.666666666666667</v>
      </c>
      <c r="J26" s="35">
        <v>0.4</v>
      </c>
      <c r="K26" s="35">
        <v>1.5</v>
      </c>
      <c r="L26" s="18">
        <v>1</v>
      </c>
    </row>
    <row r="27" spans="3:36" ht="14.25" customHeight="1" x14ac:dyDescent="0.2">
      <c r="D27" s="3" t="s">
        <v>92</v>
      </c>
      <c r="E27" s="3" t="s">
        <v>93</v>
      </c>
      <c r="F27" s="3" t="s">
        <v>152</v>
      </c>
      <c r="G27" s="3" t="s">
        <v>15</v>
      </c>
      <c r="H27" s="3" t="s">
        <v>16</v>
      </c>
      <c r="I27" s="3" t="s">
        <v>145</v>
      </c>
      <c r="J27" s="3" t="s">
        <v>146</v>
      </c>
      <c r="K27" s="3" t="s">
        <v>147</v>
      </c>
      <c r="L27" s="3" t="s">
        <v>148</v>
      </c>
      <c r="M27" s="25" t="s">
        <v>176</v>
      </c>
    </row>
    <row r="28" spans="3:36" ht="14.25" customHeight="1" x14ac:dyDescent="0.2">
      <c r="D28" s="1" t="s">
        <v>71</v>
      </c>
      <c r="E28" s="1" t="s">
        <v>3</v>
      </c>
      <c r="F28" s="1" t="s">
        <v>16</v>
      </c>
      <c r="G28" s="6">
        <f>K10/G$26</f>
        <v>0.61363636363636365</v>
      </c>
      <c r="H28" s="6">
        <f t="shared" ref="G28:H33" si="23">L10/H$26</f>
        <v>1.8018018018018018</v>
      </c>
      <c r="I28" s="6">
        <f>G19/I$26</f>
        <v>2.0294117647058822</v>
      </c>
      <c r="J28" s="6">
        <f>0.05/J$26</f>
        <v>0.125</v>
      </c>
      <c r="K28" s="6">
        <f t="shared" ref="K28:L33" si="24">J19/K$26</f>
        <v>1</v>
      </c>
      <c r="L28" s="6">
        <f t="shared" si="24"/>
        <v>0.9</v>
      </c>
      <c r="M28" s="1">
        <v>0.75</v>
      </c>
      <c r="N28" s="36">
        <f>技能模板!J14</f>
        <v>3</v>
      </c>
    </row>
    <row r="29" spans="3:36" ht="14.25" customHeight="1" x14ac:dyDescent="0.2">
      <c r="D29" s="1" t="s">
        <v>94</v>
      </c>
      <c r="E29" s="1" t="s">
        <v>3</v>
      </c>
      <c r="F29" s="1" t="s">
        <v>15</v>
      </c>
      <c r="G29" s="6">
        <f t="shared" si="23"/>
        <v>0.81818181818181823</v>
      </c>
      <c r="H29" s="6">
        <f t="shared" si="23"/>
        <v>1.3513513513513513</v>
      </c>
      <c r="I29" s="6">
        <f t="shared" ref="I29:I33" si="25">G20/I$26</f>
        <v>1.3235294117647058</v>
      </c>
      <c r="J29" s="6">
        <f t="shared" ref="J29:J33" si="26">0.05/J$26</f>
        <v>0.125</v>
      </c>
      <c r="K29" s="6">
        <f t="shared" si="24"/>
        <v>1</v>
      </c>
      <c r="L29" s="6">
        <f t="shared" si="24"/>
        <v>0.95</v>
      </c>
      <c r="M29" s="1">
        <v>0.751</v>
      </c>
      <c r="N29" s="36">
        <f>技能模板!J15</f>
        <v>2.5198402130492674</v>
      </c>
    </row>
    <row r="30" spans="3:36" ht="14.25" customHeight="1" x14ac:dyDescent="0.2">
      <c r="D30" s="1" t="s">
        <v>99</v>
      </c>
      <c r="E30" s="1" t="s">
        <v>4</v>
      </c>
      <c r="F30" s="1" t="s">
        <v>15</v>
      </c>
      <c r="G30" s="6">
        <f t="shared" si="23"/>
        <v>1.4318181818181819</v>
      </c>
      <c r="H30" s="6">
        <f t="shared" si="23"/>
        <v>0.61776061776061775</v>
      </c>
      <c r="I30" s="6">
        <f t="shared" si="25"/>
        <v>0.3529411764705882</v>
      </c>
      <c r="J30" s="6">
        <f t="shared" si="26"/>
        <v>0.125</v>
      </c>
      <c r="K30" s="6">
        <f t="shared" si="24"/>
        <v>1</v>
      </c>
      <c r="L30" s="6">
        <f t="shared" si="24"/>
        <v>1</v>
      </c>
      <c r="M30" s="1">
        <v>0.8</v>
      </c>
      <c r="N30" s="36">
        <f>技能模板!J16</f>
        <v>4.9999999999999982</v>
      </c>
    </row>
    <row r="31" spans="3:36" ht="14.25" customHeight="1" x14ac:dyDescent="0.2">
      <c r="D31" s="1" t="s">
        <v>100</v>
      </c>
      <c r="E31" s="1" t="s">
        <v>4</v>
      </c>
      <c r="F31" s="1" t="s">
        <v>15</v>
      </c>
      <c r="G31" s="6">
        <f t="shared" si="23"/>
        <v>1.3636363636363638</v>
      </c>
      <c r="H31" s="6">
        <f t="shared" si="23"/>
        <v>0.64864864864864868</v>
      </c>
      <c r="I31" s="6">
        <f t="shared" si="25"/>
        <v>0.70588235294117641</v>
      </c>
      <c r="J31" s="6">
        <f t="shared" si="26"/>
        <v>0.125</v>
      </c>
      <c r="K31" s="6">
        <f t="shared" si="24"/>
        <v>1</v>
      </c>
      <c r="L31" s="6">
        <f t="shared" si="24"/>
        <v>1.1000000000000001</v>
      </c>
      <c r="M31" s="1">
        <v>0.80500000000000005</v>
      </c>
      <c r="N31" s="36">
        <f>技能模板!J17</f>
        <v>3.9968944099378874</v>
      </c>
    </row>
    <row r="32" spans="3:36" ht="14.25" customHeight="1" x14ac:dyDescent="0.2">
      <c r="D32" s="1" t="s">
        <v>101</v>
      </c>
      <c r="E32" s="1" t="s">
        <v>4</v>
      </c>
      <c r="F32" s="1" t="s">
        <v>15</v>
      </c>
      <c r="G32" s="6">
        <f t="shared" si="23"/>
        <v>1.2954545454545454</v>
      </c>
      <c r="H32" s="6">
        <f t="shared" si="23"/>
        <v>0.68278805120910391</v>
      </c>
      <c r="I32" s="6">
        <f t="shared" si="25"/>
        <v>0.88235294117647056</v>
      </c>
      <c r="J32" s="6">
        <f t="shared" si="26"/>
        <v>0.125</v>
      </c>
      <c r="K32" s="6">
        <f t="shared" si="24"/>
        <v>1</v>
      </c>
      <c r="L32" s="6">
        <f t="shared" si="24"/>
        <v>1.2</v>
      </c>
      <c r="M32" s="1">
        <v>0.77400000000000002</v>
      </c>
      <c r="N32" s="36">
        <f>技能模板!J18</f>
        <v>3.5038759689922472</v>
      </c>
    </row>
    <row r="33" spans="4:14" ht="14.25" customHeight="1" x14ac:dyDescent="0.2">
      <c r="D33" s="1" t="s">
        <v>102</v>
      </c>
      <c r="E33" s="1" t="s">
        <v>5</v>
      </c>
      <c r="F33" s="1" t="s">
        <v>155</v>
      </c>
      <c r="G33" s="6">
        <f t="shared" si="23"/>
        <v>0.49090909090909096</v>
      </c>
      <c r="H33" s="6">
        <f t="shared" si="23"/>
        <v>0.90090090090090091</v>
      </c>
      <c r="I33" s="6">
        <f t="shared" si="25"/>
        <v>0.70588235294117641</v>
      </c>
      <c r="J33" s="6">
        <f t="shared" si="26"/>
        <v>0.125</v>
      </c>
      <c r="K33" s="6">
        <f t="shared" si="24"/>
        <v>1</v>
      </c>
      <c r="L33" s="6">
        <f t="shared" si="24"/>
        <v>0.9</v>
      </c>
      <c r="M33" s="1">
        <v>0.79800000000000004</v>
      </c>
      <c r="N33" s="36">
        <f>技能模板!J19</f>
        <v>2.5060150375939845</v>
      </c>
    </row>
  </sheetData>
  <mergeCells count="1">
    <mergeCell ref="A1:B2"/>
  </mergeCells>
  <phoneticPr fontId="1" type="noConversion"/>
  <dataValidations count="2">
    <dataValidation type="custom" allowBlank="1" showInputMessage="1" showErrorMessage="1" error="注意输入范围" sqref="U10:U21" xr:uid="{141FFB9E-5FF5-4BC2-8BA6-7DB30A7C50B7}">
      <formula1>AND(U10&gt;=MIN(VLOOKUP(S10,$D$9:$M$15,6,0),VLOOKUP(S10,$D$9:$M$15,10,0)),U10&lt;=MAX(VLOOKUP(S10,$D$9:$M$15,6,0),VLOOKUP(S10,$D$9:$M$15,10,0)))</formula1>
    </dataValidation>
    <dataValidation type="custom" allowBlank="1" showInputMessage="1" showErrorMessage="1" sqref="Z10:Z21" xr:uid="{1E9F0C07-5CFF-4B55-9C36-83591941CA3B}">
      <formula1>AND(Z10&gt;=MIN(VLOOKUP(S10,$D$18:$O$24,4,0),VLOOKUP(S10,$D$18:$O$24,12,0)),Z10&lt;=MAX(VLOOKUP(S10,$D$18:$O$24,4,0),VLOOKUP(S10,$D$18:$O$24,12,0)))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C0A73-392F-432F-A623-56EEF77FAB61}">
  <sheetPr codeName="Sheet5"/>
  <dimension ref="A1:AM121"/>
  <sheetViews>
    <sheetView workbookViewId="0">
      <pane xSplit="3" ySplit="8" topLeftCell="D9" activePane="bottomRight" state="frozen"/>
      <selection pane="topRight" activeCell="D1" sqref="D1"/>
      <selection pane="bottomLeft" activeCell="A10" sqref="A10"/>
      <selection pane="bottomRight" activeCell="G15" sqref="G15"/>
    </sheetView>
  </sheetViews>
  <sheetFormatPr defaultRowHeight="14.25" customHeight="1" x14ac:dyDescent="0.2"/>
  <cols>
    <col min="1" max="16384" width="9" style="1"/>
  </cols>
  <sheetData>
    <row r="1" spans="1:35" ht="14.25" customHeight="1" x14ac:dyDescent="0.2">
      <c r="A1" s="81" t="s">
        <v>116</v>
      </c>
      <c r="B1" s="82"/>
      <c r="AB1" s="1" t="s">
        <v>158</v>
      </c>
      <c r="AC1" s="1">
        <v>1</v>
      </c>
      <c r="AD1" s="9">
        <v>4612980.6323862216</v>
      </c>
    </row>
    <row r="2" spans="1:35" ht="14.25" customHeight="1" x14ac:dyDescent="0.2">
      <c r="A2" s="83"/>
      <c r="B2" s="84"/>
      <c r="AB2" s="1" t="s">
        <v>158</v>
      </c>
      <c r="AC2" s="1">
        <v>2</v>
      </c>
      <c r="AD2" s="9">
        <v>4508614.5547304247</v>
      </c>
    </row>
    <row r="3" spans="1:35" ht="14.25" customHeight="1" x14ac:dyDescent="0.2">
      <c r="C3" s="3" t="s">
        <v>118</v>
      </c>
      <c r="D3" s="2" t="s">
        <v>191</v>
      </c>
      <c r="AB3" s="1" t="s">
        <v>159</v>
      </c>
      <c r="AC3" s="1">
        <v>3</v>
      </c>
      <c r="AD3" s="9">
        <v>4457380.2984266691</v>
      </c>
    </row>
    <row r="4" spans="1:35" s="3" customFormat="1" ht="14.25" customHeight="1" x14ac:dyDescent="0.2">
      <c r="D4" s="3" t="s">
        <v>69</v>
      </c>
      <c r="E4" s="3" t="s">
        <v>119</v>
      </c>
      <c r="F4" s="3" t="s">
        <v>168</v>
      </c>
      <c r="G4" s="1"/>
      <c r="H4" s="3" t="s">
        <v>169</v>
      </c>
      <c r="I4" s="1"/>
      <c r="J4" s="1"/>
      <c r="K4" s="1"/>
      <c r="L4" s="1"/>
      <c r="M4" s="1"/>
      <c r="N4" s="1"/>
      <c r="O4" s="1"/>
      <c r="AB4" s="1" t="s">
        <v>159</v>
      </c>
      <c r="AC4" s="1">
        <v>4</v>
      </c>
      <c r="AD4" s="9">
        <v>4445994.9081369452</v>
      </c>
    </row>
    <row r="5" spans="1:35" ht="14.25" customHeight="1" x14ac:dyDescent="0.2">
      <c r="D5" s="1" t="s">
        <v>120</v>
      </c>
      <c r="E5" s="1">
        <v>28</v>
      </c>
      <c r="F5" s="24">
        <f>E5/SUM($E$5:$E$8)</f>
        <v>0.28000000000000003</v>
      </c>
      <c r="H5" s="24">
        <f>E5/SUM($E$5:$E$7)</f>
        <v>0.4</v>
      </c>
      <c r="I5" s="20"/>
      <c r="J5" s="20"/>
      <c r="K5" s="20"/>
      <c r="L5" s="20"/>
      <c r="M5" s="20"/>
      <c r="N5" s="20"/>
      <c r="AB5" s="1" t="s">
        <v>160</v>
      </c>
      <c r="AC5" s="1">
        <v>5</v>
      </c>
      <c r="AD5" s="9">
        <v>5449698.3863924081</v>
      </c>
    </row>
    <row r="6" spans="1:35" ht="14.25" customHeight="1" x14ac:dyDescent="0.2">
      <c r="D6" s="1" t="s">
        <v>183</v>
      </c>
      <c r="E6" s="1">
        <v>28</v>
      </c>
      <c r="F6" s="24">
        <f>E6/SUM($E$5:$E$8)</f>
        <v>0.28000000000000003</v>
      </c>
      <c r="G6" s="4">
        <f>F6/F5</f>
        <v>1</v>
      </c>
      <c r="H6" s="24">
        <f t="shared" ref="H6:H7" si="0">E6/SUM($E$5:$E$7)</f>
        <v>0.4</v>
      </c>
      <c r="I6" s="4">
        <f>H6/H5</f>
        <v>1</v>
      </c>
      <c r="J6" s="36"/>
      <c r="K6" s="36"/>
      <c r="AB6" s="1" t="s">
        <v>160</v>
      </c>
      <c r="AC6" s="1">
        <v>6</v>
      </c>
      <c r="AD6" s="9">
        <v>5260050.3138521584</v>
      </c>
    </row>
    <row r="7" spans="1:35" ht="14.25" customHeight="1" x14ac:dyDescent="0.2">
      <c r="D7" s="1" t="s">
        <v>121</v>
      </c>
      <c r="E7" s="1">
        <v>14</v>
      </c>
      <c r="F7" s="24">
        <f>E7/SUM($E$5:$E$8)</f>
        <v>0.14000000000000001</v>
      </c>
      <c r="G7" s="4">
        <f>F7/SUM($F$5:$F$6)</f>
        <v>0.25</v>
      </c>
      <c r="H7" s="24">
        <f t="shared" si="0"/>
        <v>0.2</v>
      </c>
      <c r="I7" s="4">
        <f>H7/SUM($H$5:$H$6)</f>
        <v>0.25</v>
      </c>
      <c r="J7" s="36"/>
      <c r="K7" s="36"/>
      <c r="O7" s="1">
        <v>1.05</v>
      </c>
      <c r="AB7" s="1" t="s">
        <v>161</v>
      </c>
      <c r="AC7" s="1">
        <v>7</v>
      </c>
      <c r="AD7" s="9">
        <v>5111015.5549596818</v>
      </c>
    </row>
    <row r="8" spans="1:35" ht="14.25" customHeight="1" x14ac:dyDescent="0.2">
      <c r="D8" s="1" t="s">
        <v>122</v>
      </c>
      <c r="E8" s="1">
        <v>30</v>
      </c>
      <c r="F8" s="24">
        <f>E8/SUM($E$5:$E$8)</f>
        <v>0.3</v>
      </c>
      <c r="G8" s="4">
        <f>F8/SUM($F$5:$F$6)</f>
        <v>0.5357142857142857</v>
      </c>
      <c r="I8" s="36"/>
      <c r="J8" s="36"/>
      <c r="K8" s="36"/>
      <c r="O8" s="6">
        <f>POWER(O7,99)</f>
        <v>125.23929318695586</v>
      </c>
      <c r="AB8" s="1" t="s">
        <v>161</v>
      </c>
      <c r="AC8" s="1">
        <v>8</v>
      </c>
      <c r="AD8" s="9">
        <v>5185213.446413096</v>
      </c>
    </row>
    <row r="9" spans="1:35" ht="14.25" customHeight="1" x14ac:dyDescent="0.2">
      <c r="D9" s="2"/>
      <c r="AB9" s="1" t="s">
        <v>162</v>
      </c>
      <c r="AC9" s="1">
        <v>9</v>
      </c>
      <c r="AD9" s="9">
        <v>5037497.4251931254</v>
      </c>
    </row>
    <row r="10" spans="1:35" ht="14.25" customHeight="1" x14ac:dyDescent="0.2">
      <c r="E10" s="2" t="s">
        <v>111</v>
      </c>
      <c r="P10" s="26"/>
      <c r="AB10" s="1" t="s">
        <v>162</v>
      </c>
      <c r="AC10" s="1">
        <v>10</v>
      </c>
      <c r="AD10" s="9">
        <v>4892681.7205037549</v>
      </c>
    </row>
    <row r="11" spans="1:35" ht="14.25" customHeight="1" x14ac:dyDescent="0.2">
      <c r="E11" s="2" t="s">
        <v>112</v>
      </c>
      <c r="AB11" s="1" t="s">
        <v>163</v>
      </c>
      <c r="AC11" s="1">
        <v>11</v>
      </c>
      <c r="AD11" s="9">
        <v>3788488.6189054241</v>
      </c>
    </row>
    <row r="12" spans="1:35" ht="14.25" customHeight="1" x14ac:dyDescent="0.2">
      <c r="E12" s="2" t="s">
        <v>113</v>
      </c>
      <c r="K12" s="2" t="s">
        <v>124</v>
      </c>
      <c r="AB12" s="1" t="s">
        <v>163</v>
      </c>
      <c r="AC12" s="1">
        <v>12</v>
      </c>
      <c r="AD12" s="9">
        <v>3945037.7353891199</v>
      </c>
    </row>
    <row r="13" spans="1:35" ht="14.25" customHeight="1" x14ac:dyDescent="0.2">
      <c r="C13" s="3" t="s">
        <v>170</v>
      </c>
      <c r="D13" s="2" t="s">
        <v>199</v>
      </c>
      <c r="E13" s="2"/>
      <c r="L13" s="2"/>
      <c r="R13" s="3" t="s">
        <v>171</v>
      </c>
      <c r="S13" s="1" t="s">
        <v>258</v>
      </c>
      <c r="AD13" s="4">
        <f>MAX(AD1:AD12)/MIN(AD1:AD12)</f>
        <v>1.4384887839433296</v>
      </c>
    </row>
    <row r="14" spans="1:35" ht="14.25" customHeight="1" x14ac:dyDescent="0.2">
      <c r="E14" s="6">
        <f>MAX(E18:E117)/MIN(E18:E117)</f>
        <v>125.23929318695586</v>
      </c>
      <c r="F14" s="6">
        <f>MAX(F18:F117)/MIN(F18:F117)</f>
        <v>125.23929318695586</v>
      </c>
      <c r="G14" s="6">
        <f>MAX(G18:G117)/MIN(G18:G117)</f>
        <v>125.23929318695585</v>
      </c>
      <c r="L14" s="9">
        <f>MAX(G18:G117)*L15</f>
        <v>106453.39920891248</v>
      </c>
      <c r="N14" s="8">
        <f>N16/G18</f>
        <v>17647.058823529413</v>
      </c>
      <c r="O14" s="8">
        <f>N16/O8</f>
        <v>798.47144977671724</v>
      </c>
      <c r="AH14" s="9">
        <f>AH18*0.4</f>
        <v>52.5</v>
      </c>
      <c r="AI14" s="9">
        <f>AI18*1.8</f>
        <v>8096.3855421686767</v>
      </c>
    </row>
    <row r="15" spans="1:35" ht="14.25" customHeight="1" x14ac:dyDescent="0.2">
      <c r="A15" s="1">
        <v>100</v>
      </c>
      <c r="B15" s="1">
        <f t="shared" ref="B15:B16" si="1">VLOOKUP(A15,$D$17:$E$117,2,0)</f>
        <v>918.42148337100957</v>
      </c>
      <c r="C15" s="6">
        <f>B14/B15</f>
        <v>0</v>
      </c>
      <c r="E15" s="6">
        <f>角色设定!F16</f>
        <v>7.333333333333333</v>
      </c>
      <c r="F15" s="6">
        <f>角色设定!G16</f>
        <v>61.666666666666664</v>
      </c>
      <c r="G15" s="6">
        <f>角色设定!H16</f>
        <v>5.666666666666667</v>
      </c>
      <c r="K15" s="1" t="s">
        <v>131</v>
      </c>
      <c r="L15" s="1">
        <v>150</v>
      </c>
      <c r="P15" s="6">
        <f>1-N16/(N16+N117)</f>
        <v>0.5156291909787889</v>
      </c>
      <c r="Q15" s="8">
        <f>L117*(1-P15)</f>
        <v>38924.948730751705</v>
      </c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6"/>
    </row>
    <row r="16" spans="1:35" ht="14.25" customHeight="1" x14ac:dyDescent="0.2">
      <c r="A16" s="1">
        <v>90</v>
      </c>
      <c r="B16" s="1">
        <f t="shared" si="1"/>
        <v>563.83112097802677</v>
      </c>
      <c r="C16" s="6">
        <f>B15/B16</f>
        <v>1.6288946267774418</v>
      </c>
      <c r="E16" s="26">
        <v>1.05</v>
      </c>
      <c r="F16" s="26">
        <v>1.05</v>
      </c>
      <c r="G16" s="26">
        <v>1.05</v>
      </c>
      <c r="L16" s="1">
        <v>0.7</v>
      </c>
      <c r="N16" s="1">
        <v>100000</v>
      </c>
      <c r="T16" s="1">
        <f>T18*H5</f>
        <v>187.5</v>
      </c>
      <c r="U16" s="21">
        <f>U18*F5</f>
        <v>4497.9919678714868</v>
      </c>
      <c r="W16" s="20">
        <f>角色设定!J26</f>
        <v>0.4</v>
      </c>
      <c r="X16" s="20">
        <f>角色设定!K26</f>
        <v>1.5</v>
      </c>
      <c r="AE16" s="22">
        <f>AE117</f>
        <v>3672381.3575133411</v>
      </c>
    </row>
    <row r="17" spans="1:39" ht="14.25" customHeight="1" x14ac:dyDescent="0.2">
      <c r="A17" s="1">
        <v>70</v>
      </c>
      <c r="B17" s="1">
        <f>VLOOKUP(A17,$D$17:$E$117,2,0)</f>
        <v>212.50201961311276</v>
      </c>
      <c r="C17" s="6">
        <f t="shared" ref="C17" si="2">B16/B17</f>
        <v>2.6532977051444209</v>
      </c>
      <c r="D17" s="1" t="s">
        <v>172</v>
      </c>
      <c r="E17" s="1" t="s">
        <v>15</v>
      </c>
      <c r="F17" s="1" t="s">
        <v>16</v>
      </c>
      <c r="G17" s="1" t="s">
        <v>35</v>
      </c>
      <c r="H17" s="1" t="s">
        <v>37</v>
      </c>
      <c r="I17" s="1" t="s">
        <v>89</v>
      </c>
      <c r="J17" s="1" t="s">
        <v>13</v>
      </c>
      <c r="L17" s="1" t="s">
        <v>34</v>
      </c>
      <c r="M17" s="1" t="s">
        <v>36</v>
      </c>
      <c r="N17" s="1" t="s">
        <v>35</v>
      </c>
      <c r="O17" s="1" t="s">
        <v>37</v>
      </c>
      <c r="P17" s="1" t="s">
        <v>89</v>
      </c>
      <c r="Q17" s="1" t="s">
        <v>13</v>
      </c>
      <c r="S17" s="1" t="s">
        <v>172</v>
      </c>
      <c r="T17" s="1" t="s">
        <v>173</v>
      </c>
      <c r="U17" s="1" t="s">
        <v>174</v>
      </c>
      <c r="V17" s="1" t="s">
        <v>145</v>
      </c>
      <c r="W17" s="1" t="s">
        <v>146</v>
      </c>
      <c r="X17" s="1" t="s">
        <v>147</v>
      </c>
      <c r="Y17" s="1" t="s">
        <v>148</v>
      </c>
      <c r="Z17" s="1" t="s">
        <v>176</v>
      </c>
      <c r="AE17" s="1" t="s">
        <v>177</v>
      </c>
      <c r="AF17" s="1" t="s">
        <v>178</v>
      </c>
      <c r="AH17" s="1" t="s">
        <v>179</v>
      </c>
      <c r="AI17" s="1" t="s">
        <v>180</v>
      </c>
      <c r="AJ17" s="1" t="s">
        <v>181</v>
      </c>
    </row>
    <row r="18" spans="1:39" ht="14.25" customHeight="1" x14ac:dyDescent="0.2">
      <c r="A18" s="1">
        <v>50</v>
      </c>
      <c r="B18" s="1">
        <f>VLOOKUP(A18,$D$17:$E$117,2,0)</f>
        <v>80.089776281454306</v>
      </c>
      <c r="C18" s="6">
        <f>B17/B18</f>
        <v>2.6532977051444209</v>
      </c>
      <c r="D18" s="1">
        <v>1</v>
      </c>
      <c r="E18" s="6">
        <f>E$15*E$16^($D18-1)</f>
        <v>7.333333333333333</v>
      </c>
      <c r="F18" s="6">
        <f t="shared" ref="F18:G33" si="3">F$15*F$16^($D18-1)</f>
        <v>61.666666666666664</v>
      </c>
      <c r="G18" s="6">
        <f t="shared" si="3"/>
        <v>5.666666666666667</v>
      </c>
      <c r="H18" s="6">
        <v>0.4</v>
      </c>
      <c r="I18" s="6">
        <v>1.5</v>
      </c>
      <c r="J18" s="6">
        <v>1</v>
      </c>
      <c r="K18" s="26">
        <f>M19/M18</f>
        <v>1.0495576975493717</v>
      </c>
      <c r="L18" s="6">
        <f>E18*$L$16/J18/(1+H18*(I18-1))*$L$15</f>
        <v>641.66666666666663</v>
      </c>
      <c r="M18" s="6">
        <f>F18/(1+N18/$N$16)*$L$15</f>
        <v>9172.0376797223598</v>
      </c>
      <c r="N18" s="6">
        <f>G18*$L$15</f>
        <v>850</v>
      </c>
      <c r="O18" s="6">
        <f t="shared" ref="O18:O49" si="4">H18</f>
        <v>0.4</v>
      </c>
      <c r="P18" s="6">
        <f t="shared" ref="P18:P49" si="5">I18</f>
        <v>1.5</v>
      </c>
      <c r="Q18" s="6">
        <f t="shared" ref="Q18:Q49" si="6">J18</f>
        <v>1</v>
      </c>
      <c r="R18" s="6"/>
      <c r="S18" s="38">
        <v>1</v>
      </c>
      <c r="T18" s="6">
        <f>VLOOKUP($S$13,角色设定!$AB$9:$AJ$21,MATCH(E$17,角色设定!$AB$9:$AJ$9,0),0)*Z18*$L$15*E18/Y18/(1+W18*(X18-1))</f>
        <v>468.74999999999994</v>
      </c>
      <c r="U18" s="6">
        <f>VLOOKUP($S$13,角色设定!$AB$9:$AJ$21,MATCH(F$17,角色设定!$AB$9:$AJ$9,0),0)*F18*$L$15/(1+V18/$N$16)</f>
        <v>16064.25702811245</v>
      </c>
      <c r="V18" s="6">
        <f>VLOOKUP($S$13,角色设定!$AB$9:$AJ$21,MATCH(V$17,角色设定!$AB$9:$AJ$9,0),0)*G18*$L$15</f>
        <v>3749.9999999999995</v>
      </c>
      <c r="W18" s="6">
        <f>VLOOKUP($S$13,角色设定!$AB$9:$AJ$21,MATCH(W$17,角色设定!$AB$9:$AJ$9,0),0)*H18</f>
        <v>0.4</v>
      </c>
      <c r="X18" s="6">
        <f>VLOOKUP($S$13,角色设定!$AB$9:$AJ$21,MATCH(X$17,角色设定!$AB$9:$AJ$9,0),0)*I18</f>
        <v>1.5</v>
      </c>
      <c r="Y18" s="6">
        <f>VLOOKUP($S$13,角色设定!$AB$9:$AJ$21,MATCH(Y$17,角色设定!$AB$9:$AJ$9,0),0)*J18</f>
        <v>0.9</v>
      </c>
      <c r="Z18" s="6">
        <f>VLOOKUP($S$13,角色设定!$AB$9:$AJ$21,MATCH(Z$17,角色设定!$AB$9:$AJ$9,0),0)</f>
        <v>0.75</v>
      </c>
      <c r="AA18" s="6"/>
      <c r="AB18" s="6"/>
      <c r="AC18" s="6">
        <f>T18*战斗公式!$E$39*(1+W18*(X18-1))*Y18</f>
        <v>12656.249999999998</v>
      </c>
      <c r="AD18" s="6">
        <f>U18*战斗公式!$E$41*(1+V18*战斗公式!$E$40)</f>
        <v>16666.666666666668</v>
      </c>
      <c r="AE18" s="22">
        <f>AC18+AD18</f>
        <v>29322.916666666664</v>
      </c>
      <c r="AH18" s="9">
        <f>T18*$F$5</f>
        <v>131.25</v>
      </c>
      <c r="AI18" s="9">
        <f>U18*$F$5</f>
        <v>4497.9919678714868</v>
      </c>
      <c r="AJ18" s="9">
        <f>V18*$F$5</f>
        <v>1050</v>
      </c>
    </row>
    <row r="19" spans="1:39" ht="14.25" customHeight="1" x14ac:dyDescent="0.2">
      <c r="A19" s="1">
        <v>30</v>
      </c>
      <c r="B19" s="1">
        <f>VLOOKUP(A19,$D$17:$E$117,2,0)</f>
        <v>30.184994366131619</v>
      </c>
      <c r="C19" s="6">
        <f>B18/B19</f>
        <v>2.6532977051444213</v>
      </c>
      <c r="D19" s="1">
        <v>2</v>
      </c>
      <c r="E19" s="6">
        <f t="shared" ref="E19:G50" si="7">E$15*E$16^($D19-1)</f>
        <v>7.7</v>
      </c>
      <c r="F19" s="6">
        <f t="shared" si="3"/>
        <v>64.75</v>
      </c>
      <c r="G19" s="6">
        <f t="shared" si="3"/>
        <v>5.95</v>
      </c>
      <c r="H19" s="6">
        <v>0.4</v>
      </c>
      <c r="I19" s="6">
        <v>1.5</v>
      </c>
      <c r="J19" s="6">
        <v>1</v>
      </c>
      <c r="K19" s="26">
        <f t="shared" ref="K19:K82" si="8">M20/M19</f>
        <v>1.0495357877490565</v>
      </c>
      <c r="L19" s="6">
        <f t="shared" ref="L19:L49" si="9">E19*$L$16/J19/(1+H19*(I19-1))*$L$15</f>
        <v>673.74999999999989</v>
      </c>
      <c r="M19" s="6">
        <f t="shared" ref="M19:M49" si="10">F19/(1+N19/$N$16)*$L$15</f>
        <v>9626.5827489654821</v>
      </c>
      <c r="N19" s="6">
        <f t="shared" ref="N19:N49" si="11">G19*$L$15</f>
        <v>892.5</v>
      </c>
      <c r="O19" s="6">
        <f t="shared" si="4"/>
        <v>0.4</v>
      </c>
      <c r="P19" s="6">
        <f t="shared" si="5"/>
        <v>1.5</v>
      </c>
      <c r="Q19" s="6">
        <f t="shared" si="6"/>
        <v>1</v>
      </c>
      <c r="R19" s="6"/>
      <c r="S19" s="38">
        <v>2</v>
      </c>
      <c r="T19" s="6">
        <f>VLOOKUP($S$13,角色设定!$AB$9:$AJ$21,MATCH(E$17,角色设定!$AB$9:$AJ$9,0),0)*Z19*$L$15*E19/Y19/(1+W19*(X19-1))</f>
        <v>492.1875</v>
      </c>
      <c r="U19" s="6">
        <f>VLOOKUP($S$13,角色设定!$AB$9:$AJ$21,MATCH(F$17,角色设定!$AB$9:$AJ$9,0),0)*F19*$L$15/(1+V19/$N$16)</f>
        <v>16837.041491280819</v>
      </c>
      <c r="V19" s="6">
        <f>VLOOKUP($S$13,角色设定!$AB$9:$AJ$21,MATCH(V$17,角色设定!$AB$9:$AJ$9,0),0)*G19*$L$15</f>
        <v>3937.4999999999995</v>
      </c>
      <c r="W19" s="6">
        <f>VLOOKUP($S$13,角色设定!$AB$9:$AJ$21,MATCH(W$17,角色设定!$AB$9:$AJ$9,0),0)*H19</f>
        <v>0.4</v>
      </c>
      <c r="X19" s="6">
        <f>VLOOKUP($S$13,角色设定!$AB$9:$AJ$21,MATCH(X$17,角色设定!$AB$9:$AJ$9,0),0)*I19</f>
        <v>1.5</v>
      </c>
      <c r="Y19" s="6">
        <f>VLOOKUP($S$13,角色设定!$AB$9:$AJ$21,MATCH(Y$17,角色设定!$AB$9:$AJ$9,0),0)*J19</f>
        <v>0.9</v>
      </c>
      <c r="Z19" s="6">
        <f>VLOOKUP($S$13,角色设定!$AB$9:$AJ$21,MATCH(Z$17,角色设定!$AB$9:$AJ$9,0),0)</f>
        <v>0.75</v>
      </c>
      <c r="AA19" s="6"/>
      <c r="AB19" s="6"/>
      <c r="AC19" s="6">
        <f>T19*战斗公式!$E$39*(1+W19*(X19-1))*Y19</f>
        <v>13289.0625</v>
      </c>
      <c r="AD19" s="6">
        <f>U19*战斗公式!$E$41*(1+V19*战斗公式!$E$40)</f>
        <v>17500</v>
      </c>
      <c r="AE19" s="22">
        <f t="shared" ref="AE19:AE82" si="12">AC19+AD19</f>
        <v>30789.0625</v>
      </c>
      <c r="AF19" s="22">
        <f>AE19-AE18</f>
        <v>1466.1458333333358</v>
      </c>
      <c r="AG19" s="22"/>
      <c r="AH19" s="9">
        <f t="shared" ref="AH19:AH82" si="13">T19*$F$5</f>
        <v>137.8125</v>
      </c>
      <c r="AI19" s="9">
        <f t="shared" ref="AI19:AI82" si="14">U19*$F$5</f>
        <v>4714.3716175586296</v>
      </c>
      <c r="AJ19" s="9">
        <f t="shared" ref="AJ19:AJ82" si="15">V19*$F$5</f>
        <v>1102.5</v>
      </c>
      <c r="AK19" s="9">
        <f>AH19-AH18</f>
        <v>6.5625</v>
      </c>
      <c r="AL19" s="9">
        <f>AI19-AI18</f>
        <v>216.37964968714277</v>
      </c>
      <c r="AM19" s="9">
        <f>AJ19-AJ18</f>
        <v>52.5</v>
      </c>
    </row>
    <row r="20" spans="1:39" ht="14.25" customHeight="1" x14ac:dyDescent="0.2">
      <c r="A20" s="1">
        <v>1</v>
      </c>
      <c r="B20" s="1">
        <f>VLOOKUP(A20,$D$17:$E$117,2,0)</f>
        <v>7.333333333333333</v>
      </c>
      <c r="C20" s="6">
        <f>B19/B20</f>
        <v>4.1161355953815848</v>
      </c>
      <c r="D20" s="1">
        <v>3</v>
      </c>
      <c r="E20" s="6">
        <f t="shared" si="7"/>
        <v>8.0849999999999991</v>
      </c>
      <c r="F20" s="6">
        <f t="shared" si="3"/>
        <v>67.987499999999997</v>
      </c>
      <c r="G20" s="6">
        <f t="shared" si="3"/>
        <v>6.2475000000000005</v>
      </c>
      <c r="H20" s="6">
        <v>0.4</v>
      </c>
      <c r="I20" s="6">
        <v>1.5</v>
      </c>
      <c r="J20" s="6">
        <v>1</v>
      </c>
      <c r="K20" s="26">
        <f t="shared" si="8"/>
        <v>1.0495128032991867</v>
      </c>
      <c r="L20" s="6">
        <f t="shared" si="9"/>
        <v>707.43749999999977</v>
      </c>
      <c r="M20" s="6">
        <f t="shared" si="10"/>
        <v>10103.443108766965</v>
      </c>
      <c r="N20" s="6">
        <f t="shared" si="11"/>
        <v>937.12500000000011</v>
      </c>
      <c r="O20" s="6">
        <f t="shared" si="4"/>
        <v>0.4</v>
      </c>
      <c r="P20" s="6">
        <f t="shared" si="5"/>
        <v>1.5</v>
      </c>
      <c r="Q20" s="6">
        <f t="shared" si="6"/>
        <v>1</v>
      </c>
      <c r="R20" s="6"/>
      <c r="S20" s="38">
        <v>3</v>
      </c>
      <c r="T20" s="6">
        <f>VLOOKUP($S$13,角色设定!$AB$9:$AJ$21,MATCH(E$17,角色设定!$AB$9:$AJ$9,0),0)*Z20*$L$15*E20/Y20/(1+W20*(X20-1))</f>
        <v>516.79687499999989</v>
      </c>
      <c r="U20" s="6">
        <f>VLOOKUP($S$13,角色设定!$AB$9:$AJ$21,MATCH(F$17,角色设定!$AB$9:$AJ$9,0),0)*F20*$L$15/(1+V20/$N$16)</f>
        <v>17645.470095729677</v>
      </c>
      <c r="V20" s="6">
        <f>VLOOKUP($S$13,角色设定!$AB$9:$AJ$21,MATCH(V$17,角色设定!$AB$9:$AJ$9,0),0)*G20*$L$15</f>
        <v>4134.375</v>
      </c>
      <c r="W20" s="6">
        <f>VLOOKUP($S$13,角色设定!$AB$9:$AJ$21,MATCH(W$17,角色设定!$AB$9:$AJ$9,0),0)*H20</f>
        <v>0.4</v>
      </c>
      <c r="X20" s="6">
        <f>VLOOKUP($S$13,角色设定!$AB$9:$AJ$21,MATCH(X$17,角色设定!$AB$9:$AJ$9,0),0)*I20</f>
        <v>1.5</v>
      </c>
      <c r="Y20" s="6">
        <f>VLOOKUP($S$13,角色设定!$AB$9:$AJ$21,MATCH(Y$17,角色设定!$AB$9:$AJ$9,0),0)*J20</f>
        <v>0.9</v>
      </c>
      <c r="Z20" s="6">
        <f>VLOOKUP($S$13,角色设定!$AB$9:$AJ$21,MATCH(Z$17,角色设定!$AB$9:$AJ$9,0),0)</f>
        <v>0.75</v>
      </c>
      <c r="AA20" s="6"/>
      <c r="AB20" s="6"/>
      <c r="AC20" s="6">
        <f>T20*战斗公式!$E$39*(1+W20*(X20-1))*Y20</f>
        <v>13953.515624999995</v>
      </c>
      <c r="AD20" s="6">
        <f>U20*战斗公式!$E$41*(1+V20*战斗公式!$E$40)</f>
        <v>18375</v>
      </c>
      <c r="AE20" s="22">
        <f t="shared" si="12"/>
        <v>32328.515624999993</v>
      </c>
      <c r="AF20" s="22">
        <f t="shared" ref="AF20:AF83" si="16">AE20-AE19</f>
        <v>1539.4531249999927</v>
      </c>
      <c r="AG20" s="22"/>
      <c r="AH20" s="9">
        <f t="shared" si="13"/>
        <v>144.70312499999997</v>
      </c>
      <c r="AI20" s="9">
        <f t="shared" si="14"/>
        <v>4940.7316268043105</v>
      </c>
      <c r="AJ20" s="9">
        <f t="shared" si="15"/>
        <v>1157.625</v>
      </c>
      <c r="AK20" s="9">
        <f t="shared" ref="AK20:AK83" si="17">AH20-AH19</f>
        <v>6.8906249999999716</v>
      </c>
      <c r="AL20" s="9">
        <f t="shared" ref="AL20:AL83" si="18">AI20-AI19</f>
        <v>226.36000924568089</v>
      </c>
      <c r="AM20" s="9">
        <f t="shared" ref="AM20:AM83" si="19">AJ20-AJ19</f>
        <v>55.125</v>
      </c>
    </row>
    <row r="21" spans="1:39" ht="14.25" customHeight="1" x14ac:dyDescent="0.2">
      <c r="B21" s="6">
        <f>B18/B19</f>
        <v>2.6532977051444213</v>
      </c>
      <c r="D21" s="1">
        <v>4</v>
      </c>
      <c r="E21" s="6">
        <f t="shared" si="7"/>
        <v>8.4892500000000002</v>
      </c>
      <c r="F21" s="6">
        <f t="shared" si="3"/>
        <v>71.386875000000003</v>
      </c>
      <c r="G21" s="6">
        <f t="shared" si="3"/>
        <v>6.5598750000000008</v>
      </c>
      <c r="H21" s="6">
        <v>0.4</v>
      </c>
      <c r="I21" s="6">
        <v>1.5</v>
      </c>
      <c r="J21" s="6">
        <v>1</v>
      </c>
      <c r="K21" s="26">
        <f t="shared" si="8"/>
        <v>1.0494886925714382</v>
      </c>
      <c r="L21" s="6">
        <f t="shared" si="9"/>
        <v>742.80937500000005</v>
      </c>
      <c r="M21" s="6">
        <f t="shared" si="10"/>
        <v>10603.692900055868</v>
      </c>
      <c r="N21" s="6">
        <f t="shared" si="11"/>
        <v>983.98125000000016</v>
      </c>
      <c r="O21" s="6">
        <f t="shared" si="4"/>
        <v>0.4</v>
      </c>
      <c r="P21" s="6">
        <f t="shared" si="5"/>
        <v>1.5</v>
      </c>
      <c r="Q21" s="6">
        <f t="shared" si="6"/>
        <v>1</v>
      </c>
      <c r="R21" s="6"/>
      <c r="S21" s="38">
        <v>4</v>
      </c>
      <c r="T21" s="6">
        <f>VLOOKUP($S$13,角色设定!$AB$9:$AJ$21,MATCH(E$17,角色设定!$AB$9:$AJ$9,0),0)*Z21*$L$15*E21/Y21/(1+W21*(X21-1))</f>
        <v>542.63671875</v>
      </c>
      <c r="U21" s="6">
        <f>VLOOKUP($S$13,角色设定!$AB$9:$AJ$21,MATCH(F$17,角色设定!$AB$9:$AJ$9,0),0)*F21*$L$15/(1+V21/$N$16)</f>
        <v>18491.036758947143</v>
      </c>
      <c r="V21" s="6">
        <f>VLOOKUP($S$13,角色设定!$AB$9:$AJ$21,MATCH(V$17,角色设定!$AB$9:$AJ$9,0),0)*G21*$L$15</f>
        <v>4341.09375</v>
      </c>
      <c r="W21" s="6">
        <f>VLOOKUP($S$13,角色设定!$AB$9:$AJ$21,MATCH(W$17,角色设定!$AB$9:$AJ$9,0),0)*H21</f>
        <v>0.4</v>
      </c>
      <c r="X21" s="6">
        <f>VLOOKUP($S$13,角色设定!$AB$9:$AJ$21,MATCH(X$17,角色设定!$AB$9:$AJ$9,0),0)*I21</f>
        <v>1.5</v>
      </c>
      <c r="Y21" s="6">
        <f>VLOOKUP($S$13,角色设定!$AB$9:$AJ$21,MATCH(Y$17,角色设定!$AB$9:$AJ$9,0),0)*J21</f>
        <v>0.9</v>
      </c>
      <c r="Z21" s="6">
        <f>VLOOKUP($S$13,角色设定!$AB$9:$AJ$21,MATCH(Z$17,角色设定!$AB$9:$AJ$9,0),0)</f>
        <v>0.75</v>
      </c>
      <c r="AA21" s="6"/>
      <c r="AB21" s="6"/>
      <c r="AC21" s="6">
        <f>T21*战斗公式!$E$39*(1+W21*(X21-1))*Y21</f>
        <v>14651.19140625</v>
      </c>
      <c r="AD21" s="6">
        <f>U21*战斗公式!$E$41*(1+V21*战斗公式!$E$40)</f>
        <v>19293.75</v>
      </c>
      <c r="AE21" s="22">
        <f t="shared" si="12"/>
        <v>33944.94140625</v>
      </c>
      <c r="AF21" s="22">
        <f t="shared" si="16"/>
        <v>1616.4257812500073</v>
      </c>
      <c r="AG21" s="22"/>
      <c r="AH21" s="9">
        <f t="shared" si="13"/>
        <v>151.93828125000002</v>
      </c>
      <c r="AI21" s="9">
        <f t="shared" si="14"/>
        <v>5177.4902925052002</v>
      </c>
      <c r="AJ21" s="9">
        <f t="shared" si="15"/>
        <v>1215.5062500000001</v>
      </c>
      <c r="AK21" s="9">
        <f t="shared" si="17"/>
        <v>7.2351562500000455</v>
      </c>
      <c r="AL21" s="9">
        <f t="shared" si="18"/>
        <v>236.75866570088965</v>
      </c>
      <c r="AM21" s="9">
        <f t="shared" si="19"/>
        <v>57.881250000000136</v>
      </c>
    </row>
    <row r="22" spans="1:39" ht="14.25" customHeight="1" x14ac:dyDescent="0.2">
      <c r="B22" s="6">
        <f>B18/B20</f>
        <v>10.921333129289224</v>
      </c>
      <c r="C22" s="6">
        <f>B17/B20</f>
        <v>28.977548129060832</v>
      </c>
      <c r="D22" s="1">
        <v>5</v>
      </c>
      <c r="E22" s="6">
        <f t="shared" si="7"/>
        <v>8.913712499999999</v>
      </c>
      <c r="F22" s="6">
        <f t="shared" si="3"/>
        <v>74.956218749999991</v>
      </c>
      <c r="G22" s="6">
        <f t="shared" si="3"/>
        <v>6.88786875</v>
      </c>
      <c r="H22" s="6">
        <v>0.4</v>
      </c>
      <c r="I22" s="6">
        <v>1.5</v>
      </c>
      <c r="J22" s="6">
        <v>1</v>
      </c>
      <c r="K22" s="26">
        <f t="shared" si="8"/>
        <v>1.0494634015667756</v>
      </c>
      <c r="L22" s="6">
        <f t="shared" si="9"/>
        <v>779.94984375000001</v>
      </c>
      <c r="M22" s="6">
        <f t="shared" si="10"/>
        <v>11128.455798108675</v>
      </c>
      <c r="N22" s="6">
        <f t="shared" si="11"/>
        <v>1033.1803124999999</v>
      </c>
      <c r="O22" s="6">
        <f t="shared" si="4"/>
        <v>0.4</v>
      </c>
      <c r="P22" s="6">
        <f t="shared" si="5"/>
        <v>1.5</v>
      </c>
      <c r="Q22" s="6">
        <f t="shared" si="6"/>
        <v>1</v>
      </c>
      <c r="R22" s="6"/>
      <c r="S22" s="38">
        <v>5</v>
      </c>
      <c r="T22" s="6">
        <f>VLOOKUP($S$13,角色设定!$AB$9:$AJ$21,MATCH(E$17,角色设定!$AB$9:$AJ$9,0),0)*Z22*$L$15*E22/Y22/(1+W22*(X22-1))</f>
        <v>569.7685546875</v>
      </c>
      <c r="U22" s="6">
        <f>VLOOKUP($S$13,角色设定!$AB$9:$AJ$21,MATCH(F$17,角色设定!$AB$9:$AJ$9,0),0)*F22*$L$15/(1+V22/$N$16)</f>
        <v>19375.283325822806</v>
      </c>
      <c r="V22" s="6">
        <f>VLOOKUP($S$13,角色设定!$AB$9:$AJ$21,MATCH(V$17,角色设定!$AB$9:$AJ$9,0),0)*G22*$L$15</f>
        <v>4558.1484374999991</v>
      </c>
      <c r="W22" s="6">
        <f>VLOOKUP($S$13,角色设定!$AB$9:$AJ$21,MATCH(W$17,角色设定!$AB$9:$AJ$9,0),0)*H22</f>
        <v>0.4</v>
      </c>
      <c r="X22" s="6">
        <f>VLOOKUP($S$13,角色设定!$AB$9:$AJ$21,MATCH(X$17,角色设定!$AB$9:$AJ$9,0),0)*I22</f>
        <v>1.5</v>
      </c>
      <c r="Y22" s="6">
        <f>VLOOKUP($S$13,角色设定!$AB$9:$AJ$21,MATCH(Y$17,角色设定!$AB$9:$AJ$9,0),0)*J22</f>
        <v>0.9</v>
      </c>
      <c r="Z22" s="6">
        <f>VLOOKUP($S$13,角色设定!$AB$9:$AJ$21,MATCH(Z$17,角色设定!$AB$9:$AJ$9,0),0)</f>
        <v>0.75</v>
      </c>
      <c r="AA22" s="6"/>
      <c r="AB22" s="6"/>
      <c r="AC22" s="6">
        <f>T22*战斗公式!$E$39*(1+W22*(X22-1))*Y22</f>
        <v>15383.7509765625</v>
      </c>
      <c r="AD22" s="6">
        <f>U22*战斗公式!$E$41*(1+V22*战斗公式!$E$40)</f>
        <v>20258.437499999996</v>
      </c>
      <c r="AE22" s="22">
        <f t="shared" si="12"/>
        <v>35642.1884765625</v>
      </c>
      <c r="AF22" s="22">
        <f t="shared" si="16"/>
        <v>1697.2470703125</v>
      </c>
      <c r="AG22" s="22"/>
      <c r="AH22" s="9">
        <f t="shared" si="13"/>
        <v>159.53519531250001</v>
      </c>
      <c r="AI22" s="9">
        <f t="shared" si="14"/>
        <v>5425.0793312303858</v>
      </c>
      <c r="AJ22" s="9">
        <f t="shared" si="15"/>
        <v>1276.2815624999998</v>
      </c>
      <c r="AK22" s="9">
        <f t="shared" si="17"/>
        <v>7.5969140624999909</v>
      </c>
      <c r="AL22" s="9">
        <f t="shared" si="18"/>
        <v>247.58903872518567</v>
      </c>
      <c r="AM22" s="9">
        <f t="shared" si="19"/>
        <v>60.7753124999997</v>
      </c>
    </row>
    <row r="23" spans="1:39" ht="14.25" customHeight="1" x14ac:dyDescent="0.2">
      <c r="C23" s="6"/>
      <c r="D23" s="1">
        <v>6</v>
      </c>
      <c r="E23" s="6">
        <f t="shared" si="7"/>
        <v>9.3593981250000002</v>
      </c>
      <c r="F23" s="6">
        <f t="shared" si="3"/>
        <v>78.704029687500011</v>
      </c>
      <c r="G23" s="6">
        <f t="shared" si="3"/>
        <v>7.2322621875000008</v>
      </c>
      <c r="H23" s="6">
        <v>0.4</v>
      </c>
      <c r="I23" s="6">
        <v>1.5</v>
      </c>
      <c r="J23" s="6">
        <v>1</v>
      </c>
      <c r="K23" s="26">
        <f t="shared" si="8"/>
        <v>1.0494368738177409</v>
      </c>
      <c r="L23" s="6">
        <f t="shared" si="9"/>
        <v>818.94733593750004</v>
      </c>
      <c r="M23" s="6">
        <f t="shared" si="10"/>
        <v>11678.907076068637</v>
      </c>
      <c r="N23" s="6">
        <f t="shared" si="11"/>
        <v>1084.8393281250001</v>
      </c>
      <c r="O23" s="6">
        <f t="shared" si="4"/>
        <v>0.4</v>
      </c>
      <c r="P23" s="6">
        <f t="shared" si="5"/>
        <v>1.5</v>
      </c>
      <c r="Q23" s="6">
        <f t="shared" si="6"/>
        <v>1</v>
      </c>
      <c r="R23" s="6"/>
      <c r="S23" s="38">
        <v>6</v>
      </c>
      <c r="T23" s="6">
        <f>VLOOKUP($S$13,角色设定!$AB$9:$AJ$21,MATCH(E$17,角色设定!$AB$9:$AJ$9,0),0)*Z23*$L$15*E23/Y23/(1+W23*(X23-1))</f>
        <v>598.25698242187502</v>
      </c>
      <c r="U23" s="6">
        <f>VLOOKUP($S$13,角色设定!$AB$9:$AJ$21,MATCH(F$17,角色设定!$AB$9:$AJ$9,0),0)*F23*$L$15/(1+V23/$N$16)</f>
        <v>20299.799625578613</v>
      </c>
      <c r="V23" s="6">
        <f>VLOOKUP($S$13,角色设定!$AB$9:$AJ$21,MATCH(V$17,角色设定!$AB$9:$AJ$9,0),0)*G23*$L$15</f>
        <v>4786.0558593750002</v>
      </c>
      <c r="W23" s="6">
        <f>VLOOKUP($S$13,角色设定!$AB$9:$AJ$21,MATCH(W$17,角色设定!$AB$9:$AJ$9,0),0)*H23</f>
        <v>0.4</v>
      </c>
      <c r="X23" s="6">
        <f>VLOOKUP($S$13,角色设定!$AB$9:$AJ$21,MATCH(X$17,角色设定!$AB$9:$AJ$9,0),0)*I23</f>
        <v>1.5</v>
      </c>
      <c r="Y23" s="6">
        <f>VLOOKUP($S$13,角色设定!$AB$9:$AJ$21,MATCH(Y$17,角色设定!$AB$9:$AJ$9,0),0)*J23</f>
        <v>0.9</v>
      </c>
      <c r="Z23" s="6">
        <f>VLOOKUP($S$13,角色设定!$AB$9:$AJ$21,MATCH(Z$17,角色设定!$AB$9:$AJ$9,0),0)</f>
        <v>0.75</v>
      </c>
      <c r="AA23" s="6"/>
      <c r="AB23" s="6"/>
      <c r="AC23" s="6">
        <f>T23*战斗公式!$E$39*(1+W23*(X23-1))*Y23</f>
        <v>16152.938525390626</v>
      </c>
      <c r="AD23" s="6">
        <f>U23*战斗公式!$E$41*(1+V23*战斗公式!$E$40)</f>
        <v>21271.359375</v>
      </c>
      <c r="AE23" s="22">
        <f t="shared" si="12"/>
        <v>37424.297900390622</v>
      </c>
      <c r="AF23" s="22">
        <f t="shared" si="16"/>
        <v>1782.1094238281221</v>
      </c>
      <c r="AG23" s="22"/>
      <c r="AH23" s="9">
        <f t="shared" si="13"/>
        <v>167.51195507812503</v>
      </c>
      <c r="AI23" s="9">
        <f t="shared" si="14"/>
        <v>5683.9438951620123</v>
      </c>
      <c r="AJ23" s="9">
        <f t="shared" si="15"/>
        <v>1340.0956406250002</v>
      </c>
      <c r="AK23" s="9">
        <f t="shared" si="17"/>
        <v>7.9767597656250189</v>
      </c>
      <c r="AL23" s="9">
        <f t="shared" si="18"/>
        <v>258.86456393162644</v>
      </c>
      <c r="AM23" s="9">
        <f t="shared" si="19"/>
        <v>63.814078125000378</v>
      </c>
    </row>
    <row r="24" spans="1:39" ht="14.25" customHeight="1" x14ac:dyDescent="0.2">
      <c r="D24" s="1">
        <v>7</v>
      </c>
      <c r="E24" s="6">
        <f t="shared" si="7"/>
        <v>9.8273680312499998</v>
      </c>
      <c r="F24" s="6">
        <f t="shared" si="3"/>
        <v>82.639231171874997</v>
      </c>
      <c r="G24" s="6">
        <f t="shared" si="3"/>
        <v>7.5938752968749998</v>
      </c>
      <c r="H24" s="6">
        <v>0.4</v>
      </c>
      <c r="I24" s="6">
        <v>1.5</v>
      </c>
      <c r="J24" s="6">
        <v>1</v>
      </c>
      <c r="K24" s="26">
        <f t="shared" si="8"/>
        <v>1.0494090502878834</v>
      </c>
      <c r="L24" s="6">
        <f t="shared" si="9"/>
        <v>859.89470273437496</v>
      </c>
      <c r="M24" s="6">
        <f t="shared" si="10"/>
        <v>12256.275731517364</v>
      </c>
      <c r="N24" s="6">
        <f t="shared" si="11"/>
        <v>1139.08129453125</v>
      </c>
      <c r="O24" s="6">
        <f t="shared" si="4"/>
        <v>0.4</v>
      </c>
      <c r="P24" s="6">
        <f t="shared" si="5"/>
        <v>1.5</v>
      </c>
      <c r="Q24" s="6">
        <f t="shared" si="6"/>
        <v>1</v>
      </c>
      <c r="R24" s="6"/>
      <c r="S24" s="38">
        <v>7</v>
      </c>
      <c r="T24" s="6">
        <f>VLOOKUP($S$13,角色设定!$AB$9:$AJ$21,MATCH(E$17,角色设定!$AB$9:$AJ$9,0),0)*Z24*$L$15*E24/Y24/(1+W24*(X24-1))</f>
        <v>628.16983154296872</v>
      </c>
      <c r="U24" s="6">
        <f>VLOOKUP($S$13,角色设定!$AB$9:$AJ$21,MATCH(F$17,角色设定!$AB$9:$AJ$9,0),0)*F24*$L$15/(1+V24/$N$16)</f>
        <v>21266.223348670821</v>
      </c>
      <c r="V24" s="6">
        <f>VLOOKUP($S$13,角色设定!$AB$9:$AJ$21,MATCH(V$17,角色设定!$AB$9:$AJ$9,0),0)*G24*$L$15</f>
        <v>5025.3586523437489</v>
      </c>
      <c r="W24" s="6">
        <f>VLOOKUP($S$13,角色设定!$AB$9:$AJ$21,MATCH(W$17,角色设定!$AB$9:$AJ$9,0),0)*H24</f>
        <v>0.4</v>
      </c>
      <c r="X24" s="6">
        <f>VLOOKUP($S$13,角色设定!$AB$9:$AJ$21,MATCH(X$17,角色设定!$AB$9:$AJ$9,0),0)*I24</f>
        <v>1.5</v>
      </c>
      <c r="Y24" s="6">
        <f>VLOOKUP($S$13,角色设定!$AB$9:$AJ$21,MATCH(Y$17,角色设定!$AB$9:$AJ$9,0),0)*J24</f>
        <v>0.9</v>
      </c>
      <c r="Z24" s="6">
        <f>VLOOKUP($S$13,角色设定!$AB$9:$AJ$21,MATCH(Z$17,角色设定!$AB$9:$AJ$9,0),0)</f>
        <v>0.75</v>
      </c>
      <c r="AA24" s="6"/>
      <c r="AB24" s="6"/>
      <c r="AC24" s="6">
        <f>T24*战斗公式!$E$39*(1+W24*(X24-1))*Y24</f>
        <v>16960.585451660154</v>
      </c>
      <c r="AD24" s="6">
        <f>U24*战斗公式!$E$41*(1+V24*战斗公式!$E$40)</f>
        <v>22334.927343749998</v>
      </c>
      <c r="AE24" s="22">
        <f t="shared" si="12"/>
        <v>39295.512795410148</v>
      </c>
      <c r="AF24" s="22">
        <f t="shared" si="16"/>
        <v>1871.214895019526</v>
      </c>
      <c r="AG24" s="22"/>
      <c r="AH24" s="9">
        <f t="shared" si="13"/>
        <v>175.88755283203125</v>
      </c>
      <c r="AI24" s="9">
        <f t="shared" si="14"/>
        <v>5954.5425376278308</v>
      </c>
      <c r="AJ24" s="9">
        <f t="shared" si="15"/>
        <v>1407.1004226562497</v>
      </c>
      <c r="AK24" s="9">
        <f t="shared" si="17"/>
        <v>8.3755977539062201</v>
      </c>
      <c r="AL24" s="9">
        <f t="shared" si="18"/>
        <v>270.59864246581856</v>
      </c>
      <c r="AM24" s="9">
        <f t="shared" si="19"/>
        <v>67.004782031249533</v>
      </c>
    </row>
    <row r="25" spans="1:39" ht="14.25" customHeight="1" x14ac:dyDescent="0.2">
      <c r="B25" s="33"/>
      <c r="C25" s="6"/>
      <c r="D25" s="1">
        <v>8</v>
      </c>
      <c r="E25" s="6">
        <f t="shared" si="7"/>
        <v>10.318736432812502</v>
      </c>
      <c r="F25" s="6">
        <f t="shared" si="3"/>
        <v>86.771192730468755</v>
      </c>
      <c r="G25" s="6">
        <f t="shared" si="3"/>
        <v>7.9735690617187513</v>
      </c>
      <c r="H25" s="6">
        <v>0.4</v>
      </c>
      <c r="I25" s="6">
        <v>1.5</v>
      </c>
      <c r="J25" s="6">
        <v>1</v>
      </c>
      <c r="K25" s="26">
        <f t="shared" si="8"/>
        <v>1.0493798692683547</v>
      </c>
      <c r="L25" s="6">
        <f t="shared" si="9"/>
        <v>902.88943787109395</v>
      </c>
      <c r="M25" s="6">
        <f t="shared" si="10"/>
        <v>12861.846675478071</v>
      </c>
      <c r="N25" s="6">
        <f t="shared" si="11"/>
        <v>1196.0353592578126</v>
      </c>
      <c r="O25" s="6">
        <f t="shared" si="4"/>
        <v>0.4</v>
      </c>
      <c r="P25" s="6">
        <f t="shared" si="5"/>
        <v>1.5</v>
      </c>
      <c r="Q25" s="6">
        <f t="shared" si="6"/>
        <v>1</v>
      </c>
      <c r="R25" s="6"/>
      <c r="S25" s="38">
        <v>8</v>
      </c>
      <c r="T25" s="6">
        <f>VLOOKUP($S$13,角色设定!$AB$9:$AJ$21,MATCH(E$17,角色设定!$AB$9:$AJ$9,0),0)*Z25*$L$15*E25/Y25/(1+W25*(X25-1))</f>
        <v>659.57832312011726</v>
      </c>
      <c r="U25" s="6">
        <f>VLOOKUP($S$13,角色设定!$AB$9:$AJ$21,MATCH(F$17,角色设定!$AB$9:$AJ$9,0),0)*F25*$L$15/(1+V25/$N$16)</f>
        <v>22276.23972355478</v>
      </c>
      <c r="V25" s="6">
        <f>VLOOKUP($S$13,角色设定!$AB$9:$AJ$21,MATCH(V$17,角色设定!$AB$9:$AJ$9,0),0)*G25*$L$15</f>
        <v>5276.6265849609372</v>
      </c>
      <c r="W25" s="6">
        <f>VLOOKUP($S$13,角色设定!$AB$9:$AJ$21,MATCH(W$17,角色设定!$AB$9:$AJ$9,0),0)*H25</f>
        <v>0.4</v>
      </c>
      <c r="X25" s="6">
        <f>VLOOKUP($S$13,角色设定!$AB$9:$AJ$21,MATCH(X$17,角色设定!$AB$9:$AJ$9,0),0)*I25</f>
        <v>1.5</v>
      </c>
      <c r="Y25" s="6">
        <f>VLOOKUP($S$13,角色设定!$AB$9:$AJ$21,MATCH(Y$17,角色设定!$AB$9:$AJ$9,0),0)*J25</f>
        <v>0.9</v>
      </c>
      <c r="Z25" s="6">
        <f>VLOOKUP($S$13,角色设定!$AB$9:$AJ$21,MATCH(Z$17,角色设定!$AB$9:$AJ$9,0),0)</f>
        <v>0.75</v>
      </c>
      <c r="AA25" s="6"/>
      <c r="AB25" s="6"/>
      <c r="AC25" s="6">
        <f>T25*战斗公式!$E$39*(1+W25*(X25-1))*Y25</f>
        <v>17808.614724243169</v>
      </c>
      <c r="AD25" s="6">
        <f>U25*战斗公式!$E$41*(1+V25*战斗公式!$E$40)</f>
        <v>23451.673710937499</v>
      </c>
      <c r="AE25" s="22">
        <f t="shared" si="12"/>
        <v>41260.288435180672</v>
      </c>
      <c r="AF25" s="22">
        <f t="shared" si="16"/>
        <v>1964.7756397705234</v>
      </c>
      <c r="AG25" s="22"/>
      <c r="AH25" s="9">
        <f t="shared" si="13"/>
        <v>184.68193047363286</v>
      </c>
      <c r="AI25" s="9">
        <f t="shared" si="14"/>
        <v>6237.347122595339</v>
      </c>
      <c r="AJ25" s="9">
        <f t="shared" si="15"/>
        <v>1477.4554437890627</v>
      </c>
      <c r="AK25" s="9">
        <f t="shared" si="17"/>
        <v>8.7943776416016135</v>
      </c>
      <c r="AL25" s="9">
        <f t="shared" si="18"/>
        <v>282.80458496750816</v>
      </c>
      <c r="AM25" s="9">
        <f t="shared" si="19"/>
        <v>70.355021132812908</v>
      </c>
    </row>
    <row r="26" spans="1:39" ht="14.25" customHeight="1" x14ac:dyDescent="0.2">
      <c r="B26" s="33"/>
      <c r="C26" s="6"/>
      <c r="D26" s="1">
        <v>9</v>
      </c>
      <c r="E26" s="6">
        <f t="shared" si="7"/>
        <v>10.834673254453126</v>
      </c>
      <c r="F26" s="6">
        <f t="shared" si="3"/>
        <v>91.109752366992183</v>
      </c>
      <c r="G26" s="6">
        <f t="shared" si="3"/>
        <v>8.3722475148046875</v>
      </c>
      <c r="H26" s="6">
        <v>0.4</v>
      </c>
      <c r="I26" s="6">
        <v>1.5</v>
      </c>
      <c r="J26" s="6">
        <v>1</v>
      </c>
      <c r="K26" s="26">
        <f t="shared" si="8"/>
        <v>1.0493492662717556</v>
      </c>
      <c r="L26" s="6">
        <f t="shared" si="9"/>
        <v>948.03390976464846</v>
      </c>
      <c r="M26" s="6">
        <f t="shared" si="10"/>
        <v>13496.9629828628</v>
      </c>
      <c r="N26" s="6">
        <f t="shared" si="11"/>
        <v>1255.8371272207032</v>
      </c>
      <c r="O26" s="6">
        <f t="shared" si="4"/>
        <v>0.4</v>
      </c>
      <c r="P26" s="6">
        <f t="shared" si="5"/>
        <v>1.5</v>
      </c>
      <c r="Q26" s="6">
        <f t="shared" si="6"/>
        <v>1</v>
      </c>
      <c r="R26" s="6"/>
      <c r="S26" s="38">
        <v>9</v>
      </c>
      <c r="T26" s="6">
        <f>VLOOKUP($S$13,角色设定!$AB$9:$AJ$21,MATCH(E$17,角色设定!$AB$9:$AJ$9,0),0)*Z26*$L$15*E26/Y26/(1+W26*(X26-1))</f>
        <v>692.55723927612314</v>
      </c>
      <c r="U26" s="6">
        <f>VLOOKUP($S$13,角色设定!$AB$9:$AJ$21,MATCH(F$17,角色设定!$AB$9:$AJ$9,0),0)*F26*$L$15/(1+V26/$N$16)</f>
        <v>23331.580972010539</v>
      </c>
      <c r="V26" s="6">
        <f>VLOOKUP($S$13,角色设定!$AB$9:$AJ$21,MATCH(V$17,角色设定!$AB$9:$AJ$9,0),0)*G26*$L$15</f>
        <v>5540.4579142089833</v>
      </c>
      <c r="W26" s="6">
        <f>VLOOKUP($S$13,角色设定!$AB$9:$AJ$21,MATCH(W$17,角色设定!$AB$9:$AJ$9,0),0)*H26</f>
        <v>0.4</v>
      </c>
      <c r="X26" s="6">
        <f>VLOOKUP($S$13,角色设定!$AB$9:$AJ$21,MATCH(X$17,角色设定!$AB$9:$AJ$9,0),0)*I26</f>
        <v>1.5</v>
      </c>
      <c r="Y26" s="6">
        <f>VLOOKUP($S$13,角色设定!$AB$9:$AJ$21,MATCH(Y$17,角色设定!$AB$9:$AJ$9,0),0)*J26</f>
        <v>0.9</v>
      </c>
      <c r="Z26" s="6">
        <f>VLOOKUP($S$13,角色设定!$AB$9:$AJ$21,MATCH(Z$17,角色设定!$AB$9:$AJ$9,0),0)</f>
        <v>0.75</v>
      </c>
      <c r="AA26" s="6"/>
      <c r="AB26" s="6"/>
      <c r="AC26" s="6">
        <f>T26*战斗公式!$E$39*(1+W26*(X26-1))*Y26</f>
        <v>18699.045460455323</v>
      </c>
      <c r="AD26" s="6">
        <f>U26*战斗公式!$E$41*(1+V26*战斗公式!$E$40)</f>
        <v>24624.257396484376</v>
      </c>
      <c r="AE26" s="22">
        <f t="shared" si="12"/>
        <v>43323.302856939699</v>
      </c>
      <c r="AF26" s="22">
        <f t="shared" si="16"/>
        <v>2063.0144217590278</v>
      </c>
      <c r="AG26" s="22"/>
      <c r="AH26" s="9">
        <f t="shared" si="13"/>
        <v>193.9160269973145</v>
      </c>
      <c r="AI26" s="9">
        <f t="shared" si="14"/>
        <v>6532.8426721629512</v>
      </c>
      <c r="AJ26" s="9">
        <f t="shared" si="15"/>
        <v>1551.3282159785156</v>
      </c>
      <c r="AK26" s="9">
        <f t="shared" si="17"/>
        <v>9.234096523681643</v>
      </c>
      <c r="AL26" s="9">
        <f t="shared" si="18"/>
        <v>295.49554956761222</v>
      </c>
      <c r="AM26" s="9">
        <f t="shared" si="19"/>
        <v>73.872772189452917</v>
      </c>
    </row>
    <row r="27" spans="1:39" ht="14.25" customHeight="1" x14ac:dyDescent="0.2">
      <c r="B27" s="33"/>
      <c r="C27" s="6"/>
      <c r="D27" s="1">
        <v>10</v>
      </c>
      <c r="E27" s="6">
        <f t="shared" si="7"/>
        <v>11.376406917175782</v>
      </c>
      <c r="F27" s="6">
        <f t="shared" si="3"/>
        <v>95.665239985341799</v>
      </c>
      <c r="G27" s="6">
        <f t="shared" si="3"/>
        <v>8.7908598905449225</v>
      </c>
      <c r="H27" s="6">
        <v>0.4</v>
      </c>
      <c r="I27" s="6">
        <v>1.5</v>
      </c>
      <c r="J27" s="6">
        <v>1</v>
      </c>
      <c r="K27" s="26">
        <f t="shared" si="8"/>
        <v>1.0493171739233023</v>
      </c>
      <c r="L27" s="6">
        <f t="shared" si="9"/>
        <v>995.4356052528808</v>
      </c>
      <c r="M27" s="6">
        <f t="shared" si="10"/>
        <v>14163.028202964126</v>
      </c>
      <c r="N27" s="6">
        <f t="shared" si="11"/>
        <v>1318.6289835817383</v>
      </c>
      <c r="O27" s="6">
        <f t="shared" si="4"/>
        <v>0.4</v>
      </c>
      <c r="P27" s="6">
        <f t="shared" si="5"/>
        <v>1.5</v>
      </c>
      <c r="Q27" s="6">
        <f t="shared" si="6"/>
        <v>1</v>
      </c>
      <c r="R27" s="6"/>
      <c r="S27" s="38">
        <v>10</v>
      </c>
      <c r="T27" s="6">
        <f>VLOOKUP($S$13,角色设定!$AB$9:$AJ$21,MATCH(E$17,角色设定!$AB$9:$AJ$9,0),0)*Z27*$L$15*E27/Y27/(1+W27*(X27-1))</f>
        <v>727.18510123992917</v>
      </c>
      <c r="U27" s="6">
        <f>VLOOKUP($S$13,角色设定!$AB$9:$AJ$21,MATCH(F$17,角色设定!$AB$9:$AJ$9,0),0)*F27*$L$15/(1+V27/$N$16)</f>
        <v>24434.025520559244</v>
      </c>
      <c r="V27" s="6">
        <f>VLOOKUP($S$13,角色设定!$AB$9:$AJ$21,MATCH(V$17,角色设定!$AB$9:$AJ$9,0),0)*G27*$L$15</f>
        <v>5817.4808099194333</v>
      </c>
      <c r="W27" s="6">
        <f>VLOOKUP($S$13,角色设定!$AB$9:$AJ$21,MATCH(W$17,角色设定!$AB$9:$AJ$9,0),0)*H27</f>
        <v>0.4</v>
      </c>
      <c r="X27" s="6">
        <f>VLOOKUP($S$13,角色设定!$AB$9:$AJ$21,MATCH(X$17,角色设定!$AB$9:$AJ$9,0),0)*I27</f>
        <v>1.5</v>
      </c>
      <c r="Y27" s="6">
        <f>VLOOKUP($S$13,角色设定!$AB$9:$AJ$21,MATCH(Y$17,角色设定!$AB$9:$AJ$9,0),0)*J27</f>
        <v>0.9</v>
      </c>
      <c r="Z27" s="6">
        <f>VLOOKUP($S$13,角色设定!$AB$9:$AJ$21,MATCH(Z$17,角色设定!$AB$9:$AJ$9,0),0)</f>
        <v>0.75</v>
      </c>
      <c r="AA27" s="6"/>
      <c r="AB27" s="6"/>
      <c r="AC27" s="6">
        <f>T27*战斗公式!$E$39*(1+W27*(X27-1))*Y27</f>
        <v>19633.997733478089</v>
      </c>
      <c r="AD27" s="6">
        <f>U27*战斗公式!$E$41*(1+V27*战斗公式!$E$40)</f>
        <v>25855.470266308595</v>
      </c>
      <c r="AE27" s="22">
        <f t="shared" si="12"/>
        <v>45489.467999786684</v>
      </c>
      <c r="AF27" s="22">
        <f t="shared" si="16"/>
        <v>2166.165142846985</v>
      </c>
      <c r="AG27" s="22"/>
      <c r="AH27" s="9">
        <f t="shared" si="13"/>
        <v>203.61182834718019</v>
      </c>
      <c r="AI27" s="9">
        <f t="shared" si="14"/>
        <v>6841.5271457565887</v>
      </c>
      <c r="AJ27" s="9">
        <f t="shared" si="15"/>
        <v>1628.8946267774415</v>
      </c>
      <c r="AK27" s="9">
        <f t="shared" si="17"/>
        <v>9.6958013498656896</v>
      </c>
      <c r="AL27" s="9">
        <f t="shared" si="18"/>
        <v>308.68447359363745</v>
      </c>
      <c r="AM27" s="9">
        <f t="shared" si="19"/>
        <v>77.566410798925972</v>
      </c>
    </row>
    <row r="28" spans="1:39" ht="14.25" customHeight="1" x14ac:dyDescent="0.2">
      <c r="B28" s="33"/>
      <c r="C28" s="6"/>
      <c r="D28" s="1">
        <v>11</v>
      </c>
      <c r="E28" s="6">
        <f t="shared" si="7"/>
        <v>11.945227263034571</v>
      </c>
      <c r="F28" s="6">
        <f t="shared" si="3"/>
        <v>100.4485019846089</v>
      </c>
      <c r="G28" s="6">
        <f t="shared" si="3"/>
        <v>9.23040288507217</v>
      </c>
      <c r="H28" s="6">
        <v>0.4</v>
      </c>
      <c r="I28" s="6">
        <v>1.5</v>
      </c>
      <c r="J28" s="6">
        <v>1</v>
      </c>
      <c r="K28" s="26">
        <f t="shared" si="8"/>
        <v>1.0492835218494319</v>
      </c>
      <c r="L28" s="6">
        <f t="shared" si="9"/>
        <v>1045.2073855155249</v>
      </c>
      <c r="M28" s="6">
        <f t="shared" si="10"/>
        <v>14861.508728130344</v>
      </c>
      <c r="N28" s="6">
        <f t="shared" si="11"/>
        <v>1384.5604327608255</v>
      </c>
      <c r="O28" s="6">
        <f t="shared" si="4"/>
        <v>0.4</v>
      </c>
      <c r="P28" s="6">
        <f t="shared" si="5"/>
        <v>1.5</v>
      </c>
      <c r="Q28" s="6">
        <f t="shared" si="6"/>
        <v>1</v>
      </c>
      <c r="R28" s="6"/>
      <c r="S28" s="38">
        <v>11</v>
      </c>
      <c r="T28" s="6">
        <f>VLOOKUP($S$13,角色设定!$AB$9:$AJ$21,MATCH(E$17,角色设定!$AB$9:$AJ$9,0),0)*Z28*$L$15*E28/Y28/(1+W28*(X28-1))</f>
        <v>763.54435630192575</v>
      </c>
      <c r="U28" s="6">
        <f>VLOOKUP($S$13,角色设定!$AB$9:$AJ$21,MATCH(F$17,角色设定!$AB$9:$AJ$9,0),0)*F28*$L$15/(1+V28/$N$16)</f>
        <v>25585.396944374304</v>
      </c>
      <c r="V28" s="6">
        <f>VLOOKUP($S$13,角色设定!$AB$9:$AJ$21,MATCH(V$17,角色设定!$AB$9:$AJ$9,0),0)*G28*$L$15</f>
        <v>6108.354850415406</v>
      </c>
      <c r="W28" s="6">
        <f>VLOOKUP($S$13,角色设定!$AB$9:$AJ$21,MATCH(W$17,角色设定!$AB$9:$AJ$9,0),0)*H28</f>
        <v>0.4</v>
      </c>
      <c r="X28" s="6">
        <f>VLOOKUP($S$13,角色设定!$AB$9:$AJ$21,MATCH(X$17,角色设定!$AB$9:$AJ$9,0),0)*I28</f>
        <v>1.5</v>
      </c>
      <c r="Y28" s="6">
        <f>VLOOKUP($S$13,角色设定!$AB$9:$AJ$21,MATCH(Y$17,角色设定!$AB$9:$AJ$9,0),0)*J28</f>
        <v>0.9</v>
      </c>
      <c r="Z28" s="6">
        <f>VLOOKUP($S$13,角色设定!$AB$9:$AJ$21,MATCH(Z$17,角色设定!$AB$9:$AJ$9,0),0)</f>
        <v>0.75</v>
      </c>
      <c r="AA28" s="6"/>
      <c r="AB28" s="6"/>
      <c r="AC28" s="6">
        <f>T28*战斗公式!$E$39*(1+W28*(X28-1))*Y28</f>
        <v>20615.697620151994</v>
      </c>
      <c r="AD28" s="6">
        <f>U28*战斗公式!$E$41*(1+V28*战斗公式!$E$40)</f>
        <v>27148.243779624027</v>
      </c>
      <c r="AE28" s="22">
        <f t="shared" si="12"/>
        <v>47763.94139977602</v>
      </c>
      <c r="AF28" s="22">
        <f t="shared" si="16"/>
        <v>2274.473399989336</v>
      </c>
      <c r="AG28" s="22"/>
      <c r="AH28" s="9">
        <f t="shared" si="13"/>
        <v>213.79241976453923</v>
      </c>
      <c r="AI28" s="9">
        <f t="shared" si="14"/>
        <v>7163.9111444248056</v>
      </c>
      <c r="AJ28" s="9">
        <f t="shared" si="15"/>
        <v>1710.3393581163139</v>
      </c>
      <c r="AK28" s="9">
        <f t="shared" si="17"/>
        <v>10.180591417359039</v>
      </c>
      <c r="AL28" s="9">
        <f t="shared" si="18"/>
        <v>322.38399866821692</v>
      </c>
      <c r="AM28" s="9">
        <f t="shared" si="19"/>
        <v>81.444731338872316</v>
      </c>
    </row>
    <row r="29" spans="1:39" ht="14.25" customHeight="1" x14ac:dyDescent="0.2">
      <c r="B29" s="33"/>
      <c r="C29" s="6"/>
      <c r="D29" s="1">
        <v>12</v>
      </c>
      <c r="E29" s="6">
        <f t="shared" si="7"/>
        <v>12.5424886261863</v>
      </c>
      <c r="F29" s="6">
        <f t="shared" si="3"/>
        <v>105.47092708383934</v>
      </c>
      <c r="G29" s="6">
        <f t="shared" si="3"/>
        <v>9.6919230293257783</v>
      </c>
      <c r="H29" s="6">
        <v>0.4</v>
      </c>
      <c r="I29" s="6">
        <v>1.5</v>
      </c>
      <c r="J29" s="6">
        <v>1</v>
      </c>
      <c r="K29" s="26">
        <f t="shared" si="8"/>
        <v>1.0492482365639797</v>
      </c>
      <c r="L29" s="6">
        <f t="shared" si="9"/>
        <v>1097.4677547913011</v>
      </c>
      <c r="M29" s="6">
        <f t="shared" si="10"/>
        <v>15593.936218248677</v>
      </c>
      <c r="N29" s="6">
        <f t="shared" si="11"/>
        <v>1453.7884543988666</v>
      </c>
      <c r="O29" s="6">
        <f t="shared" si="4"/>
        <v>0.4</v>
      </c>
      <c r="P29" s="6">
        <f t="shared" si="5"/>
        <v>1.5</v>
      </c>
      <c r="Q29" s="6">
        <f t="shared" si="6"/>
        <v>1</v>
      </c>
      <c r="R29" s="6"/>
      <c r="S29" s="38">
        <v>12</v>
      </c>
      <c r="T29" s="6">
        <f>VLOOKUP($S$13,角色设定!$AB$9:$AJ$21,MATCH(E$17,角色设定!$AB$9:$AJ$9,0),0)*Z29*$L$15*E29/Y29/(1+W29*(X29-1))</f>
        <v>801.72157411702199</v>
      </c>
      <c r="U29" s="6">
        <f>VLOOKUP($S$13,角色设定!$AB$9:$AJ$21,MATCH(F$17,角色设定!$AB$9:$AJ$9,0),0)*F29*$L$15/(1+V29/$N$16)</f>
        <v>26787.562619030246</v>
      </c>
      <c r="V29" s="6">
        <f>VLOOKUP($S$13,角色设定!$AB$9:$AJ$21,MATCH(V$17,角色设定!$AB$9:$AJ$9,0),0)*G29*$L$15</f>
        <v>6413.7725929361759</v>
      </c>
      <c r="W29" s="6">
        <f>VLOOKUP($S$13,角色设定!$AB$9:$AJ$21,MATCH(W$17,角色设定!$AB$9:$AJ$9,0),0)*H29</f>
        <v>0.4</v>
      </c>
      <c r="X29" s="6">
        <f>VLOOKUP($S$13,角色设定!$AB$9:$AJ$21,MATCH(X$17,角色设定!$AB$9:$AJ$9,0),0)*I29</f>
        <v>1.5</v>
      </c>
      <c r="Y29" s="6">
        <f>VLOOKUP($S$13,角色设定!$AB$9:$AJ$21,MATCH(Y$17,角色设定!$AB$9:$AJ$9,0),0)*J29</f>
        <v>0.9</v>
      </c>
      <c r="Z29" s="6">
        <f>VLOOKUP($S$13,角色设定!$AB$9:$AJ$21,MATCH(Z$17,角色设定!$AB$9:$AJ$9,0),0)</f>
        <v>0.75</v>
      </c>
      <c r="AA29" s="6"/>
      <c r="AB29" s="6"/>
      <c r="AC29" s="6">
        <f>T29*战斗公式!$E$39*(1+W29*(X29-1))*Y29</f>
        <v>21646.482501159593</v>
      </c>
      <c r="AD29" s="6">
        <f>U29*战斗公式!$E$41*(1+V29*战斗公式!$E$40)</f>
        <v>28505.655968605228</v>
      </c>
      <c r="AE29" s="22">
        <f t="shared" si="12"/>
        <v>50152.138469764817</v>
      </c>
      <c r="AF29" s="22">
        <f t="shared" si="16"/>
        <v>2388.197069988797</v>
      </c>
      <c r="AG29" s="22"/>
      <c r="AH29" s="9">
        <f t="shared" si="13"/>
        <v>224.48204075276618</v>
      </c>
      <c r="AI29" s="9">
        <f t="shared" si="14"/>
        <v>7500.5175333284697</v>
      </c>
      <c r="AJ29" s="9">
        <f t="shared" si="15"/>
        <v>1795.8563260221295</v>
      </c>
      <c r="AK29" s="9">
        <f t="shared" si="17"/>
        <v>10.689620988226949</v>
      </c>
      <c r="AL29" s="9">
        <f t="shared" si="18"/>
        <v>336.60638890366408</v>
      </c>
      <c r="AM29" s="9">
        <f t="shared" si="19"/>
        <v>85.516967905815591</v>
      </c>
    </row>
    <row r="30" spans="1:39" ht="14.25" customHeight="1" x14ac:dyDescent="0.2">
      <c r="B30" s="33"/>
      <c r="C30" s="6"/>
      <c r="D30" s="1">
        <v>13</v>
      </c>
      <c r="E30" s="6">
        <f t="shared" si="7"/>
        <v>13.169613057495614</v>
      </c>
      <c r="F30" s="6">
        <f t="shared" si="3"/>
        <v>110.74447343803129</v>
      </c>
      <c r="G30" s="6">
        <f t="shared" si="3"/>
        <v>10.176519180792067</v>
      </c>
      <c r="H30" s="6">
        <v>0.4</v>
      </c>
      <c r="I30" s="6">
        <v>1.5</v>
      </c>
      <c r="J30" s="6">
        <v>1</v>
      </c>
      <c r="K30" s="26">
        <f t="shared" si="8"/>
        <v>1.0492112413520902</v>
      </c>
      <c r="L30" s="6">
        <f t="shared" si="9"/>
        <v>1152.3411425308661</v>
      </c>
      <c r="M30" s="6">
        <f t="shared" si="10"/>
        <v>16361.910078088598</v>
      </c>
      <c r="N30" s="6">
        <f t="shared" si="11"/>
        <v>1526.4778771188101</v>
      </c>
      <c r="O30" s="6">
        <f t="shared" si="4"/>
        <v>0.4</v>
      </c>
      <c r="P30" s="6">
        <f t="shared" si="5"/>
        <v>1.5</v>
      </c>
      <c r="Q30" s="6">
        <f t="shared" si="6"/>
        <v>1</v>
      </c>
      <c r="R30" s="6"/>
      <c r="S30" s="38">
        <v>13</v>
      </c>
      <c r="T30" s="6">
        <f>VLOOKUP($S$13,角色设定!$AB$9:$AJ$21,MATCH(E$17,角色设定!$AB$9:$AJ$9,0),0)*Z30*$L$15*E30/Y30/(1+W30*(X30-1))</f>
        <v>841.80765282287302</v>
      </c>
      <c r="U30" s="6">
        <f>VLOOKUP($S$13,角色设定!$AB$9:$AJ$21,MATCH(F$17,角色设定!$AB$9:$AJ$9,0),0)*F30*$L$15/(1+V30/$N$16)</f>
        <v>28042.432054458779</v>
      </c>
      <c r="V30" s="6">
        <f>VLOOKUP($S$13,角色设定!$AB$9:$AJ$21,MATCH(V$17,角色设定!$AB$9:$AJ$9,0),0)*G30*$L$15</f>
        <v>6734.4612225829842</v>
      </c>
      <c r="W30" s="6">
        <f>VLOOKUP($S$13,角色设定!$AB$9:$AJ$21,MATCH(W$17,角色设定!$AB$9:$AJ$9,0),0)*H30</f>
        <v>0.4</v>
      </c>
      <c r="X30" s="6">
        <f>VLOOKUP($S$13,角色设定!$AB$9:$AJ$21,MATCH(X$17,角色设定!$AB$9:$AJ$9,0),0)*I30</f>
        <v>1.5</v>
      </c>
      <c r="Y30" s="6">
        <f>VLOOKUP($S$13,角色设定!$AB$9:$AJ$21,MATCH(Y$17,角色设定!$AB$9:$AJ$9,0),0)*J30</f>
        <v>0.9</v>
      </c>
      <c r="Z30" s="6">
        <f>VLOOKUP($S$13,角色设定!$AB$9:$AJ$21,MATCH(Z$17,角色设定!$AB$9:$AJ$9,0),0)</f>
        <v>0.75</v>
      </c>
      <c r="AA30" s="6"/>
      <c r="AB30" s="6"/>
      <c r="AC30" s="6">
        <f>T30*战斗公式!$E$39*(1+W30*(X30-1))*Y30</f>
        <v>22728.806626217574</v>
      </c>
      <c r="AD30" s="6">
        <f>U30*战斗公式!$E$41*(1+V30*战斗公式!$E$40)</f>
        <v>29930.938767035488</v>
      </c>
      <c r="AE30" s="22">
        <f t="shared" si="12"/>
        <v>52659.745393253063</v>
      </c>
      <c r="AF30" s="22">
        <f t="shared" si="16"/>
        <v>2507.6069234882452</v>
      </c>
      <c r="AG30" s="22"/>
      <c r="AH30" s="9">
        <f t="shared" si="13"/>
        <v>235.70614279040447</v>
      </c>
      <c r="AI30" s="9">
        <f t="shared" si="14"/>
        <v>7851.8809752484585</v>
      </c>
      <c r="AJ30" s="9">
        <f t="shared" si="15"/>
        <v>1885.6491423232358</v>
      </c>
      <c r="AK30" s="9">
        <f t="shared" si="17"/>
        <v>11.224102037638289</v>
      </c>
      <c r="AL30" s="9">
        <f t="shared" si="18"/>
        <v>351.36344191998887</v>
      </c>
      <c r="AM30" s="9">
        <f t="shared" si="19"/>
        <v>89.792816301106313</v>
      </c>
    </row>
    <row r="31" spans="1:39" ht="14.25" customHeight="1" x14ac:dyDescent="0.2">
      <c r="B31" s="6"/>
      <c r="D31" s="1">
        <v>14</v>
      </c>
      <c r="E31" s="6">
        <f t="shared" si="7"/>
        <v>13.828093710370396</v>
      </c>
      <c r="F31" s="6">
        <f t="shared" si="3"/>
        <v>116.28169710993288</v>
      </c>
      <c r="G31" s="6">
        <f t="shared" si="3"/>
        <v>10.685345139831671</v>
      </c>
      <c r="H31" s="6">
        <v>0.4</v>
      </c>
      <c r="I31" s="6">
        <v>1.5</v>
      </c>
      <c r="J31" s="6">
        <v>1</v>
      </c>
      <c r="K31" s="26">
        <f t="shared" si="8"/>
        <v>1.0491724561520608</v>
      </c>
      <c r="L31" s="6">
        <f t="shared" si="9"/>
        <v>1209.9581996574098</v>
      </c>
      <c r="M31" s="6">
        <f t="shared" si="10"/>
        <v>17167.099983922613</v>
      </c>
      <c r="N31" s="6">
        <f t="shared" si="11"/>
        <v>1602.8017709747508</v>
      </c>
      <c r="O31" s="6">
        <f t="shared" si="4"/>
        <v>0.4</v>
      </c>
      <c r="P31" s="6">
        <f t="shared" si="5"/>
        <v>1.5</v>
      </c>
      <c r="Q31" s="6">
        <f t="shared" si="6"/>
        <v>1</v>
      </c>
      <c r="R31" s="6"/>
      <c r="S31" s="38">
        <v>14</v>
      </c>
      <c r="T31" s="6">
        <f>VLOOKUP($S$13,角色设定!$AB$9:$AJ$21,MATCH(E$17,角色设定!$AB$9:$AJ$9,0),0)*Z31*$L$15*E31/Y31/(1+W31*(X31-1))</f>
        <v>883.89803546401674</v>
      </c>
      <c r="U31" s="6">
        <f>VLOOKUP($S$13,角色设定!$AB$9:$AJ$21,MATCH(F$17,角色设定!$AB$9:$AJ$9,0),0)*F31*$L$15/(1+V31/$N$16)</f>
        <v>29351.954884623487</v>
      </c>
      <c r="V31" s="6">
        <f>VLOOKUP($S$13,角色设定!$AB$9:$AJ$21,MATCH(V$17,角色设定!$AB$9:$AJ$9,0),0)*G31*$L$15</f>
        <v>7071.1842837121349</v>
      </c>
      <c r="W31" s="6">
        <f>VLOOKUP($S$13,角色设定!$AB$9:$AJ$21,MATCH(W$17,角色设定!$AB$9:$AJ$9,0),0)*H31</f>
        <v>0.4</v>
      </c>
      <c r="X31" s="6">
        <f>VLOOKUP($S$13,角色设定!$AB$9:$AJ$21,MATCH(X$17,角色设定!$AB$9:$AJ$9,0),0)*I31</f>
        <v>1.5</v>
      </c>
      <c r="Y31" s="6">
        <f>VLOOKUP($S$13,角色设定!$AB$9:$AJ$21,MATCH(Y$17,角色设定!$AB$9:$AJ$9,0),0)*J31</f>
        <v>0.9</v>
      </c>
      <c r="Z31" s="6">
        <f>VLOOKUP($S$13,角色设定!$AB$9:$AJ$21,MATCH(Z$17,角色设定!$AB$9:$AJ$9,0),0)</f>
        <v>0.75</v>
      </c>
      <c r="AA31" s="6"/>
      <c r="AB31" s="6"/>
      <c r="AC31" s="6">
        <f>T31*战斗公式!$E$39*(1+W31*(X31-1))*Y31</f>
        <v>23865.246957528452</v>
      </c>
      <c r="AD31" s="6">
        <f>U31*战斗公式!$E$41*(1+V31*战斗公式!$E$40)</f>
        <v>31427.485705387262</v>
      </c>
      <c r="AE31" s="22">
        <f t="shared" si="12"/>
        <v>55292.732662915718</v>
      </c>
      <c r="AF31" s="22">
        <f t="shared" si="16"/>
        <v>2632.9872696626553</v>
      </c>
      <c r="AG31" s="22"/>
      <c r="AH31" s="9">
        <f t="shared" si="13"/>
        <v>247.4914499299247</v>
      </c>
      <c r="AI31" s="9">
        <f t="shared" si="14"/>
        <v>8218.5473676945767</v>
      </c>
      <c r="AJ31" s="9">
        <f t="shared" si="15"/>
        <v>1979.931599439398</v>
      </c>
      <c r="AK31" s="9">
        <f t="shared" si="17"/>
        <v>11.785307139520228</v>
      </c>
      <c r="AL31" s="9">
        <f t="shared" si="18"/>
        <v>366.66639244611815</v>
      </c>
      <c r="AM31" s="9">
        <f t="shared" si="19"/>
        <v>94.282457116162277</v>
      </c>
    </row>
    <row r="32" spans="1:39" ht="14.25" customHeight="1" x14ac:dyDescent="0.2">
      <c r="B32" s="6"/>
      <c r="D32" s="1">
        <v>15</v>
      </c>
      <c r="E32" s="6">
        <f t="shared" si="7"/>
        <v>14.519498395888913</v>
      </c>
      <c r="F32" s="6">
        <f t="shared" si="3"/>
        <v>122.0957819654295</v>
      </c>
      <c r="G32" s="6">
        <f t="shared" si="3"/>
        <v>11.219612396823251</v>
      </c>
      <c r="H32" s="6">
        <v>0.4</v>
      </c>
      <c r="I32" s="6">
        <v>1.5</v>
      </c>
      <c r="J32" s="6">
        <v>1</v>
      </c>
      <c r="K32" s="26">
        <f t="shared" si="8"/>
        <v>1.0491317974353558</v>
      </c>
      <c r="L32" s="6">
        <f t="shared" si="9"/>
        <v>1270.4561096402799</v>
      </c>
      <c r="M32" s="6">
        <f t="shared" si="10"/>
        <v>18011.248455140092</v>
      </c>
      <c r="N32" s="6">
        <f t="shared" si="11"/>
        <v>1682.9418595234877</v>
      </c>
      <c r="O32" s="6">
        <f t="shared" si="4"/>
        <v>0.4</v>
      </c>
      <c r="P32" s="6">
        <f t="shared" si="5"/>
        <v>1.5</v>
      </c>
      <c r="Q32" s="6">
        <f t="shared" si="6"/>
        <v>1</v>
      </c>
      <c r="R32" s="6"/>
      <c r="S32" s="38">
        <v>15</v>
      </c>
      <c r="T32" s="6">
        <f>VLOOKUP($S$13,角色设定!$AB$9:$AJ$21,MATCH(E$17,角色设定!$AB$9:$AJ$9,0),0)*Z32*$L$15*E32/Y32/(1+W32*(X32-1))</f>
        <v>928.09293723721737</v>
      </c>
      <c r="U32" s="6">
        <f>VLOOKUP($S$13,角色设定!$AB$9:$AJ$21,MATCH(F$17,角色设定!$AB$9:$AJ$9,0),0)*F32*$L$15/(1+V32/$N$16)</f>
        <v>30718.118485712184</v>
      </c>
      <c r="V32" s="6">
        <f>VLOOKUP($S$13,角色设定!$AB$9:$AJ$21,MATCH(V$17,角色设定!$AB$9:$AJ$9,0),0)*G32*$L$15</f>
        <v>7424.743497897739</v>
      </c>
      <c r="W32" s="6">
        <f>VLOOKUP($S$13,角色设定!$AB$9:$AJ$21,MATCH(W$17,角色设定!$AB$9:$AJ$9,0),0)*H32</f>
        <v>0.4</v>
      </c>
      <c r="X32" s="6">
        <f>VLOOKUP($S$13,角色设定!$AB$9:$AJ$21,MATCH(X$17,角色设定!$AB$9:$AJ$9,0),0)*I32</f>
        <v>1.5</v>
      </c>
      <c r="Y32" s="6">
        <f>VLOOKUP($S$13,角色设定!$AB$9:$AJ$21,MATCH(Y$17,角色设定!$AB$9:$AJ$9,0),0)*J32</f>
        <v>0.9</v>
      </c>
      <c r="Z32" s="6">
        <f>VLOOKUP($S$13,角色设定!$AB$9:$AJ$21,MATCH(Z$17,角色设定!$AB$9:$AJ$9,0),0)</f>
        <v>0.75</v>
      </c>
      <c r="AA32" s="6"/>
      <c r="AB32" s="6"/>
      <c r="AC32" s="6">
        <f>T32*战斗公式!$E$39*(1+W32*(X32-1))*Y32</f>
        <v>25058.50930540487</v>
      </c>
      <c r="AD32" s="6">
        <f>U32*战斗公式!$E$41*(1+V32*战斗公式!$E$40)</f>
        <v>32998.859990656623</v>
      </c>
      <c r="AE32" s="22">
        <f t="shared" si="12"/>
        <v>58057.369296061494</v>
      </c>
      <c r="AF32" s="22">
        <f t="shared" si="16"/>
        <v>2764.6366331457757</v>
      </c>
      <c r="AG32" s="22"/>
      <c r="AH32" s="9">
        <f t="shared" si="13"/>
        <v>259.8660224264209</v>
      </c>
      <c r="AI32" s="9">
        <f t="shared" si="14"/>
        <v>8601.0731759994123</v>
      </c>
      <c r="AJ32" s="9">
        <f t="shared" si="15"/>
        <v>2078.9281794113672</v>
      </c>
      <c r="AK32" s="9">
        <f t="shared" si="17"/>
        <v>12.374572496496199</v>
      </c>
      <c r="AL32" s="9">
        <f t="shared" si="18"/>
        <v>382.52580830483566</v>
      </c>
      <c r="AM32" s="9">
        <f t="shared" si="19"/>
        <v>98.99657997196914</v>
      </c>
    </row>
    <row r="33" spans="4:39" ht="14.25" customHeight="1" x14ac:dyDescent="0.2">
      <c r="D33" s="1">
        <v>16</v>
      </c>
      <c r="E33" s="6">
        <f t="shared" si="7"/>
        <v>15.245473315683364</v>
      </c>
      <c r="F33" s="6">
        <f t="shared" si="3"/>
        <v>128.20057106370101</v>
      </c>
      <c r="G33" s="6">
        <f t="shared" si="3"/>
        <v>11.780593016664419</v>
      </c>
      <c r="H33" s="6">
        <v>0.4</v>
      </c>
      <c r="I33" s="6">
        <v>1.5</v>
      </c>
      <c r="J33" s="6">
        <v>1</v>
      </c>
      <c r="K33" s="26">
        <f t="shared" si="8"/>
        <v>1.0490891780850458</v>
      </c>
      <c r="L33" s="6">
        <f t="shared" si="9"/>
        <v>1333.9789151222942</v>
      </c>
      <c r="M33" s="6">
        <f t="shared" si="10"/>
        <v>18896.173465795899</v>
      </c>
      <c r="N33" s="6">
        <f t="shared" si="11"/>
        <v>1767.0889524996628</v>
      </c>
      <c r="O33" s="6">
        <f t="shared" si="4"/>
        <v>0.4</v>
      </c>
      <c r="P33" s="6">
        <f t="shared" si="5"/>
        <v>1.5</v>
      </c>
      <c r="Q33" s="6">
        <f t="shared" si="6"/>
        <v>1</v>
      </c>
      <c r="R33" s="6"/>
      <c r="S33" s="38">
        <v>16</v>
      </c>
      <c r="T33" s="6">
        <f>VLOOKUP($S$13,角色设定!$AB$9:$AJ$21,MATCH(E$17,角色设定!$AB$9:$AJ$9,0),0)*Z33*$L$15*E33/Y33/(1+W33*(X33-1))</f>
        <v>974.49758409907861</v>
      </c>
      <c r="U33" s="6">
        <f>VLOOKUP($S$13,角色设定!$AB$9:$AJ$21,MATCH(F$17,角色设定!$AB$9:$AJ$9,0),0)*F33*$L$15/(1+V33/$N$16)</f>
        <v>32142.945195112188</v>
      </c>
      <c r="V33" s="6">
        <f>VLOOKUP($S$13,角色设定!$AB$9:$AJ$21,MATCH(V$17,角色设定!$AB$9:$AJ$9,0),0)*G33*$L$15</f>
        <v>7795.9806727926289</v>
      </c>
      <c r="W33" s="6">
        <f>VLOOKUP($S$13,角色设定!$AB$9:$AJ$21,MATCH(W$17,角色设定!$AB$9:$AJ$9,0),0)*H33</f>
        <v>0.4</v>
      </c>
      <c r="X33" s="6">
        <f>VLOOKUP($S$13,角色设定!$AB$9:$AJ$21,MATCH(X$17,角色设定!$AB$9:$AJ$9,0),0)*I33</f>
        <v>1.5</v>
      </c>
      <c r="Y33" s="6">
        <f>VLOOKUP($S$13,角色设定!$AB$9:$AJ$21,MATCH(Y$17,角色设定!$AB$9:$AJ$9,0),0)*J33</f>
        <v>0.9</v>
      </c>
      <c r="Z33" s="6">
        <f>VLOOKUP($S$13,角色设定!$AB$9:$AJ$21,MATCH(Z$17,角色设定!$AB$9:$AJ$9,0),0)</f>
        <v>0.75</v>
      </c>
      <c r="AA33" s="6"/>
      <c r="AB33" s="6"/>
      <c r="AC33" s="6">
        <f>T33*战斗公式!$E$39*(1+W33*(X33-1))*Y33</f>
        <v>26311.434770675125</v>
      </c>
      <c r="AD33" s="6">
        <f>U33*战斗公式!$E$41*(1+V33*战斗公式!$E$40)</f>
        <v>34648.802990189462</v>
      </c>
      <c r="AE33" s="22">
        <f t="shared" si="12"/>
        <v>60960.237760864591</v>
      </c>
      <c r="AF33" s="22">
        <f t="shared" si="16"/>
        <v>2902.8684648030976</v>
      </c>
      <c r="AG33" s="22"/>
      <c r="AH33" s="9">
        <f t="shared" si="13"/>
        <v>272.85932354774201</v>
      </c>
      <c r="AI33" s="9">
        <f t="shared" si="14"/>
        <v>9000.0246546314138</v>
      </c>
      <c r="AJ33" s="9">
        <f t="shared" si="15"/>
        <v>2182.8745883819361</v>
      </c>
      <c r="AK33" s="9">
        <f t="shared" si="17"/>
        <v>12.99330112132111</v>
      </c>
      <c r="AL33" s="9">
        <f t="shared" si="18"/>
        <v>398.95147863200145</v>
      </c>
      <c r="AM33" s="9">
        <f t="shared" si="19"/>
        <v>103.94640897056888</v>
      </c>
    </row>
    <row r="34" spans="4:39" ht="14.25" customHeight="1" x14ac:dyDescent="0.2">
      <c r="D34" s="1">
        <v>17</v>
      </c>
      <c r="E34" s="6">
        <f t="shared" si="7"/>
        <v>16.00774698146753</v>
      </c>
      <c r="F34" s="6">
        <f t="shared" si="7"/>
        <v>134.61059961688605</v>
      </c>
      <c r="G34" s="6">
        <f t="shared" si="7"/>
        <v>12.369622667497639</v>
      </c>
      <c r="H34" s="6">
        <v>0.4</v>
      </c>
      <c r="I34" s="6">
        <v>1.5</v>
      </c>
      <c r="J34" s="6">
        <v>1</v>
      </c>
      <c r="K34" s="26">
        <f t="shared" si="8"/>
        <v>1.0490445072730135</v>
      </c>
      <c r="L34" s="6">
        <f t="shared" si="9"/>
        <v>1400.6778608784086</v>
      </c>
      <c r="M34" s="6">
        <f t="shared" si="10"/>
        <v>19823.771090184269</v>
      </c>
      <c r="N34" s="6">
        <f t="shared" si="11"/>
        <v>1855.4434001246459</v>
      </c>
      <c r="O34" s="6">
        <f t="shared" si="4"/>
        <v>0.4</v>
      </c>
      <c r="P34" s="6">
        <f t="shared" si="5"/>
        <v>1.5</v>
      </c>
      <c r="Q34" s="6">
        <f t="shared" si="6"/>
        <v>1</v>
      </c>
      <c r="R34" s="6"/>
      <c r="S34" s="38">
        <v>17</v>
      </c>
      <c r="T34" s="6">
        <f>VLOOKUP($S$13,角色设定!$AB$9:$AJ$21,MATCH(E$17,角色设定!$AB$9:$AJ$9,0),0)*Z34*$L$15*E34/Y34/(1+W34*(X34-1))</f>
        <v>1023.2224633040325</v>
      </c>
      <c r="U34" s="6">
        <f>VLOOKUP($S$13,角色设定!$AB$9:$AJ$21,MATCH(F$17,角色设定!$AB$9:$AJ$9,0),0)*F34*$L$15/(1+V34/$N$16)</f>
        <v>33628.489103116262</v>
      </c>
      <c r="V34" s="6">
        <f>VLOOKUP($S$13,角色设定!$AB$9:$AJ$21,MATCH(V$17,角色设定!$AB$9:$AJ$9,0),0)*G34*$L$15</f>
        <v>8185.7797064322604</v>
      </c>
      <c r="W34" s="6">
        <f>VLOOKUP($S$13,角色设定!$AB$9:$AJ$21,MATCH(W$17,角色设定!$AB$9:$AJ$9,0),0)*H34</f>
        <v>0.4</v>
      </c>
      <c r="X34" s="6">
        <f>VLOOKUP($S$13,角色设定!$AB$9:$AJ$21,MATCH(X$17,角色设定!$AB$9:$AJ$9,0),0)*I34</f>
        <v>1.5</v>
      </c>
      <c r="Y34" s="6">
        <f>VLOOKUP($S$13,角色设定!$AB$9:$AJ$21,MATCH(Y$17,角色设定!$AB$9:$AJ$9,0),0)*J34</f>
        <v>0.9</v>
      </c>
      <c r="Z34" s="6">
        <f>VLOOKUP($S$13,角色设定!$AB$9:$AJ$21,MATCH(Z$17,角色设定!$AB$9:$AJ$9,0),0)</f>
        <v>0.75</v>
      </c>
      <c r="AA34" s="6"/>
      <c r="AB34" s="6"/>
      <c r="AC34" s="6">
        <f>T34*战斗公式!$E$39*(1+W34*(X34-1))*Y34</f>
        <v>27627.006509208877</v>
      </c>
      <c r="AD34" s="6">
        <f>U34*战斗公式!$E$41*(1+V34*战斗公式!$E$40)</f>
        <v>36381.243139698941</v>
      </c>
      <c r="AE34" s="22">
        <f t="shared" si="12"/>
        <v>64008.249648907818</v>
      </c>
      <c r="AF34" s="22">
        <f t="shared" si="16"/>
        <v>3048.0118880432274</v>
      </c>
      <c r="AG34" s="22"/>
      <c r="AH34" s="9">
        <f t="shared" si="13"/>
        <v>286.50228972512912</v>
      </c>
      <c r="AI34" s="9">
        <f t="shared" si="14"/>
        <v>9415.9769488725542</v>
      </c>
      <c r="AJ34" s="9">
        <f t="shared" si="15"/>
        <v>2292.0183178010329</v>
      </c>
      <c r="AK34" s="9">
        <f t="shared" si="17"/>
        <v>13.642966177387109</v>
      </c>
      <c r="AL34" s="9">
        <f t="shared" si="18"/>
        <v>415.95229424114041</v>
      </c>
      <c r="AM34" s="9">
        <f t="shared" si="19"/>
        <v>109.14372941909687</v>
      </c>
    </row>
    <row r="35" spans="4:39" ht="14.25" customHeight="1" x14ac:dyDescent="0.2">
      <c r="D35" s="1">
        <v>18</v>
      </c>
      <c r="E35" s="6">
        <f t="shared" si="7"/>
        <v>16.808134330540909</v>
      </c>
      <c r="F35" s="6">
        <f t="shared" si="7"/>
        <v>141.34112959773037</v>
      </c>
      <c r="G35" s="6">
        <f t="shared" si="7"/>
        <v>12.988103800872523</v>
      </c>
      <c r="H35" s="6">
        <v>0.4</v>
      </c>
      <c r="I35" s="6">
        <v>1.5</v>
      </c>
      <c r="J35" s="6">
        <v>1</v>
      </c>
      <c r="K35" s="26">
        <f t="shared" si="8"/>
        <v>1.0489976903362574</v>
      </c>
      <c r="L35" s="6">
        <f t="shared" si="9"/>
        <v>1470.7117539223298</v>
      </c>
      <c r="M35" s="6">
        <f t="shared" si="10"/>
        <v>20796.018175595364</v>
      </c>
      <c r="N35" s="6">
        <f t="shared" si="11"/>
        <v>1948.2155701308784</v>
      </c>
      <c r="O35" s="6">
        <f t="shared" si="4"/>
        <v>0.4</v>
      </c>
      <c r="P35" s="6">
        <f t="shared" si="5"/>
        <v>1.5</v>
      </c>
      <c r="Q35" s="6">
        <f t="shared" si="6"/>
        <v>1</v>
      </c>
      <c r="R35" s="6"/>
      <c r="S35" s="38">
        <v>18</v>
      </c>
      <c r="T35" s="6">
        <f>VLOOKUP($S$13,角色设定!$AB$9:$AJ$21,MATCH(E$17,角色设定!$AB$9:$AJ$9,0),0)*Z35*$L$15*E35/Y35/(1+W35*(X35-1))</f>
        <v>1074.3835864692344</v>
      </c>
      <c r="U35" s="6">
        <f>VLOOKUP($S$13,角色设定!$AB$9:$AJ$21,MATCH(F$17,角色设定!$AB$9:$AJ$9,0),0)*F35*$L$15/(1+V35/$N$16)</f>
        <v>35176.832389245137</v>
      </c>
      <c r="V35" s="6">
        <f>VLOOKUP($S$13,角色设定!$AB$9:$AJ$21,MATCH(V$17,角色设定!$AB$9:$AJ$9,0),0)*G35*$L$15</f>
        <v>8595.0686917538733</v>
      </c>
      <c r="W35" s="6">
        <f>VLOOKUP($S$13,角色设定!$AB$9:$AJ$21,MATCH(W$17,角色设定!$AB$9:$AJ$9,0),0)*H35</f>
        <v>0.4</v>
      </c>
      <c r="X35" s="6">
        <f>VLOOKUP($S$13,角色设定!$AB$9:$AJ$21,MATCH(X$17,角色设定!$AB$9:$AJ$9,0),0)*I35</f>
        <v>1.5</v>
      </c>
      <c r="Y35" s="6">
        <f>VLOOKUP($S$13,角色设定!$AB$9:$AJ$21,MATCH(Y$17,角色设定!$AB$9:$AJ$9,0),0)*J35</f>
        <v>0.9</v>
      </c>
      <c r="Z35" s="6">
        <f>VLOOKUP($S$13,角色设定!$AB$9:$AJ$21,MATCH(Z$17,角色设定!$AB$9:$AJ$9,0),0)</f>
        <v>0.75</v>
      </c>
      <c r="AA35" s="6"/>
      <c r="AB35" s="6"/>
      <c r="AC35" s="6">
        <f>T35*战斗公式!$E$39*(1+W35*(X35-1))*Y35</f>
        <v>29008.356834669332</v>
      </c>
      <c r="AD35" s="6">
        <f>U35*战斗公式!$E$41*(1+V35*战斗公式!$E$40)</f>
        <v>38200.305296683888</v>
      </c>
      <c r="AE35" s="22">
        <f t="shared" si="12"/>
        <v>67208.662131353223</v>
      </c>
      <c r="AF35" s="22">
        <f t="shared" si="16"/>
        <v>3200.4124824454047</v>
      </c>
      <c r="AG35" s="22"/>
      <c r="AH35" s="9">
        <f t="shared" si="13"/>
        <v>300.82740421138567</v>
      </c>
      <c r="AI35" s="9">
        <f t="shared" si="14"/>
        <v>9849.5130689886391</v>
      </c>
      <c r="AJ35" s="9">
        <f t="shared" si="15"/>
        <v>2406.6192336910849</v>
      </c>
      <c r="AK35" s="9">
        <f t="shared" si="17"/>
        <v>14.325114486256552</v>
      </c>
      <c r="AL35" s="9">
        <f t="shared" si="18"/>
        <v>433.53612011608493</v>
      </c>
      <c r="AM35" s="9">
        <f t="shared" si="19"/>
        <v>114.60091589005197</v>
      </c>
    </row>
    <row r="36" spans="4:39" ht="14.25" customHeight="1" x14ac:dyDescent="0.2">
      <c r="D36" s="1">
        <v>19</v>
      </c>
      <c r="E36" s="6">
        <f t="shared" si="7"/>
        <v>17.648541047067955</v>
      </c>
      <c r="F36" s="6">
        <f t="shared" si="7"/>
        <v>148.40818607761688</v>
      </c>
      <c r="G36" s="6">
        <f t="shared" si="7"/>
        <v>13.637508990916148</v>
      </c>
      <c r="H36" s="6">
        <v>0.4</v>
      </c>
      <c r="I36" s="6">
        <v>1.5</v>
      </c>
      <c r="J36" s="6">
        <v>1</v>
      </c>
      <c r="K36" s="26">
        <f t="shared" si="8"/>
        <v>1.0489486286527323</v>
      </c>
      <c r="L36" s="6">
        <f t="shared" si="9"/>
        <v>1544.2473416184459</v>
      </c>
      <c r="M36" s="6">
        <f t="shared" si="10"/>
        <v>21814.975034390365</v>
      </c>
      <c r="N36" s="6">
        <f t="shared" si="11"/>
        <v>2045.6263486374221</v>
      </c>
      <c r="O36" s="6">
        <f t="shared" si="4"/>
        <v>0.4</v>
      </c>
      <c r="P36" s="6">
        <f t="shared" si="5"/>
        <v>1.5</v>
      </c>
      <c r="Q36" s="6">
        <f t="shared" si="6"/>
        <v>1</v>
      </c>
      <c r="R36" s="6"/>
      <c r="S36" s="38">
        <v>19</v>
      </c>
      <c r="T36" s="6">
        <f>VLOOKUP($S$13,角色设定!$AB$9:$AJ$21,MATCH(E$17,角色设定!$AB$9:$AJ$9,0),0)*Z36*$L$15*E36/Y36/(1+W36*(X36-1))</f>
        <v>1128.1027657926959</v>
      </c>
      <c r="U36" s="6">
        <f>VLOOKUP($S$13,角色设定!$AB$9:$AJ$21,MATCH(F$17,角色设定!$AB$9:$AJ$9,0),0)*F36*$L$15/(1+V36/$N$16)</f>
        <v>36790.081175309693</v>
      </c>
      <c r="V36" s="6">
        <f>VLOOKUP($S$13,角色设定!$AB$9:$AJ$21,MATCH(V$17,角色设定!$AB$9:$AJ$9,0),0)*G36*$L$15</f>
        <v>9024.8221263415671</v>
      </c>
      <c r="W36" s="6">
        <f>VLOOKUP($S$13,角色设定!$AB$9:$AJ$21,MATCH(W$17,角色设定!$AB$9:$AJ$9,0),0)*H36</f>
        <v>0.4</v>
      </c>
      <c r="X36" s="6">
        <f>VLOOKUP($S$13,角色设定!$AB$9:$AJ$21,MATCH(X$17,角色设定!$AB$9:$AJ$9,0),0)*I36</f>
        <v>1.5</v>
      </c>
      <c r="Y36" s="6">
        <f>VLOOKUP($S$13,角色设定!$AB$9:$AJ$21,MATCH(Y$17,角色设定!$AB$9:$AJ$9,0),0)*J36</f>
        <v>0.9</v>
      </c>
      <c r="Z36" s="6">
        <f>VLOOKUP($S$13,角色设定!$AB$9:$AJ$21,MATCH(Z$17,角色设定!$AB$9:$AJ$9,0),0)</f>
        <v>0.75</v>
      </c>
      <c r="AA36" s="6"/>
      <c r="AB36" s="6"/>
      <c r="AC36" s="6">
        <f>T36*战斗公式!$E$39*(1+W36*(X36-1))*Y36</f>
        <v>30458.774676402787</v>
      </c>
      <c r="AD36" s="6">
        <f>U36*战斗公式!$E$41*(1+V36*战斗公式!$E$40)</f>
        <v>40110.32056151807</v>
      </c>
      <c r="AE36" s="22">
        <f t="shared" si="12"/>
        <v>70569.095237920861</v>
      </c>
      <c r="AF36" s="22">
        <f t="shared" si="16"/>
        <v>3360.4331065676379</v>
      </c>
      <c r="AG36" s="22"/>
      <c r="AH36" s="9">
        <f t="shared" si="13"/>
        <v>315.86877442195487</v>
      </c>
      <c r="AI36" s="9">
        <f t="shared" si="14"/>
        <v>10301.222729086716</v>
      </c>
      <c r="AJ36" s="9">
        <f t="shared" si="15"/>
        <v>2526.9501953756389</v>
      </c>
      <c r="AK36" s="9">
        <f t="shared" si="17"/>
        <v>15.041370210569198</v>
      </c>
      <c r="AL36" s="9">
        <f t="shared" si="18"/>
        <v>451.70966009807671</v>
      </c>
      <c r="AM36" s="9">
        <f t="shared" si="19"/>
        <v>120.33096168455404</v>
      </c>
    </row>
    <row r="37" spans="4:39" ht="14.25" customHeight="1" x14ac:dyDescent="0.2">
      <c r="D37" s="1">
        <v>20</v>
      </c>
      <c r="E37" s="6">
        <f t="shared" si="7"/>
        <v>18.530968099421351</v>
      </c>
      <c r="F37" s="6">
        <f t="shared" si="7"/>
        <v>155.82859538149773</v>
      </c>
      <c r="G37" s="6">
        <f t="shared" si="7"/>
        <v>14.319384440461956</v>
      </c>
      <c r="H37" s="6">
        <v>0.4</v>
      </c>
      <c r="I37" s="6">
        <v>1.5</v>
      </c>
      <c r="J37" s="6">
        <v>1</v>
      </c>
      <c r="K37" s="26">
        <f t="shared" si="8"/>
        <v>1.0488972195171706</v>
      </c>
      <c r="L37" s="6">
        <f t="shared" si="9"/>
        <v>1621.4597086993681</v>
      </c>
      <c r="M37" s="6">
        <f t="shared" si="10"/>
        <v>22882.788146417366</v>
      </c>
      <c r="N37" s="6">
        <f t="shared" si="11"/>
        <v>2147.9076660692936</v>
      </c>
      <c r="O37" s="6">
        <f t="shared" si="4"/>
        <v>0.4</v>
      </c>
      <c r="P37" s="6">
        <f t="shared" si="5"/>
        <v>1.5</v>
      </c>
      <c r="Q37" s="6">
        <f t="shared" si="6"/>
        <v>1</v>
      </c>
      <c r="R37" s="6"/>
      <c r="S37" s="38">
        <v>20</v>
      </c>
      <c r="T37" s="6">
        <f>VLOOKUP($S$13,角色设定!$AB$9:$AJ$21,MATCH(E$17,角色设定!$AB$9:$AJ$9,0),0)*Z37*$L$15*E37/Y37/(1+W37*(X37-1))</f>
        <v>1184.5079040823307</v>
      </c>
      <c r="U37" s="6">
        <f>VLOOKUP($S$13,角色设定!$AB$9:$AJ$21,MATCH(F$17,角色设定!$AB$9:$AJ$9,0),0)*F37*$L$15/(1+V37/$N$16)</f>
        <v>38470.360867918098</v>
      </c>
      <c r="V37" s="6">
        <f>VLOOKUP($S$13,角色设定!$AB$9:$AJ$21,MATCH(V$17,角色设定!$AB$9:$AJ$9,0),0)*G37*$L$15</f>
        <v>9476.0632326586456</v>
      </c>
      <c r="W37" s="6">
        <f>VLOOKUP($S$13,角色设定!$AB$9:$AJ$21,MATCH(W$17,角色设定!$AB$9:$AJ$9,0),0)*H37</f>
        <v>0.4</v>
      </c>
      <c r="X37" s="6">
        <f>VLOOKUP($S$13,角色设定!$AB$9:$AJ$21,MATCH(X$17,角色设定!$AB$9:$AJ$9,0),0)*I37</f>
        <v>1.5</v>
      </c>
      <c r="Y37" s="6">
        <f>VLOOKUP($S$13,角色设定!$AB$9:$AJ$21,MATCH(Y$17,角色设定!$AB$9:$AJ$9,0),0)*J37</f>
        <v>0.9</v>
      </c>
      <c r="Z37" s="6">
        <f>VLOOKUP($S$13,角色设定!$AB$9:$AJ$21,MATCH(Z$17,角色设定!$AB$9:$AJ$9,0),0)</f>
        <v>0.75</v>
      </c>
      <c r="AA37" s="6"/>
      <c r="AB37" s="6"/>
      <c r="AC37" s="6">
        <f>T37*战斗公式!$E$39*(1+W37*(X37-1))*Y37</f>
        <v>31981.713410222925</v>
      </c>
      <c r="AD37" s="6">
        <f>U37*战斗公式!$E$41*(1+V37*战斗公式!$E$40)</f>
        <v>42115.836589593979</v>
      </c>
      <c r="AE37" s="22">
        <f t="shared" si="12"/>
        <v>74097.549999816896</v>
      </c>
      <c r="AF37" s="22">
        <f t="shared" si="16"/>
        <v>3528.4547618960351</v>
      </c>
      <c r="AG37" s="22"/>
      <c r="AH37" s="9">
        <f t="shared" si="13"/>
        <v>331.66221314305261</v>
      </c>
      <c r="AI37" s="9">
        <f t="shared" si="14"/>
        <v>10771.701043017069</v>
      </c>
      <c r="AJ37" s="9">
        <f t="shared" si="15"/>
        <v>2653.2977051444209</v>
      </c>
      <c r="AK37" s="9">
        <f t="shared" si="17"/>
        <v>15.793438721097743</v>
      </c>
      <c r="AL37" s="9">
        <f t="shared" si="18"/>
        <v>470.47831393035267</v>
      </c>
      <c r="AM37" s="9">
        <f t="shared" si="19"/>
        <v>126.34750976878195</v>
      </c>
    </row>
    <row r="38" spans="4:39" ht="14.25" customHeight="1" x14ac:dyDescent="0.2">
      <c r="D38" s="1">
        <v>21</v>
      </c>
      <c r="E38" s="6">
        <f t="shared" si="7"/>
        <v>19.457516504392419</v>
      </c>
      <c r="F38" s="6">
        <f t="shared" si="7"/>
        <v>163.62002515057262</v>
      </c>
      <c r="G38" s="6">
        <f t="shared" si="7"/>
        <v>15.035353662485052</v>
      </c>
      <c r="H38" s="6">
        <v>0.4</v>
      </c>
      <c r="I38" s="6">
        <v>1.5</v>
      </c>
      <c r="J38" s="6">
        <v>1</v>
      </c>
      <c r="K38" s="26">
        <f t="shared" si="8"/>
        <v>1.0488433560174391</v>
      </c>
      <c r="L38" s="6">
        <f t="shared" si="9"/>
        <v>1702.5326941343365</v>
      </c>
      <c r="M38" s="6">
        <f t="shared" si="10"/>
        <v>24001.692861577645</v>
      </c>
      <c r="N38" s="6">
        <f t="shared" si="11"/>
        <v>2255.3030493727579</v>
      </c>
      <c r="O38" s="6">
        <f t="shared" si="4"/>
        <v>0.4</v>
      </c>
      <c r="P38" s="6">
        <f t="shared" si="5"/>
        <v>1.5</v>
      </c>
      <c r="Q38" s="6">
        <f t="shared" si="6"/>
        <v>1</v>
      </c>
      <c r="R38" s="6"/>
      <c r="S38" s="38">
        <v>21</v>
      </c>
      <c r="T38" s="6">
        <f>VLOOKUP($S$13,角色设定!$AB$9:$AJ$21,MATCH(E$17,角色设定!$AB$9:$AJ$9,0),0)*Z38*$L$15*E38/Y38/(1+W38*(X38-1))</f>
        <v>1243.7332992864472</v>
      </c>
      <c r="U38" s="6">
        <f>VLOOKUP($S$13,角色设定!$AB$9:$AJ$21,MATCH(F$17,角色设定!$AB$9:$AJ$9,0),0)*F38*$L$15/(1+V38/$N$16)</f>
        <v>40219.81096410827</v>
      </c>
      <c r="V38" s="6">
        <f>VLOOKUP($S$13,角色设定!$AB$9:$AJ$21,MATCH(V$17,角色设定!$AB$9:$AJ$9,0),0)*G38*$L$15</f>
        <v>9949.8663942915791</v>
      </c>
      <c r="W38" s="6">
        <f>VLOOKUP($S$13,角色设定!$AB$9:$AJ$21,MATCH(W$17,角色设定!$AB$9:$AJ$9,0),0)*H38</f>
        <v>0.4</v>
      </c>
      <c r="X38" s="6">
        <f>VLOOKUP($S$13,角色设定!$AB$9:$AJ$21,MATCH(X$17,角色设定!$AB$9:$AJ$9,0),0)*I38</f>
        <v>1.5</v>
      </c>
      <c r="Y38" s="6">
        <f>VLOOKUP($S$13,角色设定!$AB$9:$AJ$21,MATCH(Y$17,角色设定!$AB$9:$AJ$9,0),0)*J38</f>
        <v>0.9</v>
      </c>
      <c r="Z38" s="6">
        <f>VLOOKUP($S$13,角色设定!$AB$9:$AJ$21,MATCH(Z$17,角色设定!$AB$9:$AJ$9,0),0)</f>
        <v>0.75</v>
      </c>
      <c r="AA38" s="6"/>
      <c r="AB38" s="6"/>
      <c r="AC38" s="6">
        <f>T38*战斗公式!$E$39*(1+W38*(X38-1))*Y38</f>
        <v>33580.799080734076</v>
      </c>
      <c r="AD38" s="6">
        <f>U38*战斗公式!$E$41*(1+V38*战斗公式!$E$40)</f>
        <v>44221.628419073684</v>
      </c>
      <c r="AE38" s="22">
        <f t="shared" si="12"/>
        <v>77802.42749980776</v>
      </c>
      <c r="AF38" s="22">
        <f t="shared" si="16"/>
        <v>3704.8774999908637</v>
      </c>
      <c r="AG38" s="22"/>
      <c r="AH38" s="9">
        <f t="shared" si="13"/>
        <v>348.24532380020526</v>
      </c>
      <c r="AI38" s="9">
        <f t="shared" si="14"/>
        <v>11261.547069950317</v>
      </c>
      <c r="AJ38" s="9">
        <f t="shared" si="15"/>
        <v>2785.9625904016425</v>
      </c>
      <c r="AK38" s="9">
        <f t="shared" si="17"/>
        <v>16.583110657152645</v>
      </c>
      <c r="AL38" s="9">
        <f t="shared" si="18"/>
        <v>489.84602693324814</v>
      </c>
      <c r="AM38" s="9">
        <f t="shared" si="19"/>
        <v>132.66488525722161</v>
      </c>
    </row>
    <row r="39" spans="4:39" ht="14.25" customHeight="1" x14ac:dyDescent="0.2">
      <c r="D39" s="1">
        <v>22</v>
      </c>
      <c r="E39" s="6">
        <f t="shared" si="7"/>
        <v>20.43039232961204</v>
      </c>
      <c r="F39" s="6">
        <f t="shared" si="7"/>
        <v>171.80102640810125</v>
      </c>
      <c r="G39" s="6">
        <f t="shared" si="7"/>
        <v>15.787121345609304</v>
      </c>
      <c r="H39" s="6">
        <v>0.4</v>
      </c>
      <c r="I39" s="6">
        <v>1.5</v>
      </c>
      <c r="J39" s="6">
        <v>1</v>
      </c>
      <c r="K39" s="26">
        <f t="shared" si="8"/>
        <v>1.0487869269119983</v>
      </c>
      <c r="L39" s="6">
        <f t="shared" si="9"/>
        <v>1787.6593288410534</v>
      </c>
      <c r="M39" s="6">
        <f t="shared" si="10"/>
        <v>25174.016091036909</v>
      </c>
      <c r="N39" s="6">
        <f t="shared" si="11"/>
        <v>2368.0682018413954</v>
      </c>
      <c r="O39" s="6">
        <f t="shared" si="4"/>
        <v>0.4</v>
      </c>
      <c r="P39" s="6">
        <f t="shared" si="5"/>
        <v>1.5</v>
      </c>
      <c r="Q39" s="6">
        <f t="shared" si="6"/>
        <v>1</v>
      </c>
      <c r="R39" s="6"/>
      <c r="S39" s="38">
        <v>22</v>
      </c>
      <c r="T39" s="6">
        <f>VLOOKUP($S$13,角色设定!$AB$9:$AJ$21,MATCH(E$17,角色设定!$AB$9:$AJ$9,0),0)*Z39*$L$15*E39/Y39/(1+W39*(X39-1))</f>
        <v>1305.9199642507697</v>
      </c>
      <c r="U39" s="6">
        <f>VLOOKUP($S$13,角色设定!$AB$9:$AJ$21,MATCH(F$17,角色设定!$AB$9:$AJ$9,0),0)*F39*$L$15/(1+V39/$N$16)</f>
        <v>42040.579295205273</v>
      </c>
      <c r="V39" s="6">
        <f>VLOOKUP($S$13,角色设定!$AB$9:$AJ$21,MATCH(V$17,角色设定!$AB$9:$AJ$9,0),0)*G39*$L$15</f>
        <v>10447.359714006156</v>
      </c>
      <c r="W39" s="6">
        <f>VLOOKUP($S$13,角色设定!$AB$9:$AJ$21,MATCH(W$17,角色设定!$AB$9:$AJ$9,0),0)*H39</f>
        <v>0.4</v>
      </c>
      <c r="X39" s="6">
        <f>VLOOKUP($S$13,角色设定!$AB$9:$AJ$21,MATCH(X$17,角色设定!$AB$9:$AJ$9,0),0)*I39</f>
        <v>1.5</v>
      </c>
      <c r="Y39" s="6">
        <f>VLOOKUP($S$13,角色设定!$AB$9:$AJ$21,MATCH(Y$17,角色设定!$AB$9:$AJ$9,0),0)*J39</f>
        <v>0.9</v>
      </c>
      <c r="Z39" s="6">
        <f>VLOOKUP($S$13,角色设定!$AB$9:$AJ$21,MATCH(Z$17,角色设定!$AB$9:$AJ$9,0),0)</f>
        <v>0.75</v>
      </c>
      <c r="AA39" s="6"/>
      <c r="AB39" s="6"/>
      <c r="AC39" s="6">
        <f>T39*战斗公式!$E$39*(1+W39*(X39-1))*Y39</f>
        <v>35259.839034770783</v>
      </c>
      <c r="AD39" s="6">
        <f>U39*战斗公式!$E$41*(1+V39*战斗公式!$E$40)</f>
        <v>46432.709840027368</v>
      </c>
      <c r="AE39" s="22">
        <f t="shared" si="12"/>
        <v>81692.548874798144</v>
      </c>
      <c r="AF39" s="22">
        <f t="shared" si="16"/>
        <v>3890.1213749903836</v>
      </c>
      <c r="AG39" s="22"/>
      <c r="AH39" s="9">
        <f t="shared" si="13"/>
        <v>365.65758999021557</v>
      </c>
      <c r="AI39" s="9">
        <f t="shared" si="14"/>
        <v>11771.362202657478</v>
      </c>
      <c r="AJ39" s="9">
        <f t="shared" si="15"/>
        <v>2925.2607199217236</v>
      </c>
      <c r="AK39" s="9">
        <f t="shared" si="17"/>
        <v>17.412266190010314</v>
      </c>
      <c r="AL39" s="9">
        <f t="shared" si="18"/>
        <v>509.81513270716096</v>
      </c>
      <c r="AM39" s="9">
        <f t="shared" si="19"/>
        <v>139.29812952008115</v>
      </c>
    </row>
    <row r="40" spans="4:39" ht="14.25" customHeight="1" x14ac:dyDescent="0.2">
      <c r="D40" s="1">
        <v>23</v>
      </c>
      <c r="E40" s="6">
        <f t="shared" si="7"/>
        <v>21.45191194609264</v>
      </c>
      <c r="F40" s="6">
        <f t="shared" si="7"/>
        <v>180.3910777285063</v>
      </c>
      <c r="G40" s="6">
        <f t="shared" si="7"/>
        <v>16.576477412889769</v>
      </c>
      <c r="H40" s="6">
        <v>0.4</v>
      </c>
      <c r="I40" s="6">
        <v>1.5</v>
      </c>
      <c r="J40" s="6">
        <v>1</v>
      </c>
      <c r="K40" s="26">
        <f t="shared" si="8"/>
        <v>1.0487278165091543</v>
      </c>
      <c r="L40" s="6">
        <f t="shared" si="9"/>
        <v>1877.0422952831061</v>
      </c>
      <c r="M40" s="6">
        <f t="shared" si="10"/>
        <v>26402.178974151793</v>
      </c>
      <c r="N40" s="6">
        <f t="shared" si="11"/>
        <v>2486.4716119334653</v>
      </c>
      <c r="O40" s="6">
        <f t="shared" si="4"/>
        <v>0.4</v>
      </c>
      <c r="P40" s="6">
        <f t="shared" si="5"/>
        <v>1.5</v>
      </c>
      <c r="Q40" s="6">
        <f t="shared" si="6"/>
        <v>1</v>
      </c>
      <c r="R40" s="6"/>
      <c r="S40" s="38">
        <v>23</v>
      </c>
      <c r="T40" s="6">
        <f>VLOOKUP($S$13,角色设定!$AB$9:$AJ$21,MATCH(E$17,角色设定!$AB$9:$AJ$9,0),0)*Z40*$L$15*E40/Y40/(1+W40*(X40-1))</f>
        <v>1371.215962463308</v>
      </c>
      <c r="U40" s="6">
        <f>VLOOKUP($S$13,角色设定!$AB$9:$AJ$21,MATCH(F$17,角色设定!$AB$9:$AJ$9,0),0)*F40*$L$15/(1+V40/$N$16)</f>
        <v>43934.815685915841</v>
      </c>
      <c r="V40" s="6">
        <f>VLOOKUP($S$13,角色设定!$AB$9:$AJ$21,MATCH(V$17,角色设定!$AB$9:$AJ$9,0),0)*G40*$L$15</f>
        <v>10969.727699706464</v>
      </c>
      <c r="W40" s="6">
        <f>VLOOKUP($S$13,角色设定!$AB$9:$AJ$21,MATCH(W$17,角色设定!$AB$9:$AJ$9,0),0)*H40</f>
        <v>0.4</v>
      </c>
      <c r="X40" s="6">
        <f>VLOOKUP($S$13,角色设定!$AB$9:$AJ$21,MATCH(X$17,角色设定!$AB$9:$AJ$9,0),0)*I40</f>
        <v>1.5</v>
      </c>
      <c r="Y40" s="6">
        <f>VLOOKUP($S$13,角色设定!$AB$9:$AJ$21,MATCH(Y$17,角色设定!$AB$9:$AJ$9,0),0)*J40</f>
        <v>0.9</v>
      </c>
      <c r="Z40" s="6">
        <f>VLOOKUP($S$13,角色设定!$AB$9:$AJ$21,MATCH(Z$17,角色设定!$AB$9:$AJ$9,0),0)</f>
        <v>0.75</v>
      </c>
      <c r="AA40" s="6"/>
      <c r="AB40" s="6"/>
      <c r="AC40" s="6">
        <f>T40*战斗公式!$E$39*(1+W40*(X40-1))*Y40</f>
        <v>37022.830986509311</v>
      </c>
      <c r="AD40" s="6">
        <f>U40*战斗公式!$E$41*(1+V40*战斗公式!$E$40)</f>
        <v>48754.34533202873</v>
      </c>
      <c r="AE40" s="22">
        <f t="shared" si="12"/>
        <v>85777.176318538041</v>
      </c>
      <c r="AF40" s="22">
        <f t="shared" si="16"/>
        <v>4084.627443739897</v>
      </c>
      <c r="AG40" s="22"/>
      <c r="AH40" s="9">
        <f t="shared" si="13"/>
        <v>383.94046948972624</v>
      </c>
      <c r="AI40" s="9">
        <f t="shared" si="14"/>
        <v>12301.748392056437</v>
      </c>
      <c r="AJ40" s="9">
        <f t="shared" si="15"/>
        <v>3071.5237559178099</v>
      </c>
      <c r="AK40" s="9">
        <f t="shared" si="17"/>
        <v>18.28287949951067</v>
      </c>
      <c r="AL40" s="9">
        <f t="shared" si="18"/>
        <v>530.38618939895969</v>
      </c>
      <c r="AM40" s="9">
        <f t="shared" si="19"/>
        <v>146.26303599608627</v>
      </c>
    </row>
    <row r="41" spans="4:39" ht="14.25" customHeight="1" x14ac:dyDescent="0.2">
      <c r="D41" s="1">
        <v>24</v>
      </c>
      <c r="E41" s="6">
        <f t="shared" si="7"/>
        <v>22.524507543397277</v>
      </c>
      <c r="F41" s="6">
        <f t="shared" si="7"/>
        <v>189.41063161493165</v>
      </c>
      <c r="G41" s="6">
        <f t="shared" si="7"/>
        <v>17.405301283534261</v>
      </c>
      <c r="H41" s="6">
        <v>0.4</v>
      </c>
      <c r="I41" s="6">
        <v>1.5</v>
      </c>
      <c r="J41" s="6">
        <v>1</v>
      </c>
      <c r="K41" s="26">
        <f t="shared" si="8"/>
        <v>1.0486659045488198</v>
      </c>
      <c r="L41" s="6">
        <f t="shared" si="9"/>
        <v>1970.8944100472618</v>
      </c>
      <c r="M41" s="6">
        <f t="shared" si="10"/>
        <v>27688.699506646113</v>
      </c>
      <c r="N41" s="6">
        <f t="shared" si="11"/>
        <v>2610.795192530139</v>
      </c>
      <c r="O41" s="6">
        <f t="shared" si="4"/>
        <v>0.4</v>
      </c>
      <c r="P41" s="6">
        <f t="shared" si="5"/>
        <v>1.5</v>
      </c>
      <c r="Q41" s="6">
        <f t="shared" si="6"/>
        <v>1</v>
      </c>
      <c r="R41" s="6"/>
      <c r="S41" s="38">
        <v>24</v>
      </c>
      <c r="T41" s="6">
        <f>VLOOKUP($S$13,角色设定!$AB$9:$AJ$21,MATCH(E$17,角色设定!$AB$9:$AJ$9,0),0)*Z41*$L$15*E41/Y41/(1+W41*(X41-1))</f>
        <v>1439.7767605864735</v>
      </c>
      <c r="U41" s="6">
        <f>VLOOKUP($S$13,角色设定!$AB$9:$AJ$21,MATCH(F$17,角色设定!$AB$9:$AJ$9,0),0)*F41*$L$15/(1+V41/$N$16)</f>
        <v>45904.665008132841</v>
      </c>
      <c r="V41" s="6">
        <f>VLOOKUP($S$13,角色设定!$AB$9:$AJ$21,MATCH(V$17,角色设定!$AB$9:$AJ$9,0),0)*G41*$L$15</f>
        <v>11518.214084691788</v>
      </c>
      <c r="W41" s="6">
        <f>VLOOKUP($S$13,角色设定!$AB$9:$AJ$21,MATCH(W$17,角色设定!$AB$9:$AJ$9,0),0)*H41</f>
        <v>0.4</v>
      </c>
      <c r="X41" s="6">
        <f>VLOOKUP($S$13,角色设定!$AB$9:$AJ$21,MATCH(X$17,角色设定!$AB$9:$AJ$9,0),0)*I41</f>
        <v>1.5</v>
      </c>
      <c r="Y41" s="6">
        <f>VLOOKUP($S$13,角色设定!$AB$9:$AJ$21,MATCH(Y$17,角色设定!$AB$9:$AJ$9,0),0)*J41</f>
        <v>0.9</v>
      </c>
      <c r="Z41" s="6">
        <f>VLOOKUP($S$13,角色设定!$AB$9:$AJ$21,MATCH(Z$17,角色设定!$AB$9:$AJ$9,0),0)</f>
        <v>0.75</v>
      </c>
      <c r="AA41" s="6"/>
      <c r="AB41" s="6"/>
      <c r="AC41" s="6">
        <f>T41*战斗公式!$E$39*(1+W41*(X41-1))*Y41</f>
        <v>38873.972535834786</v>
      </c>
      <c r="AD41" s="6">
        <f>U41*战斗公式!$E$41*(1+V41*战斗公式!$E$40)</f>
        <v>51192.062598630175</v>
      </c>
      <c r="AE41" s="22">
        <f t="shared" si="12"/>
        <v>90066.035134464968</v>
      </c>
      <c r="AF41" s="22">
        <f t="shared" si="16"/>
        <v>4288.8588159269275</v>
      </c>
      <c r="AG41" s="22"/>
      <c r="AH41" s="9">
        <f t="shared" si="13"/>
        <v>403.13749296421264</v>
      </c>
      <c r="AI41" s="9">
        <f t="shared" si="14"/>
        <v>12853.306202277197</v>
      </c>
      <c r="AJ41" s="9">
        <f t="shared" si="15"/>
        <v>3225.0999437137011</v>
      </c>
      <c r="AK41" s="9">
        <f t="shared" si="17"/>
        <v>19.1970234744864</v>
      </c>
      <c r="AL41" s="9">
        <f t="shared" si="18"/>
        <v>551.55781022076008</v>
      </c>
      <c r="AM41" s="9">
        <f t="shared" si="19"/>
        <v>153.5761877958912</v>
      </c>
    </row>
    <row r="42" spans="4:39" ht="14.25" customHeight="1" x14ac:dyDescent="0.2">
      <c r="D42" s="1">
        <v>25</v>
      </c>
      <c r="E42" s="6">
        <f t="shared" si="7"/>
        <v>23.650732920567137</v>
      </c>
      <c r="F42" s="6">
        <f t="shared" si="7"/>
        <v>198.8811631956782</v>
      </c>
      <c r="G42" s="6">
        <f t="shared" si="7"/>
        <v>18.275566347710971</v>
      </c>
      <c r="H42" s="6">
        <v>0.4</v>
      </c>
      <c r="I42" s="6">
        <v>1.5</v>
      </c>
      <c r="J42" s="6">
        <v>1</v>
      </c>
      <c r="K42" s="26">
        <f t="shared" si="8"/>
        <v>1.0486010660876299</v>
      </c>
      <c r="L42" s="6">
        <f t="shared" si="9"/>
        <v>2069.4391305496247</v>
      </c>
      <c r="M42" s="6">
        <f t="shared" si="10"/>
        <v>29036.195113917507</v>
      </c>
      <c r="N42" s="6">
        <f t="shared" si="11"/>
        <v>2741.3349521566456</v>
      </c>
      <c r="O42" s="6">
        <f t="shared" si="4"/>
        <v>0.4</v>
      </c>
      <c r="P42" s="6">
        <f t="shared" si="5"/>
        <v>1.5</v>
      </c>
      <c r="Q42" s="6">
        <f t="shared" si="6"/>
        <v>1</v>
      </c>
      <c r="R42" s="6"/>
      <c r="S42" s="38">
        <v>25</v>
      </c>
      <c r="T42" s="6">
        <f>VLOOKUP($S$13,角色设定!$AB$9:$AJ$21,MATCH(E$17,角色设定!$AB$9:$AJ$9,0),0)*Z42*$L$15*E42/Y42/(1+W42*(X42-1))</f>
        <v>1511.7655986157972</v>
      </c>
      <c r="U42" s="6">
        <f>VLOOKUP($S$13,角色设定!$AB$9:$AJ$21,MATCH(F$17,角色设定!$AB$9:$AJ$9,0),0)*F42*$L$15/(1+V42/$N$16)</f>
        <v>47952.259611978996</v>
      </c>
      <c r="V42" s="6">
        <f>VLOOKUP($S$13,角色设定!$AB$9:$AJ$21,MATCH(V$17,角色设定!$AB$9:$AJ$9,0),0)*G42*$L$15</f>
        <v>12094.124788926378</v>
      </c>
      <c r="W42" s="6">
        <f>VLOOKUP($S$13,角色设定!$AB$9:$AJ$21,MATCH(W$17,角色设定!$AB$9:$AJ$9,0),0)*H42</f>
        <v>0.4</v>
      </c>
      <c r="X42" s="6">
        <f>VLOOKUP($S$13,角色设定!$AB$9:$AJ$21,MATCH(X$17,角色设定!$AB$9:$AJ$9,0),0)*I42</f>
        <v>1.5</v>
      </c>
      <c r="Y42" s="6">
        <f>VLOOKUP($S$13,角色设定!$AB$9:$AJ$21,MATCH(Y$17,角色设定!$AB$9:$AJ$9,0),0)*J42</f>
        <v>0.9</v>
      </c>
      <c r="Z42" s="6">
        <f>VLOOKUP($S$13,角色设定!$AB$9:$AJ$21,MATCH(Z$17,角色设定!$AB$9:$AJ$9,0),0)</f>
        <v>0.75</v>
      </c>
      <c r="AA42" s="6"/>
      <c r="AB42" s="6"/>
      <c r="AC42" s="6">
        <f>T42*战斗公式!$E$39*(1+W42*(X42-1))*Y42</f>
        <v>40817.671162626531</v>
      </c>
      <c r="AD42" s="6">
        <f>U42*战斗公式!$E$41*(1+V42*战斗公式!$E$40)</f>
        <v>53751.665728561675</v>
      </c>
      <c r="AE42" s="22">
        <f t="shared" si="12"/>
        <v>94569.336891188199</v>
      </c>
      <c r="AF42" s="22">
        <f t="shared" si="16"/>
        <v>4503.3017567232309</v>
      </c>
      <c r="AG42" s="22"/>
      <c r="AH42" s="9">
        <f t="shared" si="13"/>
        <v>423.29436761242329</v>
      </c>
      <c r="AI42" s="9">
        <f t="shared" si="14"/>
        <v>13426.63269135412</v>
      </c>
      <c r="AJ42" s="9">
        <f t="shared" si="15"/>
        <v>3386.3549408993863</v>
      </c>
      <c r="AK42" s="9">
        <f t="shared" si="17"/>
        <v>20.156874648210646</v>
      </c>
      <c r="AL42" s="9">
        <f t="shared" si="18"/>
        <v>573.32648907692237</v>
      </c>
      <c r="AM42" s="9">
        <f t="shared" si="19"/>
        <v>161.25499718568517</v>
      </c>
    </row>
    <row r="43" spans="4:39" ht="14.25" customHeight="1" x14ac:dyDescent="0.2">
      <c r="D43" s="1">
        <v>26</v>
      </c>
      <c r="E43" s="6">
        <f t="shared" si="7"/>
        <v>24.833269566595494</v>
      </c>
      <c r="F43" s="6">
        <f t="shared" si="7"/>
        <v>208.82522135546211</v>
      </c>
      <c r="G43" s="6">
        <f t="shared" si="7"/>
        <v>19.18934466509652</v>
      </c>
      <c r="H43" s="6">
        <v>0.4</v>
      </c>
      <c r="I43" s="6">
        <v>1.5</v>
      </c>
      <c r="J43" s="6">
        <v>1</v>
      </c>
      <c r="K43" s="26">
        <f t="shared" si="8"/>
        <v>1.0485331713883002</v>
      </c>
      <c r="L43" s="6">
        <f t="shared" si="9"/>
        <v>2172.9110870771055</v>
      </c>
      <c r="M43" s="6">
        <f t="shared" si="10"/>
        <v>30447.38515158233</v>
      </c>
      <c r="N43" s="6">
        <f t="shared" si="11"/>
        <v>2878.4016997644781</v>
      </c>
      <c r="O43" s="6">
        <f t="shared" si="4"/>
        <v>0.4</v>
      </c>
      <c r="P43" s="6">
        <f t="shared" si="5"/>
        <v>1.5</v>
      </c>
      <c r="Q43" s="6">
        <f t="shared" si="6"/>
        <v>1</v>
      </c>
      <c r="R43" s="6"/>
      <c r="S43" s="38">
        <v>26</v>
      </c>
      <c r="T43" s="6">
        <f>VLOOKUP($S$13,角色设定!$AB$9:$AJ$21,MATCH(E$17,角色设定!$AB$9:$AJ$9,0),0)*Z43*$L$15*E43/Y43/(1+W43*(X43-1))</f>
        <v>1587.3538785465869</v>
      </c>
      <c r="U43" s="6">
        <f>VLOOKUP($S$13,角色设定!$AB$9:$AJ$21,MATCH(F$17,角色设定!$AB$9:$AJ$9,0),0)*F43*$L$15/(1+V43/$N$16)</f>
        <v>50079.711120322791</v>
      </c>
      <c r="V43" s="6">
        <f>VLOOKUP($S$13,角色设定!$AB$9:$AJ$21,MATCH(V$17,角色设定!$AB$9:$AJ$9,0),0)*G43*$L$15</f>
        <v>12698.831028372697</v>
      </c>
      <c r="W43" s="6">
        <f>VLOOKUP($S$13,角色设定!$AB$9:$AJ$21,MATCH(W$17,角色设定!$AB$9:$AJ$9,0),0)*H43</f>
        <v>0.4</v>
      </c>
      <c r="X43" s="6">
        <f>VLOOKUP($S$13,角色设定!$AB$9:$AJ$21,MATCH(X$17,角色设定!$AB$9:$AJ$9,0),0)*I43</f>
        <v>1.5</v>
      </c>
      <c r="Y43" s="6">
        <f>VLOOKUP($S$13,角色设定!$AB$9:$AJ$21,MATCH(Y$17,角色设定!$AB$9:$AJ$9,0),0)*J43</f>
        <v>0.9</v>
      </c>
      <c r="Z43" s="6">
        <f>VLOOKUP($S$13,角色设定!$AB$9:$AJ$21,MATCH(Z$17,角色设定!$AB$9:$AJ$9,0),0)</f>
        <v>0.75</v>
      </c>
      <c r="AA43" s="6"/>
      <c r="AB43" s="6"/>
      <c r="AC43" s="6">
        <f>T43*战斗公式!$E$39*(1+W43*(X43-1))*Y43</f>
        <v>42858.554720757842</v>
      </c>
      <c r="AD43" s="6">
        <f>U43*战斗公式!$E$41*(1+V43*战斗公式!$E$40)</f>
        <v>56439.249014989757</v>
      </c>
      <c r="AE43" s="22">
        <f t="shared" si="12"/>
        <v>99297.803735747599</v>
      </c>
      <c r="AF43" s="22">
        <f t="shared" si="16"/>
        <v>4728.4668445593998</v>
      </c>
      <c r="AG43" s="22"/>
      <c r="AH43" s="9">
        <f t="shared" si="13"/>
        <v>444.45908599304437</v>
      </c>
      <c r="AI43" s="9">
        <f t="shared" si="14"/>
        <v>14022.319113690382</v>
      </c>
      <c r="AJ43" s="9">
        <f t="shared" si="15"/>
        <v>3555.6726879443554</v>
      </c>
      <c r="AK43" s="9">
        <f t="shared" si="17"/>
        <v>21.164718380621082</v>
      </c>
      <c r="AL43" s="9">
        <f t="shared" si="18"/>
        <v>595.68642233626269</v>
      </c>
      <c r="AM43" s="9">
        <f t="shared" si="19"/>
        <v>169.31774704496911</v>
      </c>
    </row>
    <row r="44" spans="4:39" ht="14.25" customHeight="1" x14ac:dyDescent="0.2">
      <c r="D44" s="1">
        <v>27</v>
      </c>
      <c r="E44" s="6">
        <f t="shared" si="7"/>
        <v>26.07493304492527</v>
      </c>
      <c r="F44" s="6">
        <f t="shared" si="7"/>
        <v>219.26648242323523</v>
      </c>
      <c r="G44" s="6">
        <f t="shared" si="7"/>
        <v>20.148811898351347</v>
      </c>
      <c r="H44" s="6">
        <v>0.4</v>
      </c>
      <c r="I44" s="6">
        <v>1.5</v>
      </c>
      <c r="J44" s="6">
        <v>1</v>
      </c>
      <c r="K44" s="26">
        <f t="shared" si="8"/>
        <v>1.0484620858142453</v>
      </c>
      <c r="L44" s="6">
        <f t="shared" si="9"/>
        <v>2281.556641430961</v>
      </c>
      <c r="M44" s="6">
        <f t="shared" si="10"/>
        <v>31925.093313469661</v>
      </c>
      <c r="N44" s="6">
        <f t="shared" si="11"/>
        <v>3022.3217847527021</v>
      </c>
      <c r="O44" s="6">
        <f t="shared" si="4"/>
        <v>0.4</v>
      </c>
      <c r="P44" s="6">
        <f t="shared" si="5"/>
        <v>1.5</v>
      </c>
      <c r="Q44" s="6">
        <f t="shared" si="6"/>
        <v>1</v>
      </c>
      <c r="R44" s="6"/>
      <c r="S44" s="38">
        <v>27</v>
      </c>
      <c r="T44" s="6">
        <f>VLOOKUP($S$13,角色设定!$AB$9:$AJ$21,MATCH(E$17,角色设定!$AB$9:$AJ$9,0),0)*Z44*$L$15*E44/Y44/(1+W44*(X44-1))</f>
        <v>1666.7215724739162</v>
      </c>
      <c r="U44" s="6">
        <f>VLOOKUP($S$13,角色设定!$AB$9:$AJ$21,MATCH(F$17,角色设定!$AB$9:$AJ$9,0),0)*F44*$L$15/(1+V44/$N$16)</f>
        <v>52289.101577393514</v>
      </c>
      <c r="V44" s="6">
        <f>VLOOKUP($S$13,角色设定!$AB$9:$AJ$21,MATCH(V$17,角色设定!$AB$9:$AJ$9,0),0)*G44*$L$15</f>
        <v>13333.772579791332</v>
      </c>
      <c r="W44" s="6">
        <f>VLOOKUP($S$13,角色设定!$AB$9:$AJ$21,MATCH(W$17,角色设定!$AB$9:$AJ$9,0),0)*H44</f>
        <v>0.4</v>
      </c>
      <c r="X44" s="6">
        <f>VLOOKUP($S$13,角色设定!$AB$9:$AJ$21,MATCH(X$17,角色设定!$AB$9:$AJ$9,0),0)*I44</f>
        <v>1.5</v>
      </c>
      <c r="Y44" s="6">
        <f>VLOOKUP($S$13,角色设定!$AB$9:$AJ$21,MATCH(Y$17,角色设定!$AB$9:$AJ$9,0),0)*J44</f>
        <v>0.9</v>
      </c>
      <c r="Z44" s="6">
        <f>VLOOKUP($S$13,角色设定!$AB$9:$AJ$21,MATCH(Z$17,角色设定!$AB$9:$AJ$9,0),0)</f>
        <v>0.75</v>
      </c>
      <c r="AA44" s="6"/>
      <c r="AB44" s="6"/>
      <c r="AC44" s="6">
        <f>T44*战斗公式!$E$39*(1+W44*(X44-1))*Y44</f>
        <v>45001.482456795733</v>
      </c>
      <c r="AD44" s="6">
        <f>U44*战斗公式!$E$41*(1+V44*战斗公式!$E$40)</f>
        <v>59261.211465739252</v>
      </c>
      <c r="AE44" s="22">
        <f t="shared" si="12"/>
        <v>104262.69392253499</v>
      </c>
      <c r="AF44" s="22">
        <f t="shared" si="16"/>
        <v>4964.8901867873938</v>
      </c>
      <c r="AG44" s="22"/>
      <c r="AH44" s="9">
        <f t="shared" si="13"/>
        <v>466.68204029269657</v>
      </c>
      <c r="AI44" s="9">
        <f t="shared" si="14"/>
        <v>14640.948441670185</v>
      </c>
      <c r="AJ44" s="9">
        <f t="shared" si="15"/>
        <v>3733.4563223415735</v>
      </c>
      <c r="AK44" s="9">
        <f t="shared" si="17"/>
        <v>22.222954299652201</v>
      </c>
      <c r="AL44" s="9">
        <f t="shared" si="18"/>
        <v>618.62932797980284</v>
      </c>
      <c r="AM44" s="9">
        <f t="shared" si="19"/>
        <v>177.78363439721807</v>
      </c>
    </row>
    <row r="45" spans="4:39" ht="14.25" customHeight="1" x14ac:dyDescent="0.2">
      <c r="D45" s="1">
        <v>28</v>
      </c>
      <c r="E45" s="6">
        <f t="shared" si="7"/>
        <v>27.378679697171538</v>
      </c>
      <c r="F45" s="6">
        <f t="shared" si="7"/>
        <v>230.22980654439701</v>
      </c>
      <c r="G45" s="6">
        <f t="shared" si="7"/>
        <v>21.156252493268916</v>
      </c>
      <c r="H45" s="6">
        <v>0.4</v>
      </c>
      <c r="I45" s="6">
        <v>1.5</v>
      </c>
      <c r="J45" s="6">
        <v>1</v>
      </c>
      <c r="K45" s="26">
        <f t="shared" si="8"/>
        <v>1.0483876697305508</v>
      </c>
      <c r="L45" s="6">
        <f t="shared" si="9"/>
        <v>2395.6344735025095</v>
      </c>
      <c r="M45" s="6">
        <f t="shared" si="10"/>
        <v>33472.249925254815</v>
      </c>
      <c r="N45" s="6">
        <f t="shared" si="11"/>
        <v>3173.4378739903373</v>
      </c>
      <c r="O45" s="6">
        <f t="shared" si="4"/>
        <v>0.4</v>
      </c>
      <c r="P45" s="6">
        <f t="shared" si="5"/>
        <v>1.5</v>
      </c>
      <c r="Q45" s="6">
        <f t="shared" si="6"/>
        <v>1</v>
      </c>
      <c r="R45" s="6"/>
      <c r="S45" s="38">
        <v>28</v>
      </c>
      <c r="T45" s="6">
        <f>VLOOKUP($S$13,角色设定!$AB$9:$AJ$21,MATCH(E$17,角色设定!$AB$9:$AJ$9,0),0)*Z45*$L$15*E45/Y45/(1+W45*(X45-1))</f>
        <v>1750.0576510976123</v>
      </c>
      <c r="U45" s="6">
        <f>VLOOKUP($S$13,角色设定!$AB$9:$AJ$21,MATCH(F$17,角色设定!$AB$9:$AJ$9,0),0)*F45*$L$15/(1+V45/$N$16)</f>
        <v>54582.473947248727</v>
      </c>
      <c r="V45" s="6">
        <f>VLOOKUP($S$13,角色设定!$AB$9:$AJ$21,MATCH(V$17,角色设定!$AB$9:$AJ$9,0),0)*G45*$L$15</f>
        <v>14000.461208780898</v>
      </c>
      <c r="W45" s="6">
        <f>VLOOKUP($S$13,角色设定!$AB$9:$AJ$21,MATCH(W$17,角色设定!$AB$9:$AJ$9,0),0)*H45</f>
        <v>0.4</v>
      </c>
      <c r="X45" s="6">
        <f>VLOOKUP($S$13,角色设定!$AB$9:$AJ$21,MATCH(X$17,角色设定!$AB$9:$AJ$9,0),0)*I45</f>
        <v>1.5</v>
      </c>
      <c r="Y45" s="6">
        <f>VLOOKUP($S$13,角色设定!$AB$9:$AJ$21,MATCH(Y$17,角色设定!$AB$9:$AJ$9,0),0)*J45</f>
        <v>0.9</v>
      </c>
      <c r="Z45" s="6">
        <f>VLOOKUP($S$13,角色设定!$AB$9:$AJ$21,MATCH(Z$17,角色设定!$AB$9:$AJ$9,0),0)</f>
        <v>0.75</v>
      </c>
      <c r="AA45" s="6"/>
      <c r="AB45" s="6"/>
      <c r="AC45" s="6">
        <f>T45*战斗公式!$E$39*(1+W45*(X45-1))*Y45</f>
        <v>47251.556579635537</v>
      </c>
      <c r="AD45" s="6">
        <f>U45*战斗公式!$E$41*(1+V45*战斗公式!$E$40)</f>
        <v>62224.272039026218</v>
      </c>
      <c r="AE45" s="22">
        <f t="shared" si="12"/>
        <v>109475.82861866176</v>
      </c>
      <c r="AF45" s="22">
        <f t="shared" si="16"/>
        <v>5213.13469612677</v>
      </c>
      <c r="AG45" s="22"/>
      <c r="AH45" s="9">
        <f t="shared" si="13"/>
        <v>490.01614230733151</v>
      </c>
      <c r="AI45" s="9">
        <f t="shared" si="14"/>
        <v>15283.092705229645</v>
      </c>
      <c r="AJ45" s="9">
        <f t="shared" si="15"/>
        <v>3920.1291384586521</v>
      </c>
      <c r="AK45" s="9">
        <f t="shared" si="17"/>
        <v>23.334102014634936</v>
      </c>
      <c r="AL45" s="9">
        <f t="shared" si="18"/>
        <v>642.14426355945943</v>
      </c>
      <c r="AM45" s="9">
        <f t="shared" si="19"/>
        <v>186.67281611707858</v>
      </c>
    </row>
    <row r="46" spans="4:39" ht="14.25" customHeight="1" x14ac:dyDescent="0.2">
      <c r="D46" s="1">
        <v>29</v>
      </c>
      <c r="E46" s="6">
        <f t="shared" si="7"/>
        <v>28.74761368203011</v>
      </c>
      <c r="F46" s="6">
        <f t="shared" si="7"/>
        <v>241.74129687161684</v>
      </c>
      <c r="G46" s="6">
        <f t="shared" si="7"/>
        <v>22.21406511793236</v>
      </c>
      <c r="H46" s="6">
        <v>0.4</v>
      </c>
      <c r="I46" s="6">
        <v>1.5</v>
      </c>
      <c r="J46" s="6">
        <v>1</v>
      </c>
      <c r="K46" s="26">
        <f t="shared" si="8"/>
        <v>1.0483097784125059</v>
      </c>
      <c r="L46" s="6">
        <f t="shared" si="9"/>
        <v>2515.4161971776348</v>
      </c>
      <c r="M46" s="6">
        <f t="shared" si="10"/>
        <v>35091.894099776495</v>
      </c>
      <c r="N46" s="6">
        <f t="shared" si="11"/>
        <v>3332.1097676898539</v>
      </c>
      <c r="O46" s="6">
        <f t="shared" si="4"/>
        <v>0.4</v>
      </c>
      <c r="P46" s="6">
        <f t="shared" si="5"/>
        <v>1.5</v>
      </c>
      <c r="Q46" s="6">
        <f t="shared" si="6"/>
        <v>1</v>
      </c>
      <c r="R46" s="6"/>
      <c r="S46" s="38">
        <v>29</v>
      </c>
      <c r="T46" s="6">
        <f>VLOOKUP($S$13,角色设定!$AB$9:$AJ$21,MATCH(E$17,角色设定!$AB$9:$AJ$9,0),0)*Z46*$L$15*E46/Y46/(1+W46*(X46-1))</f>
        <v>1837.5605336524927</v>
      </c>
      <c r="U46" s="6">
        <f>VLOOKUP($S$13,角色设定!$AB$9:$AJ$21,MATCH(F$17,角色设定!$AB$9:$AJ$9,0),0)*F46*$L$15/(1+V46/$N$16)</f>
        <v>56961.821963737253</v>
      </c>
      <c r="V46" s="6">
        <f>VLOOKUP($S$13,角色设定!$AB$9:$AJ$21,MATCH(V$17,角色设定!$AB$9:$AJ$9,0),0)*G46*$L$15</f>
        <v>14700.484269219942</v>
      </c>
      <c r="W46" s="6">
        <f>VLOOKUP($S$13,角色设定!$AB$9:$AJ$21,MATCH(W$17,角色设定!$AB$9:$AJ$9,0),0)*H46</f>
        <v>0.4</v>
      </c>
      <c r="X46" s="6">
        <f>VLOOKUP($S$13,角色设定!$AB$9:$AJ$21,MATCH(X$17,角色设定!$AB$9:$AJ$9,0),0)*I46</f>
        <v>1.5</v>
      </c>
      <c r="Y46" s="6">
        <f>VLOOKUP($S$13,角色设定!$AB$9:$AJ$21,MATCH(Y$17,角色设定!$AB$9:$AJ$9,0),0)*J46</f>
        <v>0.9</v>
      </c>
      <c r="Z46" s="6">
        <f>VLOOKUP($S$13,角色设定!$AB$9:$AJ$21,MATCH(Z$17,角色设定!$AB$9:$AJ$9,0),0)</f>
        <v>0.75</v>
      </c>
      <c r="AA46" s="6"/>
      <c r="AB46" s="6"/>
      <c r="AC46" s="6">
        <f>T46*战斗公式!$E$39*(1+W46*(X46-1))*Y46</f>
        <v>49614.134408617305</v>
      </c>
      <c r="AD46" s="6">
        <f>U46*战斗公式!$E$41*(1+V46*战斗公式!$E$40)</f>
        <v>65335.485640977524</v>
      </c>
      <c r="AE46" s="22">
        <f t="shared" si="12"/>
        <v>114949.62004959483</v>
      </c>
      <c r="AF46" s="22">
        <f t="shared" si="16"/>
        <v>5473.7914309330663</v>
      </c>
      <c r="AG46" s="22"/>
      <c r="AH46" s="9">
        <f t="shared" si="13"/>
        <v>514.51694942269796</v>
      </c>
      <c r="AI46" s="9">
        <f t="shared" si="14"/>
        <v>15949.310149846433</v>
      </c>
      <c r="AJ46" s="9">
        <f t="shared" si="15"/>
        <v>4116.1355953815837</v>
      </c>
      <c r="AK46" s="9">
        <f t="shared" si="17"/>
        <v>24.500807115366456</v>
      </c>
      <c r="AL46" s="9">
        <f t="shared" si="18"/>
        <v>666.21744461678827</v>
      </c>
      <c r="AM46" s="9">
        <f t="shared" si="19"/>
        <v>196.00645692293165</v>
      </c>
    </row>
    <row r="47" spans="4:39" ht="14.25" customHeight="1" x14ac:dyDescent="0.2">
      <c r="D47" s="1">
        <v>30</v>
      </c>
      <c r="E47" s="6">
        <f t="shared" si="7"/>
        <v>30.184994366131619</v>
      </c>
      <c r="F47" s="6">
        <f t="shared" si="7"/>
        <v>253.82836171519773</v>
      </c>
      <c r="G47" s="6">
        <f t="shared" si="7"/>
        <v>23.324768373828981</v>
      </c>
      <c r="H47" s="6">
        <v>0.4</v>
      </c>
      <c r="I47" s="6">
        <v>1.5</v>
      </c>
      <c r="J47" s="6">
        <v>1</v>
      </c>
      <c r="K47" s="26">
        <f t="shared" si="8"/>
        <v>1.0482282619630086</v>
      </c>
      <c r="L47" s="6">
        <f t="shared" si="9"/>
        <v>2641.1870070365167</v>
      </c>
      <c r="M47" s="6">
        <f t="shared" si="10"/>
        <v>36787.175727811824</v>
      </c>
      <c r="N47" s="6">
        <f t="shared" si="11"/>
        <v>3498.7152560743471</v>
      </c>
      <c r="O47" s="6">
        <f t="shared" si="4"/>
        <v>0.4</v>
      </c>
      <c r="P47" s="6">
        <f t="shared" si="5"/>
        <v>1.5</v>
      </c>
      <c r="Q47" s="6">
        <f t="shared" si="6"/>
        <v>1</v>
      </c>
      <c r="R47" s="6"/>
      <c r="S47" s="38">
        <v>30</v>
      </c>
      <c r="T47" s="6">
        <f>VLOOKUP($S$13,角色设定!$AB$9:$AJ$21,MATCH(E$17,角色设定!$AB$9:$AJ$9,0),0)*Z47*$L$15*E47/Y47/(1+W47*(X47-1))</f>
        <v>1929.4385603351177</v>
      </c>
      <c r="U47" s="6">
        <f>VLOOKUP($S$13,角色设定!$AB$9:$AJ$21,MATCH(F$17,角色设定!$AB$9:$AJ$9,0),0)*F47*$L$15/(1+V47/$N$16)</f>
        <v>59429.079340278542</v>
      </c>
      <c r="V47" s="6">
        <f>VLOOKUP($S$13,角色设定!$AB$9:$AJ$21,MATCH(V$17,角色设定!$AB$9:$AJ$9,0),0)*G47*$L$15</f>
        <v>15435.508482680942</v>
      </c>
      <c r="W47" s="6">
        <f>VLOOKUP($S$13,角色设定!$AB$9:$AJ$21,MATCH(W$17,角色设定!$AB$9:$AJ$9,0),0)*H47</f>
        <v>0.4</v>
      </c>
      <c r="X47" s="6">
        <f>VLOOKUP($S$13,角色设定!$AB$9:$AJ$21,MATCH(X$17,角色设定!$AB$9:$AJ$9,0),0)*I47</f>
        <v>1.5</v>
      </c>
      <c r="Y47" s="6">
        <f>VLOOKUP($S$13,角色设定!$AB$9:$AJ$21,MATCH(Y$17,角色设定!$AB$9:$AJ$9,0),0)*J47</f>
        <v>0.9</v>
      </c>
      <c r="Z47" s="6">
        <f>VLOOKUP($S$13,角色设定!$AB$9:$AJ$21,MATCH(Z$17,角色设定!$AB$9:$AJ$9,0),0)</f>
        <v>0.75</v>
      </c>
      <c r="AA47" s="6"/>
      <c r="AB47" s="6"/>
      <c r="AC47" s="6">
        <f>T47*战斗公式!$E$39*(1+W47*(X47-1))*Y47</f>
        <v>52094.841129048174</v>
      </c>
      <c r="AD47" s="6">
        <f>U47*战斗公式!$E$41*(1+V47*战斗公式!$E$40)</f>
        <v>68602.259923026417</v>
      </c>
      <c r="AE47" s="22">
        <f t="shared" si="12"/>
        <v>120697.10105207459</v>
      </c>
      <c r="AF47" s="22">
        <f t="shared" si="16"/>
        <v>5747.4810024797625</v>
      </c>
      <c r="AG47" s="22"/>
      <c r="AH47" s="9">
        <f t="shared" si="13"/>
        <v>540.24279689383297</v>
      </c>
      <c r="AI47" s="9">
        <f t="shared" si="14"/>
        <v>16640.142215277992</v>
      </c>
      <c r="AJ47" s="9">
        <f t="shared" si="15"/>
        <v>4321.9423751506638</v>
      </c>
      <c r="AK47" s="9">
        <f t="shared" si="17"/>
        <v>25.725847471135012</v>
      </c>
      <c r="AL47" s="9">
        <f t="shared" si="18"/>
        <v>690.83206543155939</v>
      </c>
      <c r="AM47" s="9">
        <f t="shared" si="19"/>
        <v>205.80677976908009</v>
      </c>
    </row>
    <row r="48" spans="4:39" ht="14.25" customHeight="1" x14ac:dyDescent="0.2">
      <c r="D48" s="1">
        <v>31</v>
      </c>
      <c r="E48" s="6">
        <f t="shared" si="7"/>
        <v>31.694244084438189</v>
      </c>
      <c r="F48" s="6">
        <f t="shared" si="7"/>
        <v>266.51977980095751</v>
      </c>
      <c r="G48" s="6">
        <f t="shared" si="7"/>
        <v>24.491006792520423</v>
      </c>
      <c r="H48" s="6">
        <v>0.4</v>
      </c>
      <c r="I48" s="6">
        <v>1.5</v>
      </c>
      <c r="J48" s="6">
        <v>1</v>
      </c>
      <c r="K48" s="26">
        <f t="shared" si="8"/>
        <v>1.0481429652402794</v>
      </c>
      <c r="L48" s="6">
        <f t="shared" si="9"/>
        <v>2773.2463573883419</v>
      </c>
      <c r="M48" s="6">
        <f t="shared" si="10"/>
        <v>38561.35727569196</v>
      </c>
      <c r="N48" s="6">
        <f t="shared" si="11"/>
        <v>3673.6510188780635</v>
      </c>
      <c r="O48" s="6">
        <f t="shared" si="4"/>
        <v>0.4</v>
      </c>
      <c r="P48" s="6">
        <f t="shared" si="5"/>
        <v>1.5</v>
      </c>
      <c r="Q48" s="6">
        <f t="shared" si="6"/>
        <v>1</v>
      </c>
      <c r="R48" s="6"/>
      <c r="S48" s="38">
        <v>31</v>
      </c>
      <c r="T48" s="6">
        <f>VLOOKUP($S$13,角色设定!$AB$9:$AJ$21,MATCH(E$17,角色设定!$AB$9:$AJ$9,0),0)*Z48*$L$15*E48/Y48/(1+W48*(X48-1))</f>
        <v>2025.9104883518728</v>
      </c>
      <c r="U48" s="6">
        <f>VLOOKUP($S$13,角色设定!$AB$9:$AJ$21,MATCH(F$17,角色设定!$AB$9:$AJ$9,0),0)*F48*$L$15/(1+V48/$N$16)</f>
        <v>61986.108355255485</v>
      </c>
      <c r="V48" s="6">
        <f>VLOOKUP($S$13,角色设定!$AB$9:$AJ$21,MATCH(V$17,角色设定!$AB$9:$AJ$9,0),0)*G48*$L$15</f>
        <v>16207.283906814982</v>
      </c>
      <c r="W48" s="6">
        <f>VLOOKUP($S$13,角色设定!$AB$9:$AJ$21,MATCH(W$17,角色设定!$AB$9:$AJ$9,0),0)*H48</f>
        <v>0.4</v>
      </c>
      <c r="X48" s="6">
        <f>VLOOKUP($S$13,角色设定!$AB$9:$AJ$21,MATCH(X$17,角色设定!$AB$9:$AJ$9,0),0)*I48</f>
        <v>1.5</v>
      </c>
      <c r="Y48" s="6">
        <f>VLOOKUP($S$13,角色设定!$AB$9:$AJ$21,MATCH(Y$17,角色设定!$AB$9:$AJ$9,0),0)*J48</f>
        <v>0.9</v>
      </c>
      <c r="Z48" s="6">
        <f>VLOOKUP($S$13,角色设定!$AB$9:$AJ$21,MATCH(Z$17,角色设定!$AB$9:$AJ$9,0),0)</f>
        <v>0.75</v>
      </c>
      <c r="AA48" s="6"/>
      <c r="AB48" s="6"/>
      <c r="AC48" s="6">
        <f>T48*战斗公式!$E$39*(1+W48*(X48-1))*Y48</f>
        <v>54699.583185500567</v>
      </c>
      <c r="AD48" s="6">
        <f>U48*战斗公式!$E$41*(1+V48*战斗公式!$E$40)</f>
        <v>72032.372919177709</v>
      </c>
      <c r="AE48" s="22">
        <f t="shared" si="12"/>
        <v>126731.95610467828</v>
      </c>
      <c r="AF48" s="22">
        <f t="shared" si="16"/>
        <v>6034.8550526036852</v>
      </c>
      <c r="AG48" s="22"/>
      <c r="AH48" s="9">
        <f t="shared" si="13"/>
        <v>567.25493673852441</v>
      </c>
      <c r="AI48" s="9">
        <f t="shared" si="14"/>
        <v>17356.110339471536</v>
      </c>
      <c r="AJ48" s="9">
        <f t="shared" si="15"/>
        <v>4538.0394939081953</v>
      </c>
      <c r="AK48" s="9">
        <f t="shared" si="17"/>
        <v>27.012139844691433</v>
      </c>
      <c r="AL48" s="9">
        <f t="shared" si="18"/>
        <v>715.96812419354319</v>
      </c>
      <c r="AM48" s="9">
        <f t="shared" si="19"/>
        <v>216.09711875753146</v>
      </c>
    </row>
    <row r="49" spans="4:39" ht="14.25" customHeight="1" x14ac:dyDescent="0.2">
      <c r="D49" s="1">
        <v>32</v>
      </c>
      <c r="E49" s="6">
        <f t="shared" si="7"/>
        <v>33.278956288660112</v>
      </c>
      <c r="F49" s="6">
        <f t="shared" si="7"/>
        <v>279.84576879100547</v>
      </c>
      <c r="G49" s="6">
        <f t="shared" si="7"/>
        <v>25.715557132146454</v>
      </c>
      <c r="H49" s="6">
        <v>0.4</v>
      </c>
      <c r="I49" s="6">
        <v>1.5</v>
      </c>
      <c r="J49" s="6">
        <v>1</v>
      </c>
      <c r="K49" s="26">
        <f t="shared" si="8"/>
        <v>1.0480537277974249</v>
      </c>
      <c r="L49" s="6">
        <f t="shared" si="9"/>
        <v>2911.9086752577596</v>
      </c>
      <c r="M49" s="6">
        <f t="shared" si="10"/>
        <v>40417.81535863359</v>
      </c>
      <c r="N49" s="6">
        <f t="shared" si="11"/>
        <v>3857.333569821968</v>
      </c>
      <c r="O49" s="6">
        <f t="shared" si="4"/>
        <v>0.4</v>
      </c>
      <c r="P49" s="6">
        <f t="shared" si="5"/>
        <v>1.5</v>
      </c>
      <c r="Q49" s="6">
        <f t="shared" si="6"/>
        <v>1</v>
      </c>
      <c r="R49" s="6"/>
      <c r="S49" s="38">
        <v>32</v>
      </c>
      <c r="T49" s="6">
        <f>VLOOKUP($S$13,角色设定!$AB$9:$AJ$21,MATCH(E$17,角色设定!$AB$9:$AJ$9,0),0)*Z49*$L$15*E49/Y49/(1+W49*(X49-1))</f>
        <v>2127.2060127694676</v>
      </c>
      <c r="U49" s="6">
        <f>VLOOKUP($S$13,角色设定!$AB$9:$AJ$21,MATCH(F$17,角色设定!$AB$9:$AJ$9,0),0)*F49*$L$15/(1+V49/$N$16)</f>
        <v>64634.687837093239</v>
      </c>
      <c r="V49" s="6">
        <f>VLOOKUP($S$13,角色设定!$AB$9:$AJ$21,MATCH(V$17,角色设定!$AB$9:$AJ$9,0),0)*G49*$L$15</f>
        <v>17017.648102155737</v>
      </c>
      <c r="W49" s="6">
        <f>VLOOKUP($S$13,角色设定!$AB$9:$AJ$21,MATCH(W$17,角色设定!$AB$9:$AJ$9,0),0)*H49</f>
        <v>0.4</v>
      </c>
      <c r="X49" s="6">
        <f>VLOOKUP($S$13,角色设定!$AB$9:$AJ$21,MATCH(X$17,角色设定!$AB$9:$AJ$9,0),0)*I49</f>
        <v>1.5</v>
      </c>
      <c r="Y49" s="6">
        <f>VLOOKUP($S$13,角色设定!$AB$9:$AJ$21,MATCH(Y$17,角色设定!$AB$9:$AJ$9,0),0)*J49</f>
        <v>0.9</v>
      </c>
      <c r="Z49" s="6">
        <f>VLOOKUP($S$13,角色设定!$AB$9:$AJ$21,MATCH(Z$17,角色设定!$AB$9:$AJ$9,0),0)</f>
        <v>0.75</v>
      </c>
      <c r="AA49" s="6"/>
      <c r="AB49" s="6"/>
      <c r="AC49" s="6">
        <f>T49*战斗公式!$E$39*(1+W49*(X49-1))*Y49</f>
        <v>57434.56234477563</v>
      </c>
      <c r="AD49" s="6">
        <f>U49*战斗公式!$E$41*(1+V49*战斗公式!$E$40)</f>
        <v>75633.991565136617</v>
      </c>
      <c r="AE49" s="22">
        <f t="shared" si="12"/>
        <v>133068.55390991224</v>
      </c>
      <c r="AF49" s="22">
        <f t="shared" si="16"/>
        <v>6336.5978052339633</v>
      </c>
      <c r="AG49" s="22"/>
      <c r="AH49" s="9">
        <f t="shared" si="13"/>
        <v>595.617683575451</v>
      </c>
      <c r="AI49" s="9">
        <f t="shared" si="14"/>
        <v>18097.71259438611</v>
      </c>
      <c r="AJ49" s="9">
        <f t="shared" si="15"/>
        <v>4764.9414686036071</v>
      </c>
      <c r="AK49" s="9">
        <f t="shared" si="17"/>
        <v>28.36274683692659</v>
      </c>
      <c r="AL49" s="9">
        <f t="shared" si="18"/>
        <v>741.60225491457459</v>
      </c>
      <c r="AM49" s="9">
        <f t="shared" si="19"/>
        <v>226.90197469541181</v>
      </c>
    </row>
    <row r="50" spans="4:39" ht="14.25" customHeight="1" x14ac:dyDescent="0.2">
      <c r="D50" s="1">
        <v>33</v>
      </c>
      <c r="E50" s="6">
        <f t="shared" si="7"/>
        <v>34.942904103093113</v>
      </c>
      <c r="F50" s="6">
        <f t="shared" si="7"/>
        <v>293.83805723055576</v>
      </c>
      <c r="G50" s="6">
        <f t="shared" si="7"/>
        <v>27.001334988753772</v>
      </c>
      <c r="H50" s="6">
        <v>0.4</v>
      </c>
      <c r="I50" s="6">
        <v>1.5</v>
      </c>
      <c r="J50" s="6">
        <v>1</v>
      </c>
      <c r="K50" s="26">
        <f t="shared" si="8"/>
        <v>1.0479603838355411</v>
      </c>
      <c r="L50" s="6">
        <f t="shared" ref="L50:L81" si="20">E50*$L$16/J50/(1+H50*(I50-1))*$L$15</f>
        <v>3057.5041090206473</v>
      </c>
      <c r="M50" s="6">
        <f t="shared" ref="M50:M81" si="21">F50/(1+N50/$N$16)*$L$15</f>
        <v>42360.042056043952</v>
      </c>
      <c r="N50" s="6">
        <f t="shared" ref="N50:N81" si="22">G50*$L$15</f>
        <v>4050.2002483130659</v>
      </c>
      <c r="O50" s="6">
        <f t="shared" ref="O50:O81" si="23">H50</f>
        <v>0.4</v>
      </c>
      <c r="P50" s="6">
        <f t="shared" ref="P50:P81" si="24">I50</f>
        <v>1.5</v>
      </c>
      <c r="Q50" s="6">
        <f t="shared" ref="Q50:Q81" si="25">J50</f>
        <v>1</v>
      </c>
      <c r="R50" s="6"/>
      <c r="S50" s="38">
        <v>33</v>
      </c>
      <c r="T50" s="6">
        <f>VLOOKUP($S$13,角色设定!$AB$9:$AJ$21,MATCH(E$17,角色设定!$AB$9:$AJ$9,0),0)*Z50*$L$15*E50/Y50/(1+W50*(X50-1))</f>
        <v>2233.5663134079405</v>
      </c>
      <c r="U50" s="6">
        <f>VLOOKUP($S$13,角色设定!$AB$9:$AJ$21,MATCH(F$17,角色设定!$AB$9:$AJ$9,0),0)*F50*$L$15/(1+V50/$N$16)</f>
        <v>67376.500582146095</v>
      </c>
      <c r="V50" s="6">
        <f>VLOOKUP($S$13,角色设定!$AB$9:$AJ$21,MATCH(V$17,角色设定!$AB$9:$AJ$9,0),0)*G50*$L$15</f>
        <v>17868.530507263524</v>
      </c>
      <c r="W50" s="6">
        <f>VLOOKUP($S$13,角色设定!$AB$9:$AJ$21,MATCH(W$17,角色设定!$AB$9:$AJ$9,0),0)*H50</f>
        <v>0.4</v>
      </c>
      <c r="X50" s="6">
        <f>VLOOKUP($S$13,角色设定!$AB$9:$AJ$21,MATCH(X$17,角色设定!$AB$9:$AJ$9,0),0)*I50</f>
        <v>1.5</v>
      </c>
      <c r="Y50" s="6">
        <f>VLOOKUP($S$13,角色设定!$AB$9:$AJ$21,MATCH(Y$17,角色设定!$AB$9:$AJ$9,0),0)*J50</f>
        <v>0.9</v>
      </c>
      <c r="Z50" s="6">
        <f>VLOOKUP($S$13,角色设定!$AB$9:$AJ$21,MATCH(Z$17,角色设定!$AB$9:$AJ$9,0),0)</f>
        <v>0.75</v>
      </c>
      <c r="AA50" s="6"/>
      <c r="AB50" s="6"/>
      <c r="AC50" s="6">
        <f>T50*战斗公式!$E$39*(1+W50*(X50-1))*Y50</f>
        <v>60306.290462014389</v>
      </c>
      <c r="AD50" s="6">
        <f>U50*战斗公式!$E$41*(1+V50*战斗公式!$E$40)</f>
        <v>79415.691143393458</v>
      </c>
      <c r="AE50" s="22">
        <f t="shared" si="12"/>
        <v>139721.98160540784</v>
      </c>
      <c r="AF50" s="22">
        <f t="shared" si="16"/>
        <v>6653.4276954956003</v>
      </c>
      <c r="AG50" s="22"/>
      <c r="AH50" s="9">
        <f t="shared" si="13"/>
        <v>625.39856775422334</v>
      </c>
      <c r="AI50" s="9">
        <f t="shared" si="14"/>
        <v>18865.420163000908</v>
      </c>
      <c r="AJ50" s="9">
        <f t="shared" si="15"/>
        <v>5003.1885420337867</v>
      </c>
      <c r="AK50" s="9">
        <f t="shared" si="17"/>
        <v>29.78088417877234</v>
      </c>
      <c r="AL50" s="9">
        <f t="shared" si="18"/>
        <v>767.70756861479822</v>
      </c>
      <c r="AM50" s="9">
        <f t="shared" si="19"/>
        <v>238.24707343017963</v>
      </c>
    </row>
    <row r="51" spans="4:39" ht="14.25" customHeight="1" x14ac:dyDescent="0.2">
      <c r="D51" s="1">
        <v>34</v>
      </c>
      <c r="E51" s="6">
        <f t="shared" ref="E51:G82" si="26">E$15*E$16^($D51-1)</f>
        <v>36.690049308247772</v>
      </c>
      <c r="F51" s="6">
        <f t="shared" si="26"/>
        <v>308.52996009208357</v>
      </c>
      <c r="G51" s="6">
        <f t="shared" si="26"/>
        <v>28.351401738191463</v>
      </c>
      <c r="H51" s="6">
        <v>0.4</v>
      </c>
      <c r="I51" s="6">
        <v>1.5</v>
      </c>
      <c r="J51" s="6">
        <v>1</v>
      </c>
      <c r="K51" s="26">
        <f t="shared" si="8"/>
        <v>1.0478627621721388</v>
      </c>
      <c r="L51" s="6">
        <f t="shared" si="20"/>
        <v>3210.3793144716801</v>
      </c>
      <c r="M51" s="6">
        <f t="shared" si="21"/>
        <v>44391.645932341489</v>
      </c>
      <c r="N51" s="6">
        <f t="shared" si="22"/>
        <v>4252.7102607287197</v>
      </c>
      <c r="O51" s="6">
        <f t="shared" si="23"/>
        <v>0.4</v>
      </c>
      <c r="P51" s="6">
        <f t="shared" si="24"/>
        <v>1.5</v>
      </c>
      <c r="Q51" s="6">
        <f t="shared" si="25"/>
        <v>1</v>
      </c>
      <c r="R51" s="6"/>
      <c r="S51" s="38">
        <v>34</v>
      </c>
      <c r="T51" s="6">
        <f>VLOOKUP($S$13,角色设定!$AB$9:$AJ$21,MATCH(E$17,角色设定!$AB$9:$AJ$9,0),0)*Z51*$L$15*E51/Y51/(1+W51*(X51-1))</f>
        <v>2345.2446290783378</v>
      </c>
      <c r="U51" s="6">
        <f>VLOOKUP($S$13,角色设定!$AB$9:$AJ$21,MATCH(F$17,角色设定!$AB$9:$AJ$9,0),0)*F51*$L$15/(1+V51/$N$16)</f>
        <v>70213.120248308885</v>
      </c>
      <c r="V51" s="6">
        <f>VLOOKUP($S$13,角色设定!$AB$9:$AJ$21,MATCH(V$17,角色设定!$AB$9:$AJ$9,0),0)*G51*$L$15</f>
        <v>18761.957032626702</v>
      </c>
      <c r="W51" s="6">
        <f>VLOOKUP($S$13,角色设定!$AB$9:$AJ$21,MATCH(W$17,角色设定!$AB$9:$AJ$9,0),0)*H51</f>
        <v>0.4</v>
      </c>
      <c r="X51" s="6">
        <f>VLOOKUP($S$13,角色设定!$AB$9:$AJ$21,MATCH(X$17,角色设定!$AB$9:$AJ$9,0),0)*I51</f>
        <v>1.5</v>
      </c>
      <c r="Y51" s="6">
        <f>VLOOKUP($S$13,角色设定!$AB$9:$AJ$21,MATCH(Y$17,角色设定!$AB$9:$AJ$9,0),0)*J51</f>
        <v>0.9</v>
      </c>
      <c r="Z51" s="6">
        <f>VLOOKUP($S$13,角色设定!$AB$9:$AJ$21,MATCH(Z$17,角色设定!$AB$9:$AJ$9,0),0)</f>
        <v>0.75</v>
      </c>
      <c r="AA51" s="6"/>
      <c r="AB51" s="6"/>
      <c r="AC51" s="6">
        <f>T51*战斗公式!$E$39*(1+W51*(X51-1))*Y51</f>
        <v>63321.604985115118</v>
      </c>
      <c r="AD51" s="6">
        <f>U51*战斗公式!$E$41*(1+V51*战斗公式!$E$40)</f>
        <v>83386.475700563125</v>
      </c>
      <c r="AE51" s="22">
        <f t="shared" si="12"/>
        <v>146708.08068567823</v>
      </c>
      <c r="AF51" s="22">
        <f t="shared" si="16"/>
        <v>6986.0990802703891</v>
      </c>
      <c r="AG51" s="22"/>
      <c r="AH51" s="9">
        <f t="shared" si="13"/>
        <v>656.66849614193461</v>
      </c>
      <c r="AI51" s="9">
        <f t="shared" si="14"/>
        <v>19659.673669526488</v>
      </c>
      <c r="AJ51" s="9">
        <f t="shared" si="15"/>
        <v>5253.3479691354769</v>
      </c>
      <c r="AK51" s="9">
        <f t="shared" si="17"/>
        <v>31.269928387711275</v>
      </c>
      <c r="AL51" s="9">
        <f t="shared" si="18"/>
        <v>794.25350652557972</v>
      </c>
      <c r="AM51" s="9">
        <f t="shared" si="19"/>
        <v>250.1594271016902</v>
      </c>
    </row>
    <row r="52" spans="4:39" ht="14.25" customHeight="1" x14ac:dyDescent="0.2">
      <c r="D52" s="1">
        <v>35</v>
      </c>
      <c r="E52" s="6">
        <f t="shared" si="26"/>
        <v>38.524551773660157</v>
      </c>
      <c r="F52" s="6">
        <f t="shared" si="26"/>
        <v>323.9564580966877</v>
      </c>
      <c r="G52" s="6">
        <f t="shared" si="26"/>
        <v>29.768971825101037</v>
      </c>
      <c r="H52" s="6">
        <v>0.4</v>
      </c>
      <c r="I52" s="6">
        <v>1.5</v>
      </c>
      <c r="J52" s="6">
        <v>1</v>
      </c>
      <c r="K52" s="26">
        <f t="shared" si="8"/>
        <v>1.0477606862268509</v>
      </c>
      <c r="L52" s="6">
        <f t="shared" si="20"/>
        <v>3370.8982801952634</v>
      </c>
      <c r="M52" s="6">
        <f t="shared" si="21"/>
        <v>46516.352724030941</v>
      </c>
      <c r="N52" s="6">
        <f t="shared" si="22"/>
        <v>4465.3457737651552</v>
      </c>
      <c r="O52" s="6">
        <f t="shared" si="23"/>
        <v>0.4</v>
      </c>
      <c r="P52" s="6">
        <f t="shared" si="24"/>
        <v>1.5</v>
      </c>
      <c r="Q52" s="6">
        <f t="shared" si="25"/>
        <v>1</v>
      </c>
      <c r="R52" s="6"/>
      <c r="S52" s="38">
        <v>35</v>
      </c>
      <c r="T52" s="6">
        <f>VLOOKUP($S$13,角色设定!$AB$9:$AJ$21,MATCH(E$17,角色设定!$AB$9:$AJ$9,0),0)*Z52*$L$15*E52/Y52/(1+W52*(X52-1))</f>
        <v>2462.5068605322544</v>
      </c>
      <c r="U52" s="6">
        <f>VLOOKUP($S$13,角色设定!$AB$9:$AJ$21,MATCH(F$17,角色设定!$AB$9:$AJ$9,0),0)*F52*$L$15/(1+V52/$N$16)</f>
        <v>73145.997777738608</v>
      </c>
      <c r="V52" s="6">
        <f>VLOOKUP($S$13,角色设定!$AB$9:$AJ$21,MATCH(V$17,角色设定!$AB$9:$AJ$9,0),0)*G52*$L$15</f>
        <v>19700.054884258036</v>
      </c>
      <c r="W52" s="6">
        <f>VLOOKUP($S$13,角色设定!$AB$9:$AJ$21,MATCH(W$17,角色设定!$AB$9:$AJ$9,0),0)*H52</f>
        <v>0.4</v>
      </c>
      <c r="X52" s="6">
        <f>VLOOKUP($S$13,角色设定!$AB$9:$AJ$21,MATCH(X$17,角色设定!$AB$9:$AJ$9,0),0)*I52</f>
        <v>1.5</v>
      </c>
      <c r="Y52" s="6">
        <f>VLOOKUP($S$13,角色设定!$AB$9:$AJ$21,MATCH(Y$17,角色设定!$AB$9:$AJ$9,0),0)*J52</f>
        <v>0.9</v>
      </c>
      <c r="Z52" s="6">
        <f>VLOOKUP($S$13,角色设定!$AB$9:$AJ$21,MATCH(Z$17,角色设定!$AB$9:$AJ$9,0),0)</f>
        <v>0.75</v>
      </c>
      <c r="AA52" s="6"/>
      <c r="AB52" s="6"/>
      <c r="AC52" s="6">
        <f>T52*战斗公式!$E$39*(1+W52*(X52-1))*Y52</f>
        <v>66487.685234370874</v>
      </c>
      <c r="AD52" s="6">
        <f>U52*战斗公式!$E$41*(1+V52*战斗公式!$E$40)</f>
        <v>87555.799485591269</v>
      </c>
      <c r="AE52" s="22">
        <f t="shared" si="12"/>
        <v>154043.48471996214</v>
      </c>
      <c r="AF52" s="22">
        <f t="shared" si="16"/>
        <v>7335.4040342839144</v>
      </c>
      <c r="AG52" s="22"/>
      <c r="AH52" s="9">
        <f t="shared" si="13"/>
        <v>689.50192094903127</v>
      </c>
      <c r="AI52" s="9">
        <f t="shared" si="14"/>
        <v>20480.879377766811</v>
      </c>
      <c r="AJ52" s="9">
        <f t="shared" si="15"/>
        <v>5516.0153675922502</v>
      </c>
      <c r="AK52" s="9">
        <f t="shared" si="17"/>
        <v>32.833424807096662</v>
      </c>
      <c r="AL52" s="9">
        <f t="shared" si="18"/>
        <v>821.20570824032256</v>
      </c>
      <c r="AM52" s="9">
        <f t="shared" si="19"/>
        <v>262.6673984567733</v>
      </c>
    </row>
    <row r="53" spans="4:39" ht="14.25" customHeight="1" x14ac:dyDescent="0.2">
      <c r="D53" s="1">
        <v>36</v>
      </c>
      <c r="E53" s="6">
        <f t="shared" si="26"/>
        <v>40.450779362343177</v>
      </c>
      <c r="F53" s="6">
        <f t="shared" si="26"/>
        <v>340.15428100152212</v>
      </c>
      <c r="G53" s="6">
        <f t="shared" si="26"/>
        <v>31.257420416356091</v>
      </c>
      <c r="H53" s="6">
        <v>0.4</v>
      </c>
      <c r="I53" s="6">
        <v>1.5</v>
      </c>
      <c r="J53" s="6">
        <v>1</v>
      </c>
      <c r="K53" s="26">
        <f t="shared" si="8"/>
        <v>1.0476539740264674</v>
      </c>
      <c r="L53" s="6">
        <f t="shared" si="20"/>
        <v>3539.4431942050278</v>
      </c>
      <c r="M53" s="6">
        <f t="shared" si="21"/>
        <v>48738.005650900901</v>
      </c>
      <c r="N53" s="6">
        <f t="shared" si="22"/>
        <v>4688.6130624534135</v>
      </c>
      <c r="O53" s="6">
        <f t="shared" si="23"/>
        <v>0.4</v>
      </c>
      <c r="P53" s="6">
        <f t="shared" si="24"/>
        <v>1.5</v>
      </c>
      <c r="Q53" s="6">
        <f t="shared" si="25"/>
        <v>1</v>
      </c>
      <c r="R53" s="6"/>
      <c r="S53" s="38">
        <v>36</v>
      </c>
      <c r="T53" s="6">
        <f>VLOOKUP($S$13,角色设定!$AB$9:$AJ$21,MATCH(E$17,角色设定!$AB$9:$AJ$9,0),0)*Z53*$L$15*E53/Y53/(1+W53*(X53-1))</f>
        <v>2585.6322035588678</v>
      </c>
      <c r="U53" s="6">
        <f>VLOOKUP($S$13,角色设定!$AB$9:$AJ$21,MATCH(F$17,角色设定!$AB$9:$AJ$9,0),0)*F53*$L$15/(1+V53/$N$16)</f>
        <v>76176.447413140806</v>
      </c>
      <c r="V53" s="6">
        <f>VLOOKUP($S$13,角色设定!$AB$9:$AJ$21,MATCH(V$17,角色设定!$AB$9:$AJ$9,0),0)*G53*$L$15</f>
        <v>20685.057628470939</v>
      </c>
      <c r="W53" s="6">
        <f>VLOOKUP($S$13,角色设定!$AB$9:$AJ$21,MATCH(W$17,角色设定!$AB$9:$AJ$9,0),0)*H53</f>
        <v>0.4</v>
      </c>
      <c r="X53" s="6">
        <f>VLOOKUP($S$13,角色设定!$AB$9:$AJ$21,MATCH(X$17,角色设定!$AB$9:$AJ$9,0),0)*I53</f>
        <v>1.5</v>
      </c>
      <c r="Y53" s="6">
        <f>VLOOKUP($S$13,角色设定!$AB$9:$AJ$21,MATCH(Y$17,角色设定!$AB$9:$AJ$9,0),0)*J53</f>
        <v>0.9</v>
      </c>
      <c r="Z53" s="6">
        <f>VLOOKUP($S$13,角色设定!$AB$9:$AJ$21,MATCH(Z$17,角色设定!$AB$9:$AJ$9,0),0)</f>
        <v>0.75</v>
      </c>
      <c r="AA53" s="6"/>
      <c r="AB53" s="6"/>
      <c r="AC53" s="6">
        <f>T53*战斗公式!$E$39*(1+W53*(X53-1))*Y53</f>
        <v>69812.069496089433</v>
      </c>
      <c r="AD53" s="6">
        <f>U53*战斗公式!$E$41*(1+V53*战斗公式!$E$40)</f>
        <v>91933.589459870855</v>
      </c>
      <c r="AE53" s="22">
        <f t="shared" si="12"/>
        <v>161745.6589559603</v>
      </c>
      <c r="AF53" s="22">
        <f t="shared" si="16"/>
        <v>7702.1742359981581</v>
      </c>
      <c r="AG53" s="22"/>
      <c r="AH53" s="9">
        <f t="shared" si="13"/>
        <v>723.97701699648303</v>
      </c>
      <c r="AI53" s="9">
        <f t="shared" si="14"/>
        <v>21329.405275679426</v>
      </c>
      <c r="AJ53" s="9">
        <f t="shared" si="15"/>
        <v>5791.8161359718633</v>
      </c>
      <c r="AK53" s="9">
        <f t="shared" si="17"/>
        <v>34.475096047451757</v>
      </c>
      <c r="AL53" s="9">
        <f t="shared" si="18"/>
        <v>848.52589791261562</v>
      </c>
      <c r="AM53" s="9">
        <f t="shared" si="19"/>
        <v>275.80076837961315</v>
      </c>
    </row>
    <row r="54" spans="4:39" ht="14.25" customHeight="1" x14ac:dyDescent="0.2">
      <c r="D54" s="1">
        <v>37</v>
      </c>
      <c r="E54" s="6">
        <f t="shared" si="26"/>
        <v>42.47331833046033</v>
      </c>
      <c r="F54" s="6">
        <f t="shared" si="26"/>
        <v>357.16199505159818</v>
      </c>
      <c r="G54" s="6">
        <f t="shared" si="26"/>
        <v>32.820291437173893</v>
      </c>
      <c r="H54" s="6">
        <v>0.4</v>
      </c>
      <c r="I54" s="6">
        <v>1.5</v>
      </c>
      <c r="J54" s="6">
        <v>1</v>
      </c>
      <c r="K54" s="26">
        <f t="shared" si="8"/>
        <v>1.0475424382315315</v>
      </c>
      <c r="L54" s="6">
        <f t="shared" si="20"/>
        <v>3716.4153539152785</v>
      </c>
      <c r="M54" s="6">
        <f t="shared" si="21"/>
        <v>51060.565306290759</v>
      </c>
      <c r="N54" s="6">
        <f t="shared" si="22"/>
        <v>4923.0437155760837</v>
      </c>
      <c r="O54" s="6">
        <f t="shared" si="23"/>
        <v>0.4</v>
      </c>
      <c r="P54" s="6">
        <f t="shared" si="24"/>
        <v>1.5</v>
      </c>
      <c r="Q54" s="6">
        <f t="shared" si="25"/>
        <v>1</v>
      </c>
      <c r="R54" s="6"/>
      <c r="S54" s="38">
        <v>37</v>
      </c>
      <c r="T54" s="6">
        <f>VLOOKUP($S$13,角色设定!$AB$9:$AJ$21,MATCH(E$17,角色设定!$AB$9:$AJ$9,0),0)*Z54*$L$15*E54/Y54/(1+W54*(X54-1))</f>
        <v>2714.9138137368109</v>
      </c>
      <c r="U54" s="6">
        <f>VLOOKUP($S$13,角色设定!$AB$9:$AJ$21,MATCH(F$17,角色设定!$AB$9:$AJ$9,0),0)*F54*$L$15/(1+V54/$N$16)</f>
        <v>79305.632383628632</v>
      </c>
      <c r="V54" s="6">
        <f>VLOOKUP($S$13,角色设定!$AB$9:$AJ$21,MATCH(V$17,角色设定!$AB$9:$AJ$9,0),0)*G54*$L$15</f>
        <v>21719.310509894483</v>
      </c>
      <c r="W54" s="6">
        <f>VLOOKUP($S$13,角色设定!$AB$9:$AJ$21,MATCH(W$17,角色设定!$AB$9:$AJ$9,0),0)*H54</f>
        <v>0.4</v>
      </c>
      <c r="X54" s="6">
        <f>VLOOKUP($S$13,角色设定!$AB$9:$AJ$21,MATCH(X$17,角色设定!$AB$9:$AJ$9,0),0)*I54</f>
        <v>1.5</v>
      </c>
      <c r="Y54" s="6">
        <f>VLOOKUP($S$13,角色设定!$AB$9:$AJ$21,MATCH(Y$17,角色设定!$AB$9:$AJ$9,0),0)*J54</f>
        <v>0.9</v>
      </c>
      <c r="Z54" s="6">
        <f>VLOOKUP($S$13,角色设定!$AB$9:$AJ$21,MATCH(Z$17,角色设定!$AB$9:$AJ$9,0),0)</f>
        <v>0.75</v>
      </c>
      <c r="AA54" s="6"/>
      <c r="AB54" s="6"/>
      <c r="AC54" s="6">
        <f>T54*战斗公式!$E$39*(1+W54*(X54-1))*Y54</f>
        <v>73302.672970893895</v>
      </c>
      <c r="AD54" s="6">
        <f>U54*战斗公式!$E$41*(1+V54*战斗公式!$E$40)</f>
        <v>96530.268932864376</v>
      </c>
      <c r="AE54" s="22">
        <f t="shared" si="12"/>
        <v>169832.94190375827</v>
      </c>
      <c r="AF54" s="22">
        <f t="shared" si="16"/>
        <v>8087.2829477979685</v>
      </c>
      <c r="AG54" s="22"/>
      <c r="AH54" s="9">
        <f t="shared" si="13"/>
        <v>760.17586784630714</v>
      </c>
      <c r="AI54" s="9">
        <f t="shared" si="14"/>
        <v>22205.577067416019</v>
      </c>
      <c r="AJ54" s="9">
        <f t="shared" si="15"/>
        <v>6081.4069427704562</v>
      </c>
      <c r="AK54" s="9">
        <f t="shared" si="17"/>
        <v>36.198850849824112</v>
      </c>
      <c r="AL54" s="9">
        <f t="shared" si="18"/>
        <v>876.17179173659315</v>
      </c>
      <c r="AM54" s="9">
        <f t="shared" si="19"/>
        <v>289.59080679859289</v>
      </c>
    </row>
    <row r="55" spans="4:39" ht="14.25" customHeight="1" x14ac:dyDescent="0.2">
      <c r="D55" s="1">
        <v>38</v>
      </c>
      <c r="E55" s="6">
        <f t="shared" si="26"/>
        <v>44.596984246983347</v>
      </c>
      <c r="F55" s="6">
        <f t="shared" si="26"/>
        <v>375.02009480417814</v>
      </c>
      <c r="G55" s="6">
        <f t="shared" si="26"/>
        <v>34.46130600903259</v>
      </c>
      <c r="H55" s="6">
        <v>0.4</v>
      </c>
      <c r="I55" s="6">
        <v>1.5</v>
      </c>
      <c r="J55" s="6">
        <v>1</v>
      </c>
      <c r="K55" s="26">
        <f t="shared" si="8"/>
        <v>1.0474258861868029</v>
      </c>
      <c r="L55" s="6">
        <f t="shared" si="20"/>
        <v>3902.2361216110426</v>
      </c>
      <c r="M55" s="6">
        <f t="shared" si="21"/>
        <v>53488.109078432171</v>
      </c>
      <c r="N55" s="6">
        <f t="shared" si="22"/>
        <v>5169.1959013548885</v>
      </c>
      <c r="O55" s="6">
        <f t="shared" si="23"/>
        <v>0.4</v>
      </c>
      <c r="P55" s="6">
        <f t="shared" si="24"/>
        <v>1.5</v>
      </c>
      <c r="Q55" s="6">
        <f t="shared" si="25"/>
        <v>1</v>
      </c>
      <c r="R55" s="6"/>
      <c r="S55" s="38">
        <v>38</v>
      </c>
      <c r="T55" s="6">
        <f>VLOOKUP($S$13,角色设定!$AB$9:$AJ$21,MATCH(E$17,角色设定!$AB$9:$AJ$9,0),0)*Z55*$L$15*E55/Y55/(1+W55*(X55-1))</f>
        <v>2850.6595044236515</v>
      </c>
      <c r="U55" s="6">
        <f>VLOOKUP($S$13,角色设定!$AB$9:$AJ$21,MATCH(F$17,角色设定!$AB$9:$AJ$9,0),0)*F55*$L$15/(1+V55/$N$16)</f>
        <v>82534.550348064266</v>
      </c>
      <c r="V55" s="6">
        <f>VLOOKUP($S$13,角色设定!$AB$9:$AJ$21,MATCH(V$17,角色设定!$AB$9:$AJ$9,0),0)*G55*$L$15</f>
        <v>22805.276035389212</v>
      </c>
      <c r="W55" s="6">
        <f>VLOOKUP($S$13,角色设定!$AB$9:$AJ$21,MATCH(W$17,角色设定!$AB$9:$AJ$9,0),0)*H55</f>
        <v>0.4</v>
      </c>
      <c r="X55" s="6">
        <f>VLOOKUP($S$13,角色设定!$AB$9:$AJ$21,MATCH(X$17,角色设定!$AB$9:$AJ$9,0),0)*I55</f>
        <v>1.5</v>
      </c>
      <c r="Y55" s="6">
        <f>VLOOKUP($S$13,角色设定!$AB$9:$AJ$21,MATCH(Y$17,角色设定!$AB$9:$AJ$9,0),0)*J55</f>
        <v>0.9</v>
      </c>
      <c r="Z55" s="6">
        <f>VLOOKUP($S$13,角色设定!$AB$9:$AJ$21,MATCH(Z$17,角色设定!$AB$9:$AJ$9,0),0)</f>
        <v>0.75</v>
      </c>
      <c r="AA55" s="6"/>
      <c r="AB55" s="6"/>
      <c r="AC55" s="6">
        <f>T55*战斗公式!$E$39*(1+W55*(X55-1))*Y55</f>
        <v>76967.80661943859</v>
      </c>
      <c r="AD55" s="6">
        <f>U55*战斗公式!$E$41*(1+V55*战斗公式!$E$40)</f>
        <v>101356.78237950761</v>
      </c>
      <c r="AE55" s="22">
        <f t="shared" si="12"/>
        <v>178324.58899894619</v>
      </c>
      <c r="AF55" s="22">
        <f t="shared" si="16"/>
        <v>8491.6470951879164</v>
      </c>
      <c r="AG55" s="22"/>
      <c r="AH55" s="9">
        <f t="shared" si="13"/>
        <v>798.18466123862254</v>
      </c>
      <c r="AI55" s="9">
        <f t="shared" si="14"/>
        <v>23109.674097457995</v>
      </c>
      <c r="AJ55" s="9">
        <f t="shared" si="15"/>
        <v>6385.4772899089803</v>
      </c>
      <c r="AK55" s="9">
        <f t="shared" si="17"/>
        <v>38.008793392315397</v>
      </c>
      <c r="AL55" s="9">
        <f t="shared" si="18"/>
        <v>904.09703004197581</v>
      </c>
      <c r="AM55" s="9">
        <f t="shared" si="19"/>
        <v>304.07034713852408</v>
      </c>
    </row>
    <row r="56" spans="4:39" ht="14.25" customHeight="1" x14ac:dyDescent="0.2">
      <c r="D56" s="1">
        <v>39</v>
      </c>
      <c r="E56" s="6">
        <f t="shared" si="26"/>
        <v>46.826833459332505</v>
      </c>
      <c r="F56" s="6">
        <f t="shared" si="26"/>
        <v>393.77109954438697</v>
      </c>
      <c r="G56" s="6">
        <f t="shared" si="26"/>
        <v>36.184371309484213</v>
      </c>
      <c r="H56" s="6">
        <v>0.4</v>
      </c>
      <c r="I56" s="6">
        <v>1.5</v>
      </c>
      <c r="J56" s="6">
        <v>1</v>
      </c>
      <c r="K56" s="26">
        <f t="shared" si="8"/>
        <v>1.0473041199980953</v>
      </c>
      <c r="L56" s="6">
        <f t="shared" si="20"/>
        <v>4097.3479276915941</v>
      </c>
      <c r="M56" s="6">
        <f t="shared" si="21"/>
        <v>56024.830051933197</v>
      </c>
      <c r="N56" s="6">
        <f t="shared" si="22"/>
        <v>5427.655696422632</v>
      </c>
      <c r="O56" s="6">
        <f t="shared" si="23"/>
        <v>0.4</v>
      </c>
      <c r="P56" s="6">
        <f t="shared" si="24"/>
        <v>1.5</v>
      </c>
      <c r="Q56" s="6">
        <f t="shared" si="25"/>
        <v>1</v>
      </c>
      <c r="R56" s="6"/>
      <c r="S56" s="38">
        <v>39</v>
      </c>
      <c r="T56" s="6">
        <f>VLOOKUP($S$13,角色设定!$AB$9:$AJ$21,MATCH(E$17,角色设定!$AB$9:$AJ$9,0),0)*Z56*$L$15*E56/Y56/(1+W56*(X56-1))</f>
        <v>2993.1924796448329</v>
      </c>
      <c r="U56" s="6">
        <f>VLOOKUP($S$13,角色设定!$AB$9:$AJ$21,MATCH(F$17,角色设定!$AB$9:$AJ$9,0),0)*F56*$L$15/(1+V56/$N$16)</f>
        <v>85864.018695876497</v>
      </c>
      <c r="V56" s="6">
        <f>VLOOKUP($S$13,角色设定!$AB$9:$AJ$21,MATCH(V$17,角色设定!$AB$9:$AJ$9,0),0)*G56*$L$15</f>
        <v>23945.539837158667</v>
      </c>
      <c r="W56" s="6">
        <f>VLOOKUP($S$13,角色设定!$AB$9:$AJ$21,MATCH(W$17,角色设定!$AB$9:$AJ$9,0),0)*H56</f>
        <v>0.4</v>
      </c>
      <c r="X56" s="6">
        <f>VLOOKUP($S$13,角色设定!$AB$9:$AJ$21,MATCH(X$17,角色设定!$AB$9:$AJ$9,0),0)*I56</f>
        <v>1.5</v>
      </c>
      <c r="Y56" s="6">
        <f>VLOOKUP($S$13,角色设定!$AB$9:$AJ$21,MATCH(Y$17,角色设定!$AB$9:$AJ$9,0),0)*J56</f>
        <v>0.9</v>
      </c>
      <c r="Z56" s="6">
        <f>VLOOKUP($S$13,角色设定!$AB$9:$AJ$21,MATCH(Z$17,角色设定!$AB$9:$AJ$9,0),0)</f>
        <v>0.75</v>
      </c>
      <c r="AA56" s="6"/>
      <c r="AB56" s="6"/>
      <c r="AC56" s="6">
        <f>T56*战斗公式!$E$39*(1+W56*(X56-1))*Y56</f>
        <v>80816.196950410478</v>
      </c>
      <c r="AD56" s="6">
        <f>U56*战斗公式!$E$41*(1+V56*战斗公式!$E$40)</f>
        <v>106424.62149848299</v>
      </c>
      <c r="AE56" s="22">
        <f t="shared" si="12"/>
        <v>187240.81844889346</v>
      </c>
      <c r="AF56" s="22">
        <f t="shared" si="16"/>
        <v>8916.2294499472773</v>
      </c>
      <c r="AG56" s="22"/>
      <c r="AH56" s="9">
        <f t="shared" si="13"/>
        <v>838.0938943005533</v>
      </c>
      <c r="AI56" s="9">
        <f t="shared" si="14"/>
        <v>24041.925234845421</v>
      </c>
      <c r="AJ56" s="9">
        <f t="shared" si="15"/>
        <v>6704.7511544044273</v>
      </c>
      <c r="AK56" s="9">
        <f t="shared" si="17"/>
        <v>39.909233061930763</v>
      </c>
      <c r="AL56" s="9">
        <f t="shared" si="18"/>
        <v>932.25113738742584</v>
      </c>
      <c r="AM56" s="9">
        <f t="shared" si="19"/>
        <v>319.27386449544701</v>
      </c>
    </row>
    <row r="57" spans="4:39" ht="14.25" customHeight="1" x14ac:dyDescent="0.2">
      <c r="D57" s="1">
        <v>40</v>
      </c>
      <c r="E57" s="6">
        <f t="shared" si="26"/>
        <v>49.16817513229914</v>
      </c>
      <c r="F57" s="6">
        <f t="shared" si="26"/>
        <v>413.45965452160641</v>
      </c>
      <c r="G57" s="6">
        <f t="shared" si="26"/>
        <v>37.993589874958431</v>
      </c>
      <c r="H57" s="6">
        <v>0.4</v>
      </c>
      <c r="I57" s="6">
        <v>1.5</v>
      </c>
      <c r="J57" s="6">
        <v>1</v>
      </c>
      <c r="K57" s="26">
        <f t="shared" si="8"/>
        <v>1.0471769366380608</v>
      </c>
      <c r="L57" s="6">
        <f t="shared" si="20"/>
        <v>4302.2153240761745</v>
      </c>
      <c r="M57" s="6">
        <f t="shared" si="21"/>
        <v>58675.035335582732</v>
      </c>
      <c r="N57" s="6">
        <f t="shared" si="22"/>
        <v>5699.0384812437651</v>
      </c>
      <c r="O57" s="6">
        <f t="shared" si="23"/>
        <v>0.4</v>
      </c>
      <c r="P57" s="6">
        <f t="shared" si="24"/>
        <v>1.5</v>
      </c>
      <c r="Q57" s="6">
        <f t="shared" si="25"/>
        <v>1</v>
      </c>
      <c r="R57" s="6"/>
      <c r="S57" s="38">
        <v>40</v>
      </c>
      <c r="T57" s="6">
        <f>VLOOKUP($S$13,角色设定!$AB$9:$AJ$21,MATCH(E$17,角色设定!$AB$9:$AJ$9,0),0)*Z57*$L$15*E57/Y57/(1+W57*(X57-1))</f>
        <v>3142.8521036270758</v>
      </c>
      <c r="U57" s="6">
        <f>VLOOKUP($S$13,角色设定!$AB$9:$AJ$21,MATCH(F$17,角色设定!$AB$9:$AJ$9,0),0)*F57*$L$15/(1+V57/$N$16)</f>
        <v>89294.659817419801</v>
      </c>
      <c r="V57" s="6">
        <f>VLOOKUP($S$13,角色设定!$AB$9:$AJ$21,MATCH(V$17,角色设定!$AB$9:$AJ$9,0),0)*G57*$L$15</f>
        <v>25142.816829016603</v>
      </c>
      <c r="W57" s="6">
        <f>VLOOKUP($S$13,角色设定!$AB$9:$AJ$21,MATCH(W$17,角色设定!$AB$9:$AJ$9,0),0)*H57</f>
        <v>0.4</v>
      </c>
      <c r="X57" s="6">
        <f>VLOOKUP($S$13,角色设定!$AB$9:$AJ$21,MATCH(X$17,角色设定!$AB$9:$AJ$9,0),0)*I57</f>
        <v>1.5</v>
      </c>
      <c r="Y57" s="6">
        <f>VLOOKUP($S$13,角色设定!$AB$9:$AJ$21,MATCH(Y$17,角色设定!$AB$9:$AJ$9,0),0)*J57</f>
        <v>0.9</v>
      </c>
      <c r="Z57" s="6">
        <f>VLOOKUP($S$13,角色设定!$AB$9:$AJ$21,MATCH(Z$17,角色设定!$AB$9:$AJ$9,0),0)</f>
        <v>0.75</v>
      </c>
      <c r="AA57" s="6"/>
      <c r="AB57" s="6"/>
      <c r="AC57" s="6">
        <f>T57*战斗公式!$E$39*(1+W57*(X57-1))*Y57</f>
        <v>84857.006797931055</v>
      </c>
      <c r="AD57" s="6">
        <f>U57*战斗公式!$E$41*(1+V57*战斗公式!$E$40)</f>
        <v>111745.85257340714</v>
      </c>
      <c r="AE57" s="22">
        <f t="shared" si="12"/>
        <v>196602.85937133821</v>
      </c>
      <c r="AF57" s="22">
        <f t="shared" si="16"/>
        <v>9362.0409224447503</v>
      </c>
      <c r="AG57" s="22"/>
      <c r="AH57" s="9">
        <f t="shared" si="13"/>
        <v>879.99858901558127</v>
      </c>
      <c r="AI57" s="9">
        <f t="shared" si="14"/>
        <v>25002.504748877545</v>
      </c>
      <c r="AJ57" s="9">
        <f t="shared" si="15"/>
        <v>7039.9887121246493</v>
      </c>
      <c r="AK57" s="9">
        <f t="shared" si="17"/>
        <v>41.904694715027972</v>
      </c>
      <c r="AL57" s="9">
        <f t="shared" si="18"/>
        <v>960.57951403212428</v>
      </c>
      <c r="AM57" s="9">
        <f t="shared" si="19"/>
        <v>335.23755772022196</v>
      </c>
    </row>
    <row r="58" spans="4:39" ht="14.25" customHeight="1" x14ac:dyDescent="0.2">
      <c r="D58" s="1">
        <v>41</v>
      </c>
      <c r="E58" s="6">
        <f t="shared" si="26"/>
        <v>51.626583888914091</v>
      </c>
      <c r="F58" s="6">
        <f t="shared" si="26"/>
        <v>434.13263724768666</v>
      </c>
      <c r="G58" s="6">
        <f t="shared" si="26"/>
        <v>39.893269368706349</v>
      </c>
      <c r="H58" s="6">
        <v>0.4</v>
      </c>
      <c r="I58" s="6">
        <v>1.5</v>
      </c>
      <c r="J58" s="6">
        <v>1</v>
      </c>
      <c r="K58" s="26">
        <f t="shared" si="8"/>
        <v>1.047044128083674</v>
      </c>
      <c r="L58" s="6">
        <f t="shared" si="20"/>
        <v>4517.326090279983</v>
      </c>
      <c r="M58" s="6">
        <f t="shared" si="21"/>
        <v>61443.143759845501</v>
      </c>
      <c r="N58" s="6">
        <f t="shared" si="22"/>
        <v>5983.9904053059527</v>
      </c>
      <c r="O58" s="6">
        <f t="shared" si="23"/>
        <v>0.4</v>
      </c>
      <c r="P58" s="6">
        <f t="shared" si="24"/>
        <v>1.5</v>
      </c>
      <c r="Q58" s="6">
        <f t="shared" si="25"/>
        <v>1</v>
      </c>
      <c r="R58" s="6"/>
      <c r="S58" s="38">
        <v>41</v>
      </c>
      <c r="T58" s="6">
        <f>VLOOKUP($S$13,角色设定!$AB$9:$AJ$21,MATCH(E$17,角色设定!$AB$9:$AJ$9,0),0)*Z58*$L$15*E58/Y58/(1+W58*(X58-1))</f>
        <v>3299.9947088084291</v>
      </c>
      <c r="U58" s="6">
        <f>VLOOKUP($S$13,角色设定!$AB$9:$AJ$21,MATCH(F$17,角色设定!$AB$9:$AJ$9,0),0)*F58*$L$15/(1+V58/$N$16)</f>
        <v>92826.886467772638</v>
      </c>
      <c r="V58" s="6">
        <f>VLOOKUP($S$13,角色设定!$AB$9:$AJ$21,MATCH(V$17,角色设定!$AB$9:$AJ$9,0),0)*G58*$L$15</f>
        <v>26399.957670467433</v>
      </c>
      <c r="W58" s="6">
        <f>VLOOKUP($S$13,角色设定!$AB$9:$AJ$21,MATCH(W$17,角色设定!$AB$9:$AJ$9,0),0)*H58</f>
        <v>0.4</v>
      </c>
      <c r="X58" s="6">
        <f>VLOOKUP($S$13,角色设定!$AB$9:$AJ$21,MATCH(X$17,角色设定!$AB$9:$AJ$9,0),0)*I58</f>
        <v>1.5</v>
      </c>
      <c r="Y58" s="6">
        <f>VLOOKUP($S$13,角色设定!$AB$9:$AJ$21,MATCH(Y$17,角色设定!$AB$9:$AJ$9,0),0)*J58</f>
        <v>0.9</v>
      </c>
      <c r="Z58" s="6">
        <f>VLOOKUP($S$13,角色设定!$AB$9:$AJ$21,MATCH(Z$17,角色设定!$AB$9:$AJ$9,0),0)</f>
        <v>0.75</v>
      </c>
      <c r="AA58" s="6"/>
      <c r="AB58" s="6"/>
      <c r="AC58" s="6">
        <f>T58*战斗公式!$E$39*(1+W58*(X58-1))*Y58</f>
        <v>89099.857137827566</v>
      </c>
      <c r="AD58" s="6">
        <f>U58*战斗公式!$E$41*(1+V58*战斗公式!$E$40)</f>
        <v>117333.14520207747</v>
      </c>
      <c r="AE58" s="22">
        <f t="shared" si="12"/>
        <v>206433.00233990504</v>
      </c>
      <c r="AF58" s="22">
        <f t="shared" si="16"/>
        <v>9830.1429685668263</v>
      </c>
      <c r="AG58" s="22"/>
      <c r="AH58" s="9">
        <f t="shared" si="13"/>
        <v>923.99851846636022</v>
      </c>
      <c r="AI58" s="9">
        <f t="shared" si="14"/>
        <v>25991.528210976339</v>
      </c>
      <c r="AJ58" s="9">
        <f t="shared" si="15"/>
        <v>7391.9881477308818</v>
      </c>
      <c r="AK58" s="9">
        <f t="shared" si="17"/>
        <v>43.99992945077895</v>
      </c>
      <c r="AL58" s="9">
        <f t="shared" si="18"/>
        <v>989.02346209879397</v>
      </c>
      <c r="AM58" s="9">
        <f t="shared" si="19"/>
        <v>351.99943560623251</v>
      </c>
    </row>
    <row r="59" spans="4:39" ht="14.25" customHeight="1" x14ac:dyDescent="0.2">
      <c r="D59" s="1">
        <v>42</v>
      </c>
      <c r="E59" s="6">
        <f t="shared" si="26"/>
        <v>54.207913083359799</v>
      </c>
      <c r="F59" s="6">
        <f t="shared" si="26"/>
        <v>455.83926911007103</v>
      </c>
      <c r="G59" s="6">
        <f t="shared" si="26"/>
        <v>41.887932837141669</v>
      </c>
      <c r="H59" s="6">
        <v>0.4</v>
      </c>
      <c r="I59" s="6">
        <v>1.5</v>
      </c>
      <c r="J59" s="6">
        <v>1</v>
      </c>
      <c r="K59" s="26">
        <f t="shared" si="8"/>
        <v>1.0469054814882208</v>
      </c>
      <c r="L59" s="6">
        <f t="shared" si="20"/>
        <v>4743.1923947939822</v>
      </c>
      <c r="M59" s="6">
        <f t="shared" si="21"/>
        <v>64333.682884747264</v>
      </c>
      <c r="N59" s="6">
        <f t="shared" si="22"/>
        <v>6283.1899255712506</v>
      </c>
      <c r="O59" s="6">
        <f t="shared" si="23"/>
        <v>0.4</v>
      </c>
      <c r="P59" s="6">
        <f t="shared" si="24"/>
        <v>1.5</v>
      </c>
      <c r="Q59" s="6">
        <f t="shared" si="25"/>
        <v>1</v>
      </c>
      <c r="R59" s="6"/>
      <c r="S59" s="38">
        <v>42</v>
      </c>
      <c r="T59" s="6">
        <f>VLOOKUP($S$13,角色设定!$AB$9:$AJ$21,MATCH(E$17,角色设定!$AB$9:$AJ$9,0),0)*Z59*$L$15*E59/Y59/(1+W59*(X59-1))</f>
        <v>3464.9944442488504</v>
      </c>
      <c r="U59" s="6">
        <f>VLOOKUP($S$13,角色设定!$AB$9:$AJ$21,MATCH(F$17,角色设定!$AB$9:$AJ$9,0),0)*F59*$L$15/(1+V59/$N$16)</f>
        <v>96460.887359220345</v>
      </c>
      <c r="V59" s="6">
        <f>VLOOKUP($S$13,角色设定!$AB$9:$AJ$21,MATCH(V$17,角色设定!$AB$9:$AJ$9,0),0)*G59*$L$15</f>
        <v>27719.955553990807</v>
      </c>
      <c r="W59" s="6">
        <f>VLOOKUP($S$13,角色设定!$AB$9:$AJ$21,MATCH(W$17,角色设定!$AB$9:$AJ$9,0),0)*H59</f>
        <v>0.4</v>
      </c>
      <c r="X59" s="6">
        <f>VLOOKUP($S$13,角色设定!$AB$9:$AJ$21,MATCH(X$17,角色设定!$AB$9:$AJ$9,0),0)*I59</f>
        <v>1.5</v>
      </c>
      <c r="Y59" s="6">
        <f>VLOOKUP($S$13,角色设定!$AB$9:$AJ$21,MATCH(Y$17,角色设定!$AB$9:$AJ$9,0),0)*J59</f>
        <v>0.9</v>
      </c>
      <c r="Z59" s="6">
        <f>VLOOKUP($S$13,角色设定!$AB$9:$AJ$21,MATCH(Z$17,角色设定!$AB$9:$AJ$9,0),0)</f>
        <v>0.75</v>
      </c>
      <c r="AA59" s="6"/>
      <c r="AB59" s="6"/>
      <c r="AC59" s="6">
        <f>T59*战斗公式!$E$39*(1+W59*(X59-1))*Y59</f>
        <v>93554.849994718956</v>
      </c>
      <c r="AD59" s="6">
        <f>U59*战斗公式!$E$41*(1+V59*战斗公式!$E$40)</f>
        <v>123199.80246218135</v>
      </c>
      <c r="AE59" s="22">
        <f t="shared" si="12"/>
        <v>216754.65245690031</v>
      </c>
      <c r="AF59" s="22">
        <f t="shared" si="16"/>
        <v>10321.650116995268</v>
      </c>
      <c r="AG59" s="22"/>
      <c r="AH59" s="9">
        <f t="shared" si="13"/>
        <v>970.19844438967823</v>
      </c>
      <c r="AI59" s="9">
        <f t="shared" si="14"/>
        <v>27009.0484605817</v>
      </c>
      <c r="AJ59" s="9">
        <f t="shared" si="15"/>
        <v>7761.5875551174267</v>
      </c>
      <c r="AK59" s="9">
        <f t="shared" si="17"/>
        <v>46.199925923318006</v>
      </c>
      <c r="AL59" s="9">
        <f t="shared" si="18"/>
        <v>1017.5202496053607</v>
      </c>
      <c r="AM59" s="9">
        <f t="shared" si="19"/>
        <v>369.59940738654495</v>
      </c>
    </row>
    <row r="60" spans="4:39" ht="14.25" customHeight="1" x14ac:dyDescent="0.2">
      <c r="D60" s="1">
        <v>43</v>
      </c>
      <c r="E60" s="6">
        <f t="shared" si="26"/>
        <v>56.918308737527788</v>
      </c>
      <c r="F60" s="6">
        <f t="shared" si="26"/>
        <v>478.63123256557458</v>
      </c>
      <c r="G60" s="6">
        <f t="shared" si="26"/>
        <v>43.98232947899875</v>
      </c>
      <c r="H60" s="6">
        <v>0.4</v>
      </c>
      <c r="I60" s="6">
        <v>1.5</v>
      </c>
      <c r="J60" s="6">
        <v>1</v>
      </c>
      <c r="K60" s="26">
        <f t="shared" si="8"/>
        <v>1.0467607793907714</v>
      </c>
      <c r="L60" s="6">
        <f t="shared" si="20"/>
        <v>4980.3520145336815</v>
      </c>
      <c r="M60" s="6">
        <f t="shared" si="21"/>
        <v>67351.285256366842</v>
      </c>
      <c r="N60" s="6">
        <f t="shared" si="22"/>
        <v>6597.3494218498126</v>
      </c>
      <c r="O60" s="6">
        <f t="shared" si="23"/>
        <v>0.4</v>
      </c>
      <c r="P60" s="6">
        <f t="shared" si="24"/>
        <v>1.5</v>
      </c>
      <c r="Q60" s="6">
        <f t="shared" si="25"/>
        <v>1</v>
      </c>
      <c r="R60" s="6"/>
      <c r="S60" s="38">
        <v>43</v>
      </c>
      <c r="T60" s="6">
        <f>VLOOKUP($S$13,角色设定!$AB$9:$AJ$21,MATCH(E$17,角色设定!$AB$9:$AJ$9,0),0)*Z60*$L$15*E60/Y60/(1+W60*(X60-1))</f>
        <v>3638.2441664612929</v>
      </c>
      <c r="U60" s="6">
        <f>VLOOKUP($S$13,角色设定!$AB$9:$AJ$21,MATCH(F$17,角色设定!$AB$9:$AJ$9,0),0)*F60*$L$15/(1+V60/$N$16)</f>
        <v>100196.61312824819</v>
      </c>
      <c r="V60" s="6">
        <f>VLOOKUP($S$13,角色设定!$AB$9:$AJ$21,MATCH(V$17,角色设定!$AB$9:$AJ$9,0),0)*G60*$L$15</f>
        <v>29105.953331690347</v>
      </c>
      <c r="W60" s="6">
        <f>VLOOKUP($S$13,角色设定!$AB$9:$AJ$21,MATCH(W$17,角色设定!$AB$9:$AJ$9,0),0)*H60</f>
        <v>0.4</v>
      </c>
      <c r="X60" s="6">
        <f>VLOOKUP($S$13,角色设定!$AB$9:$AJ$21,MATCH(X$17,角色设定!$AB$9:$AJ$9,0),0)*I60</f>
        <v>1.5</v>
      </c>
      <c r="Y60" s="6">
        <f>VLOOKUP($S$13,角色设定!$AB$9:$AJ$21,MATCH(Y$17,角色设定!$AB$9:$AJ$9,0),0)*J60</f>
        <v>0.9</v>
      </c>
      <c r="Z60" s="6">
        <f>VLOOKUP($S$13,角色设定!$AB$9:$AJ$21,MATCH(Z$17,角色设定!$AB$9:$AJ$9,0),0)</f>
        <v>0.75</v>
      </c>
      <c r="AA60" s="6"/>
      <c r="AB60" s="6"/>
      <c r="AC60" s="6">
        <f>T60*战斗公式!$E$39*(1+W60*(X60-1))*Y60</f>
        <v>98232.592494454904</v>
      </c>
      <c r="AD60" s="6">
        <f>U60*战斗公式!$E$41*(1+V60*战斗公式!$E$40)</f>
        <v>129359.79258529044</v>
      </c>
      <c r="AE60" s="22">
        <f t="shared" si="12"/>
        <v>227592.38507974535</v>
      </c>
      <c r="AF60" s="22">
        <f t="shared" si="16"/>
        <v>10837.73262284504</v>
      </c>
      <c r="AG60" s="22"/>
      <c r="AH60" s="9">
        <f t="shared" si="13"/>
        <v>1018.7083666091621</v>
      </c>
      <c r="AI60" s="9">
        <f t="shared" si="14"/>
        <v>28055.051675909497</v>
      </c>
      <c r="AJ60" s="9">
        <f t="shared" si="15"/>
        <v>8149.6669328732978</v>
      </c>
      <c r="AK60" s="9">
        <f t="shared" si="17"/>
        <v>48.509922219483883</v>
      </c>
      <c r="AL60" s="9">
        <f t="shared" si="18"/>
        <v>1046.0032153277971</v>
      </c>
      <c r="AM60" s="9">
        <f t="shared" si="19"/>
        <v>388.07937775587106</v>
      </c>
    </row>
    <row r="61" spans="4:39" ht="14.25" customHeight="1" x14ac:dyDescent="0.2">
      <c r="D61" s="1">
        <v>44</v>
      </c>
      <c r="E61" s="6">
        <f t="shared" si="26"/>
        <v>59.764224174404184</v>
      </c>
      <c r="F61" s="6">
        <f t="shared" si="26"/>
        <v>502.56279419385339</v>
      </c>
      <c r="G61" s="6">
        <f t="shared" si="26"/>
        <v>46.181445952948692</v>
      </c>
      <c r="H61" s="6">
        <v>0.4</v>
      </c>
      <c r="I61" s="6">
        <v>1.5</v>
      </c>
      <c r="J61" s="6">
        <v>1</v>
      </c>
      <c r="K61" s="26">
        <f t="shared" si="8"/>
        <v>1.0466097999661286</v>
      </c>
      <c r="L61" s="6">
        <f t="shared" si="20"/>
        <v>5229.3696152603661</v>
      </c>
      <c r="M61" s="6">
        <f t="shared" si="21"/>
        <v>70500.683847924724</v>
      </c>
      <c r="N61" s="6">
        <f t="shared" si="22"/>
        <v>6927.2168929423042</v>
      </c>
      <c r="O61" s="6">
        <f t="shared" si="23"/>
        <v>0.4</v>
      </c>
      <c r="P61" s="6">
        <f t="shared" si="24"/>
        <v>1.5</v>
      </c>
      <c r="Q61" s="6">
        <f t="shared" si="25"/>
        <v>1</v>
      </c>
      <c r="R61" s="6"/>
      <c r="S61" s="38">
        <v>44</v>
      </c>
      <c r="T61" s="6">
        <f>VLOOKUP($S$13,角色设定!$AB$9:$AJ$21,MATCH(E$17,角色设定!$AB$9:$AJ$9,0),0)*Z61*$L$15*E61/Y61/(1+W61*(X61-1))</f>
        <v>3820.1563747843579</v>
      </c>
      <c r="U61" s="6">
        <f>VLOOKUP($S$13,角色设定!$AB$9:$AJ$21,MATCH(F$17,角色设定!$AB$9:$AJ$9,0),0)*F61*$L$15/(1+V61/$N$16)</f>
        <v>104033.76283239634</v>
      </c>
      <c r="V61" s="6">
        <f>VLOOKUP($S$13,角色设定!$AB$9:$AJ$21,MATCH(V$17,角色设定!$AB$9:$AJ$9,0),0)*G61*$L$15</f>
        <v>30561.250998274867</v>
      </c>
      <c r="W61" s="6">
        <f>VLOOKUP($S$13,角色设定!$AB$9:$AJ$21,MATCH(W$17,角色设定!$AB$9:$AJ$9,0),0)*H61</f>
        <v>0.4</v>
      </c>
      <c r="X61" s="6">
        <f>VLOOKUP($S$13,角色设定!$AB$9:$AJ$21,MATCH(X$17,角色设定!$AB$9:$AJ$9,0),0)*I61</f>
        <v>1.5</v>
      </c>
      <c r="Y61" s="6">
        <f>VLOOKUP($S$13,角色设定!$AB$9:$AJ$21,MATCH(Y$17,角色设定!$AB$9:$AJ$9,0),0)*J61</f>
        <v>0.9</v>
      </c>
      <c r="Z61" s="6">
        <f>VLOOKUP($S$13,角色设定!$AB$9:$AJ$21,MATCH(Z$17,角色设定!$AB$9:$AJ$9,0),0)</f>
        <v>0.75</v>
      </c>
      <c r="AA61" s="6"/>
      <c r="AB61" s="6"/>
      <c r="AC61" s="6">
        <f>T61*战斗公式!$E$39*(1+W61*(X61-1))*Y61</f>
        <v>103144.22211917768</v>
      </c>
      <c r="AD61" s="6">
        <f>U61*战斗公式!$E$41*(1+V61*战斗公式!$E$40)</f>
        <v>135827.78221455499</v>
      </c>
      <c r="AE61" s="22">
        <f t="shared" si="12"/>
        <v>238972.00433373265</v>
      </c>
      <c r="AF61" s="22">
        <f t="shared" si="16"/>
        <v>11379.619253987301</v>
      </c>
      <c r="AG61" s="22"/>
      <c r="AH61" s="9">
        <f t="shared" si="13"/>
        <v>1069.6437849396202</v>
      </c>
      <c r="AI61" s="9">
        <f t="shared" si="14"/>
        <v>29129.453593070979</v>
      </c>
      <c r="AJ61" s="9">
        <f t="shared" si="15"/>
        <v>8557.1502795169636</v>
      </c>
      <c r="AK61" s="9">
        <f t="shared" si="17"/>
        <v>50.935418330458106</v>
      </c>
      <c r="AL61" s="9">
        <f t="shared" si="18"/>
        <v>1074.4019171614818</v>
      </c>
      <c r="AM61" s="9">
        <f t="shared" si="19"/>
        <v>407.48334664366575</v>
      </c>
    </row>
    <row r="62" spans="4:39" ht="14.25" customHeight="1" x14ac:dyDescent="0.2">
      <c r="D62" s="1">
        <v>45</v>
      </c>
      <c r="E62" s="6">
        <f t="shared" si="26"/>
        <v>62.752435383124386</v>
      </c>
      <c r="F62" s="6">
        <f t="shared" si="26"/>
        <v>527.69093390354601</v>
      </c>
      <c r="G62" s="6">
        <f t="shared" si="26"/>
        <v>48.490518250596125</v>
      </c>
      <c r="H62" s="6">
        <v>0.4</v>
      </c>
      <c r="I62" s="6">
        <v>1.5</v>
      </c>
      <c r="J62" s="6">
        <v>1</v>
      </c>
      <c r="K62" s="26">
        <f t="shared" si="8"/>
        <v>1.0464523173183824</v>
      </c>
      <c r="L62" s="6">
        <f t="shared" si="20"/>
        <v>5490.8380960233835</v>
      </c>
      <c r="M62" s="6">
        <f t="shared" si="21"/>
        <v>73786.706619551769</v>
      </c>
      <c r="N62" s="6">
        <f t="shared" si="22"/>
        <v>7273.5777375894186</v>
      </c>
      <c r="O62" s="6">
        <f t="shared" si="23"/>
        <v>0.4</v>
      </c>
      <c r="P62" s="6">
        <f t="shared" si="24"/>
        <v>1.5</v>
      </c>
      <c r="Q62" s="6">
        <f t="shared" si="25"/>
        <v>1</v>
      </c>
      <c r="R62" s="6"/>
      <c r="S62" s="38">
        <v>45</v>
      </c>
      <c r="T62" s="6">
        <f>VLOOKUP($S$13,角色设定!$AB$9:$AJ$21,MATCH(E$17,角色设定!$AB$9:$AJ$9,0),0)*Z62*$L$15*E62/Y62/(1+W62*(X62-1))</f>
        <v>4011.1641935235752</v>
      </c>
      <c r="U62" s="6">
        <f>VLOOKUP($S$13,角色设定!$AB$9:$AJ$21,MATCH(F$17,角色设定!$AB$9:$AJ$9,0),0)*F62*$L$15/(1+V62/$N$16)</f>
        <v>107971.7711404811</v>
      </c>
      <c r="V62" s="6">
        <f>VLOOKUP($S$13,角色设定!$AB$9:$AJ$21,MATCH(V$17,角色设定!$AB$9:$AJ$9,0),0)*G62*$L$15</f>
        <v>32089.313548188609</v>
      </c>
      <c r="W62" s="6">
        <f>VLOOKUP($S$13,角色设定!$AB$9:$AJ$21,MATCH(W$17,角色设定!$AB$9:$AJ$9,0),0)*H62</f>
        <v>0.4</v>
      </c>
      <c r="X62" s="6">
        <f>VLOOKUP($S$13,角色设定!$AB$9:$AJ$21,MATCH(X$17,角色设定!$AB$9:$AJ$9,0),0)*I62</f>
        <v>1.5</v>
      </c>
      <c r="Y62" s="6">
        <f>VLOOKUP($S$13,角色设定!$AB$9:$AJ$21,MATCH(Y$17,角色设定!$AB$9:$AJ$9,0),0)*J62</f>
        <v>0.9</v>
      </c>
      <c r="Z62" s="6">
        <f>VLOOKUP($S$13,角色设定!$AB$9:$AJ$21,MATCH(Z$17,角色设定!$AB$9:$AJ$9,0),0)</f>
        <v>0.75</v>
      </c>
      <c r="AA62" s="6"/>
      <c r="AB62" s="6"/>
      <c r="AC62" s="6">
        <f>T62*战斗公式!$E$39*(1+W62*(X62-1))*Y62</f>
        <v>108301.43322513653</v>
      </c>
      <c r="AD62" s="6">
        <f>U62*战斗公式!$E$41*(1+V62*战斗公式!$E$40)</f>
        <v>142619.17132528269</v>
      </c>
      <c r="AE62" s="22">
        <f t="shared" si="12"/>
        <v>250920.6045504192</v>
      </c>
      <c r="AF62" s="22">
        <f t="shared" si="16"/>
        <v>11948.600216686551</v>
      </c>
      <c r="AG62" s="22"/>
      <c r="AH62" s="9">
        <f t="shared" si="13"/>
        <v>1123.1259741866011</v>
      </c>
      <c r="AI62" s="9">
        <f t="shared" si="14"/>
        <v>30232.095919334712</v>
      </c>
      <c r="AJ62" s="9">
        <f t="shared" si="15"/>
        <v>8985.0077934928122</v>
      </c>
      <c r="AK62" s="9">
        <f t="shared" si="17"/>
        <v>53.482189246980852</v>
      </c>
      <c r="AL62" s="9">
        <f t="shared" si="18"/>
        <v>1102.6423262637327</v>
      </c>
      <c r="AM62" s="9">
        <f t="shared" si="19"/>
        <v>427.85751397584863</v>
      </c>
    </row>
    <row r="63" spans="4:39" ht="14.25" customHeight="1" x14ac:dyDescent="0.2">
      <c r="D63" s="1">
        <v>46</v>
      </c>
      <c r="E63" s="6">
        <f t="shared" si="26"/>
        <v>65.890057152280619</v>
      </c>
      <c r="F63" s="6">
        <f t="shared" si="26"/>
        <v>554.0754805987234</v>
      </c>
      <c r="G63" s="6">
        <f t="shared" si="26"/>
        <v>50.915044163125941</v>
      </c>
      <c r="H63" s="6">
        <v>0.4</v>
      </c>
      <c r="I63" s="6">
        <v>1.5</v>
      </c>
      <c r="J63" s="6">
        <v>1</v>
      </c>
      <c r="K63" s="26">
        <f t="shared" si="8"/>
        <v>1.0462881018211865</v>
      </c>
      <c r="L63" s="6">
        <f t="shared" si="20"/>
        <v>5765.3800008245544</v>
      </c>
      <c r="M63" s="6">
        <f t="shared" si="21"/>
        <v>77214.27012932158</v>
      </c>
      <c r="N63" s="6">
        <f t="shared" si="22"/>
        <v>7637.2566244688915</v>
      </c>
      <c r="O63" s="6">
        <f t="shared" si="23"/>
        <v>0.4</v>
      </c>
      <c r="P63" s="6">
        <f t="shared" si="24"/>
        <v>1.5</v>
      </c>
      <c r="Q63" s="6">
        <f t="shared" si="25"/>
        <v>1</v>
      </c>
      <c r="R63" s="6"/>
      <c r="S63" s="38">
        <v>46</v>
      </c>
      <c r="T63" s="6">
        <f>VLOOKUP($S$13,角色设定!$AB$9:$AJ$21,MATCH(E$17,角色设定!$AB$9:$AJ$9,0),0)*Z63*$L$15*E63/Y63/(1+W63*(X63-1))</f>
        <v>4211.7224031997548</v>
      </c>
      <c r="U63" s="6">
        <f>VLOOKUP($S$13,角色设定!$AB$9:$AJ$21,MATCH(F$17,角色设定!$AB$9:$AJ$9,0),0)*F63*$L$15/(1+V63/$N$16)</f>
        <v>112009.79638615419</v>
      </c>
      <c r="V63" s="6">
        <f>VLOOKUP($S$13,角色设定!$AB$9:$AJ$21,MATCH(V$17,角色设定!$AB$9:$AJ$9,0),0)*G63*$L$15</f>
        <v>33693.779225598046</v>
      </c>
      <c r="W63" s="6">
        <f>VLOOKUP($S$13,角色设定!$AB$9:$AJ$21,MATCH(W$17,角色设定!$AB$9:$AJ$9,0),0)*H63</f>
        <v>0.4</v>
      </c>
      <c r="X63" s="6">
        <f>VLOOKUP($S$13,角色设定!$AB$9:$AJ$21,MATCH(X$17,角色设定!$AB$9:$AJ$9,0),0)*I63</f>
        <v>1.5</v>
      </c>
      <c r="Y63" s="6">
        <f>VLOOKUP($S$13,角色设定!$AB$9:$AJ$21,MATCH(Y$17,角色设定!$AB$9:$AJ$9,0),0)*J63</f>
        <v>0.9</v>
      </c>
      <c r="Z63" s="6">
        <f>VLOOKUP($S$13,角色设定!$AB$9:$AJ$21,MATCH(Z$17,角色设定!$AB$9:$AJ$9,0),0)</f>
        <v>0.75</v>
      </c>
      <c r="AA63" s="6"/>
      <c r="AB63" s="6"/>
      <c r="AC63" s="6">
        <f>T63*战斗公式!$E$39*(1+W63*(X63-1))*Y63</f>
        <v>113716.50488639338</v>
      </c>
      <c r="AD63" s="6">
        <f>U63*战斗公式!$E$41*(1+V63*战斗公式!$E$40)</f>
        <v>149750.12989154688</v>
      </c>
      <c r="AE63" s="22">
        <f t="shared" si="12"/>
        <v>263466.63477794023</v>
      </c>
      <c r="AF63" s="22">
        <f t="shared" si="16"/>
        <v>12546.030227521027</v>
      </c>
      <c r="AG63" s="22"/>
      <c r="AH63" s="9">
        <f t="shared" si="13"/>
        <v>1179.2822728959316</v>
      </c>
      <c r="AI63" s="9">
        <f t="shared" si="14"/>
        <v>31362.742988123176</v>
      </c>
      <c r="AJ63" s="9">
        <f t="shared" si="15"/>
        <v>9434.2581831674543</v>
      </c>
      <c r="AK63" s="9">
        <f t="shared" si="17"/>
        <v>56.156298709330486</v>
      </c>
      <c r="AL63" s="9">
        <f t="shared" si="18"/>
        <v>1130.6470687884648</v>
      </c>
      <c r="AM63" s="9">
        <f t="shared" si="19"/>
        <v>449.25038967464207</v>
      </c>
    </row>
    <row r="64" spans="4:39" ht="14.25" customHeight="1" x14ac:dyDescent="0.2">
      <c r="D64" s="1">
        <v>47</v>
      </c>
      <c r="E64" s="6">
        <f t="shared" si="26"/>
        <v>69.184560009894639</v>
      </c>
      <c r="F64" s="6">
        <f t="shared" si="26"/>
        <v>581.77925462865949</v>
      </c>
      <c r="G64" s="6">
        <f t="shared" si="26"/>
        <v>53.460796371282221</v>
      </c>
      <c r="H64" s="6">
        <v>0.4</v>
      </c>
      <c r="I64" s="6">
        <v>1.5</v>
      </c>
      <c r="J64" s="6">
        <v>1</v>
      </c>
      <c r="K64" s="26">
        <f t="shared" si="8"/>
        <v>1.0461169205079408</v>
      </c>
      <c r="L64" s="6">
        <f t="shared" si="20"/>
        <v>6053.6490008657802</v>
      </c>
      <c r="M64" s="6">
        <f t="shared" si="21"/>
        <v>80788.372127116221</v>
      </c>
      <c r="N64" s="6">
        <f t="shared" si="22"/>
        <v>8019.1194556923328</v>
      </c>
      <c r="O64" s="6">
        <f t="shared" si="23"/>
        <v>0.4</v>
      </c>
      <c r="P64" s="6">
        <f t="shared" si="24"/>
        <v>1.5</v>
      </c>
      <c r="Q64" s="6">
        <f t="shared" si="25"/>
        <v>1</v>
      </c>
      <c r="R64" s="6"/>
      <c r="S64" s="38">
        <v>47</v>
      </c>
      <c r="T64" s="6">
        <f>VLOOKUP($S$13,角色设定!$AB$9:$AJ$21,MATCH(E$17,角色设定!$AB$9:$AJ$9,0),0)*Z64*$L$15*E64/Y64/(1+W64*(X64-1))</f>
        <v>4422.3085233597421</v>
      </c>
      <c r="U64" s="6">
        <f>VLOOKUP($S$13,角色设定!$AB$9:$AJ$21,MATCH(F$17,角色设定!$AB$9:$AJ$9,0),0)*F64*$L$15/(1+V64/$N$16)</f>
        <v>116146.70965922854</v>
      </c>
      <c r="V64" s="6">
        <f>VLOOKUP($S$13,角色设定!$AB$9:$AJ$21,MATCH(V$17,角色设定!$AB$9:$AJ$9,0),0)*G64*$L$15</f>
        <v>35378.468186877937</v>
      </c>
      <c r="W64" s="6">
        <f>VLOOKUP($S$13,角色设定!$AB$9:$AJ$21,MATCH(W$17,角色设定!$AB$9:$AJ$9,0),0)*H64</f>
        <v>0.4</v>
      </c>
      <c r="X64" s="6">
        <f>VLOOKUP($S$13,角色设定!$AB$9:$AJ$21,MATCH(X$17,角色设定!$AB$9:$AJ$9,0),0)*I64</f>
        <v>1.5</v>
      </c>
      <c r="Y64" s="6">
        <f>VLOOKUP($S$13,角色设定!$AB$9:$AJ$21,MATCH(Y$17,角色设定!$AB$9:$AJ$9,0),0)*J64</f>
        <v>0.9</v>
      </c>
      <c r="Z64" s="6">
        <f>VLOOKUP($S$13,角色设定!$AB$9:$AJ$21,MATCH(Z$17,角色设定!$AB$9:$AJ$9,0),0)</f>
        <v>0.75</v>
      </c>
      <c r="AA64" s="6"/>
      <c r="AB64" s="6"/>
      <c r="AC64" s="6">
        <f>T64*战斗公式!$E$39*(1+W64*(X64-1))*Y64</f>
        <v>119402.33013071305</v>
      </c>
      <c r="AD64" s="6">
        <f>U64*战斗公式!$E$41*(1+V64*战斗公式!$E$40)</f>
        <v>157237.63638612418</v>
      </c>
      <c r="AE64" s="22">
        <f t="shared" si="12"/>
        <v>276639.96651683724</v>
      </c>
      <c r="AF64" s="22">
        <f t="shared" si="16"/>
        <v>13173.331738897017</v>
      </c>
      <c r="AG64" s="22"/>
      <c r="AH64" s="9">
        <f t="shared" si="13"/>
        <v>1238.2463865407278</v>
      </c>
      <c r="AI64" s="9">
        <f t="shared" si="14"/>
        <v>32521.078704583993</v>
      </c>
      <c r="AJ64" s="9">
        <f t="shared" si="15"/>
        <v>9905.9710923258226</v>
      </c>
      <c r="AK64" s="9">
        <f t="shared" si="17"/>
        <v>58.964113644796271</v>
      </c>
      <c r="AL64" s="9">
        <f t="shared" si="18"/>
        <v>1158.3357164608169</v>
      </c>
      <c r="AM64" s="9">
        <f t="shared" si="19"/>
        <v>471.71290915836835</v>
      </c>
    </row>
    <row r="65" spans="4:39" ht="14.25" customHeight="1" x14ac:dyDescent="0.2">
      <c r="D65" s="1">
        <v>48</v>
      </c>
      <c r="E65" s="6">
        <f t="shared" si="26"/>
        <v>72.643788010389386</v>
      </c>
      <c r="F65" s="6">
        <f t="shared" si="26"/>
        <v>610.86821736009256</v>
      </c>
      <c r="G65" s="6">
        <f t="shared" si="26"/>
        <v>56.133836189846349</v>
      </c>
      <c r="H65" s="6">
        <v>0.4</v>
      </c>
      <c r="I65" s="6">
        <v>1.5</v>
      </c>
      <c r="J65" s="6">
        <v>1</v>
      </c>
      <c r="K65" s="26">
        <f t="shared" si="8"/>
        <v>1.0459385375150207</v>
      </c>
      <c r="L65" s="6">
        <f t="shared" si="20"/>
        <v>6356.3314509090715</v>
      </c>
      <c r="M65" s="6">
        <f t="shared" si="21"/>
        <v>84514.083062468373</v>
      </c>
      <c r="N65" s="6">
        <f t="shared" si="22"/>
        <v>8420.0754284769519</v>
      </c>
      <c r="O65" s="6">
        <f t="shared" si="23"/>
        <v>0.4</v>
      </c>
      <c r="P65" s="6">
        <f t="shared" si="24"/>
        <v>1.5</v>
      </c>
      <c r="Q65" s="6">
        <f t="shared" si="25"/>
        <v>1</v>
      </c>
      <c r="R65" s="6"/>
      <c r="S65" s="38">
        <v>48</v>
      </c>
      <c r="T65" s="6">
        <f>VLOOKUP($S$13,角色设定!$AB$9:$AJ$21,MATCH(E$17,角色设定!$AB$9:$AJ$9,0),0)*Z65*$L$15*E65/Y65/(1+W65*(X65-1))</f>
        <v>4643.4239495277316</v>
      </c>
      <c r="U65" s="6">
        <f>VLOOKUP($S$13,角色设定!$AB$9:$AJ$21,MATCH(F$17,角色设定!$AB$9:$AJ$9,0),0)*F65*$L$15/(1+V65/$N$16)</f>
        <v>120381.0851113399</v>
      </c>
      <c r="V65" s="6">
        <f>VLOOKUP($S$13,角色设定!$AB$9:$AJ$21,MATCH(V$17,角色设定!$AB$9:$AJ$9,0),0)*G65*$L$15</f>
        <v>37147.391596221845</v>
      </c>
      <c r="W65" s="6">
        <f>VLOOKUP($S$13,角色设定!$AB$9:$AJ$21,MATCH(W$17,角色设定!$AB$9:$AJ$9,0),0)*H65</f>
        <v>0.4</v>
      </c>
      <c r="X65" s="6">
        <f>VLOOKUP($S$13,角色设定!$AB$9:$AJ$21,MATCH(X$17,角色设定!$AB$9:$AJ$9,0),0)*I65</f>
        <v>1.5</v>
      </c>
      <c r="Y65" s="6">
        <f>VLOOKUP($S$13,角色设定!$AB$9:$AJ$21,MATCH(Y$17,角色设定!$AB$9:$AJ$9,0),0)*J65</f>
        <v>0.9</v>
      </c>
      <c r="Z65" s="6">
        <f>VLOOKUP($S$13,角色设定!$AB$9:$AJ$21,MATCH(Z$17,角色设定!$AB$9:$AJ$9,0),0)</f>
        <v>0.75</v>
      </c>
      <c r="AA65" s="6"/>
      <c r="AB65" s="6"/>
      <c r="AC65" s="6">
        <f>T65*战斗公式!$E$39*(1+W65*(X65-1))*Y65</f>
        <v>125372.44663724877</v>
      </c>
      <c r="AD65" s="6">
        <f>U65*战斗公式!$E$41*(1+V65*战斗公式!$E$40)</f>
        <v>165099.51820543045</v>
      </c>
      <c r="AE65" s="22">
        <f t="shared" si="12"/>
        <v>290471.96484267921</v>
      </c>
      <c r="AF65" s="22">
        <f t="shared" si="16"/>
        <v>13831.998325841967</v>
      </c>
      <c r="AG65" s="22"/>
      <c r="AH65" s="9">
        <f t="shared" si="13"/>
        <v>1300.1587058677649</v>
      </c>
      <c r="AI65" s="9">
        <f t="shared" si="14"/>
        <v>33706.703831175175</v>
      </c>
      <c r="AJ65" s="9">
        <f t="shared" si="15"/>
        <v>10401.269646942117</v>
      </c>
      <c r="AK65" s="9">
        <f t="shared" si="17"/>
        <v>61.912319327037039</v>
      </c>
      <c r="AL65" s="9">
        <f t="shared" si="18"/>
        <v>1185.6251265911815</v>
      </c>
      <c r="AM65" s="9">
        <f t="shared" si="19"/>
        <v>495.2985546162945</v>
      </c>
    </row>
    <row r="66" spans="4:39" ht="14.25" customHeight="1" x14ac:dyDescent="0.2">
      <c r="D66" s="1">
        <v>49</v>
      </c>
      <c r="E66" s="6">
        <f t="shared" si="26"/>
        <v>76.275977410908851</v>
      </c>
      <c r="F66" s="6">
        <f t="shared" si="26"/>
        <v>641.41162822809713</v>
      </c>
      <c r="G66" s="6">
        <f t="shared" si="26"/>
        <v>58.940527999338663</v>
      </c>
      <c r="H66" s="6">
        <v>0.4</v>
      </c>
      <c r="I66" s="6">
        <v>1.5</v>
      </c>
      <c r="J66" s="6">
        <v>1</v>
      </c>
      <c r="K66" s="26">
        <f t="shared" si="8"/>
        <v>1.0457527145811638</v>
      </c>
      <c r="L66" s="6">
        <f t="shared" si="20"/>
        <v>6674.1480234545252</v>
      </c>
      <c r="M66" s="6">
        <f t="shared" si="21"/>
        <v>88396.536437781164</v>
      </c>
      <c r="N66" s="6">
        <f t="shared" si="22"/>
        <v>8841.0791999007997</v>
      </c>
      <c r="O66" s="6">
        <f t="shared" si="23"/>
        <v>0.4</v>
      </c>
      <c r="P66" s="6">
        <f t="shared" si="24"/>
        <v>1.5</v>
      </c>
      <c r="Q66" s="6">
        <f t="shared" si="25"/>
        <v>1</v>
      </c>
      <c r="R66" s="6"/>
      <c r="S66" s="38">
        <v>49</v>
      </c>
      <c r="T66" s="6">
        <f>VLOOKUP($S$13,角色设定!$AB$9:$AJ$21,MATCH(E$17,角色设定!$AB$9:$AJ$9,0),0)*Z66*$L$15*E66/Y66/(1+W66*(X66-1))</f>
        <v>4875.5951470041164</v>
      </c>
      <c r="U66" s="6">
        <f>VLOOKUP($S$13,角色设定!$AB$9:$AJ$21,MATCH(F$17,角色设定!$AB$9:$AJ$9,0),0)*F66*$L$15/(1+V66/$N$16)</f>
        <v>124711.19165203928</v>
      </c>
      <c r="V66" s="6">
        <f>VLOOKUP($S$13,角色设定!$AB$9:$AJ$21,MATCH(V$17,角色设定!$AB$9:$AJ$9,0),0)*G66*$L$15</f>
        <v>39004.761176032938</v>
      </c>
      <c r="W66" s="6">
        <f>VLOOKUP($S$13,角色设定!$AB$9:$AJ$21,MATCH(W$17,角色设定!$AB$9:$AJ$9,0),0)*H66</f>
        <v>0.4</v>
      </c>
      <c r="X66" s="6">
        <f>VLOOKUP($S$13,角色设定!$AB$9:$AJ$21,MATCH(X$17,角色设定!$AB$9:$AJ$9,0),0)*I66</f>
        <v>1.5</v>
      </c>
      <c r="Y66" s="6">
        <f>VLOOKUP($S$13,角色设定!$AB$9:$AJ$21,MATCH(Y$17,角色设定!$AB$9:$AJ$9,0),0)*J66</f>
        <v>0.9</v>
      </c>
      <c r="Z66" s="6">
        <f>VLOOKUP($S$13,角色设定!$AB$9:$AJ$21,MATCH(Z$17,角色设定!$AB$9:$AJ$9,0),0)</f>
        <v>0.75</v>
      </c>
      <c r="AA66" s="6"/>
      <c r="AB66" s="6"/>
      <c r="AC66" s="6">
        <f>T66*战斗公式!$E$39*(1+W66*(X66-1))*Y66</f>
        <v>131641.06896911113</v>
      </c>
      <c r="AD66" s="6">
        <f>U66*战斗公式!$E$41*(1+V66*战斗公式!$E$40)</f>
        <v>173354.49411570196</v>
      </c>
      <c r="AE66" s="22">
        <f t="shared" si="12"/>
        <v>304995.56308481307</v>
      </c>
      <c r="AF66" s="22">
        <f t="shared" si="16"/>
        <v>14523.598242133856</v>
      </c>
      <c r="AG66" s="22"/>
      <c r="AH66" s="9">
        <f t="shared" si="13"/>
        <v>1365.1666411611527</v>
      </c>
      <c r="AI66" s="9">
        <f t="shared" si="14"/>
        <v>34919.133662571003</v>
      </c>
      <c r="AJ66" s="9">
        <f t="shared" si="15"/>
        <v>10921.333129289224</v>
      </c>
      <c r="AK66" s="9">
        <f t="shared" si="17"/>
        <v>65.007935293387845</v>
      </c>
      <c r="AL66" s="9">
        <f t="shared" si="18"/>
        <v>1212.4298313958279</v>
      </c>
      <c r="AM66" s="9">
        <f t="shared" si="19"/>
        <v>520.0634823471064</v>
      </c>
    </row>
    <row r="67" spans="4:39" ht="14.25" customHeight="1" x14ac:dyDescent="0.2">
      <c r="D67" s="1">
        <v>50</v>
      </c>
      <c r="E67" s="6">
        <f t="shared" si="26"/>
        <v>80.089776281454306</v>
      </c>
      <c r="F67" s="6">
        <f t="shared" si="26"/>
        <v>673.48220963950212</v>
      </c>
      <c r="G67" s="6">
        <f t="shared" si="26"/>
        <v>61.8875543993056</v>
      </c>
      <c r="H67" s="6">
        <v>0.4</v>
      </c>
      <c r="I67" s="6">
        <v>1.5</v>
      </c>
      <c r="J67" s="6">
        <v>1</v>
      </c>
      <c r="K67" s="26">
        <f t="shared" si="8"/>
        <v>1.0455592116060153</v>
      </c>
      <c r="L67" s="6">
        <f t="shared" si="20"/>
        <v>7007.8554246272506</v>
      </c>
      <c r="M67" s="6">
        <f t="shared" si="21"/>
        <v>92440.917939382416</v>
      </c>
      <c r="N67" s="6">
        <f t="shared" si="22"/>
        <v>9283.1331598958404</v>
      </c>
      <c r="O67" s="6">
        <f t="shared" si="23"/>
        <v>0.4</v>
      </c>
      <c r="P67" s="6">
        <f t="shared" si="24"/>
        <v>1.5</v>
      </c>
      <c r="Q67" s="6">
        <f t="shared" si="25"/>
        <v>1</v>
      </c>
      <c r="R67" s="6"/>
      <c r="S67" s="38">
        <v>50</v>
      </c>
      <c r="T67" s="6">
        <f>VLOOKUP($S$13,角色设定!$AB$9:$AJ$21,MATCH(E$17,角色设定!$AB$9:$AJ$9,0),0)*Z67*$L$15*E67/Y67/(1+W67*(X67-1))</f>
        <v>5119.374904354323</v>
      </c>
      <c r="U67" s="6">
        <f>VLOOKUP($S$13,角色设定!$AB$9:$AJ$21,MATCH(F$17,角色设定!$AB$9:$AJ$9,0),0)*F67*$L$15/(1+V67/$N$16)</f>
        <v>129134.98620806873</v>
      </c>
      <c r="V67" s="6">
        <f>VLOOKUP($S$13,角色设定!$AB$9:$AJ$21,MATCH(V$17,角色设定!$AB$9:$AJ$9,0),0)*G67*$L$15</f>
        <v>40954.999234834577</v>
      </c>
      <c r="W67" s="6">
        <f>VLOOKUP($S$13,角色设定!$AB$9:$AJ$21,MATCH(W$17,角色设定!$AB$9:$AJ$9,0),0)*H67</f>
        <v>0.4</v>
      </c>
      <c r="X67" s="6">
        <f>VLOOKUP($S$13,角色设定!$AB$9:$AJ$21,MATCH(X$17,角色设定!$AB$9:$AJ$9,0),0)*I67</f>
        <v>1.5</v>
      </c>
      <c r="Y67" s="6">
        <f>VLOOKUP($S$13,角色设定!$AB$9:$AJ$21,MATCH(Y$17,角色设定!$AB$9:$AJ$9,0),0)*J67</f>
        <v>0.9</v>
      </c>
      <c r="Z67" s="6">
        <f>VLOOKUP($S$13,角色设定!$AB$9:$AJ$21,MATCH(Z$17,角色设定!$AB$9:$AJ$9,0),0)</f>
        <v>0.75</v>
      </c>
      <c r="AA67" s="6"/>
      <c r="AB67" s="6"/>
      <c r="AC67" s="6">
        <f>T67*战斗公式!$E$39*(1+W67*(X67-1))*Y67</f>
        <v>138223.12241756672</v>
      </c>
      <c r="AD67" s="6">
        <f>U67*战斗公式!$E$41*(1+V67*战斗公式!$E$40)</f>
        <v>182022.21882148704</v>
      </c>
      <c r="AE67" s="22">
        <f t="shared" si="12"/>
        <v>320245.34123905376</v>
      </c>
      <c r="AF67" s="22">
        <f t="shared" si="16"/>
        <v>15249.778154240688</v>
      </c>
      <c r="AG67" s="22"/>
      <c r="AH67" s="9">
        <f t="shared" si="13"/>
        <v>1433.4249732192106</v>
      </c>
      <c r="AI67" s="9">
        <f t="shared" si="14"/>
        <v>36157.796138259248</v>
      </c>
      <c r="AJ67" s="9">
        <f t="shared" si="15"/>
        <v>11467.399785753683</v>
      </c>
      <c r="AK67" s="9">
        <f t="shared" si="17"/>
        <v>68.258332058057931</v>
      </c>
      <c r="AL67" s="9">
        <f t="shared" si="18"/>
        <v>1238.6624756882447</v>
      </c>
      <c r="AM67" s="9">
        <f t="shared" si="19"/>
        <v>546.06665646445981</v>
      </c>
    </row>
    <row r="68" spans="4:39" ht="14.25" customHeight="1" x14ac:dyDescent="0.2">
      <c r="D68" s="1">
        <v>51</v>
      </c>
      <c r="E68" s="6">
        <f t="shared" si="26"/>
        <v>84.094265095527021</v>
      </c>
      <c r="F68" s="6">
        <f t="shared" si="26"/>
        <v>707.15632012147717</v>
      </c>
      <c r="G68" s="6">
        <f t="shared" si="26"/>
        <v>64.98193211927088</v>
      </c>
      <c r="H68" s="6">
        <v>0.4</v>
      </c>
      <c r="I68" s="6">
        <v>1.5</v>
      </c>
      <c r="J68" s="6">
        <v>1</v>
      </c>
      <c r="K68" s="26">
        <f t="shared" si="8"/>
        <v>1.0453577872707271</v>
      </c>
      <c r="L68" s="6">
        <f t="shared" si="20"/>
        <v>7358.2481958586131</v>
      </c>
      <c r="M68" s="6">
        <f t="shared" si="21"/>
        <v>96652.453280837042</v>
      </c>
      <c r="N68" s="6">
        <f t="shared" si="22"/>
        <v>9747.2898178906325</v>
      </c>
      <c r="O68" s="6">
        <f t="shared" si="23"/>
        <v>0.4</v>
      </c>
      <c r="P68" s="6">
        <f t="shared" si="24"/>
        <v>1.5</v>
      </c>
      <c r="Q68" s="6">
        <f t="shared" si="25"/>
        <v>1</v>
      </c>
      <c r="R68" s="6"/>
      <c r="S68" s="38">
        <v>51</v>
      </c>
      <c r="T68" s="6">
        <f>VLOOKUP($S$13,角色设定!$AB$9:$AJ$21,MATCH(E$17,角色设定!$AB$9:$AJ$9,0),0)*Z68*$L$15*E68/Y68/(1+W68*(X68-1))</f>
        <v>5375.3436495720398</v>
      </c>
      <c r="U68" s="6">
        <f>VLOOKUP($S$13,角色设定!$AB$9:$AJ$21,MATCH(F$17,角色设定!$AB$9:$AJ$9,0),0)*F68*$L$15/(1+V68/$N$16)</f>
        <v>133650.1087121318</v>
      </c>
      <c r="V68" s="6">
        <f>VLOOKUP($S$13,角色设定!$AB$9:$AJ$21,MATCH(V$17,角色设定!$AB$9:$AJ$9,0),0)*G68*$L$15</f>
        <v>43002.749196576311</v>
      </c>
      <c r="W68" s="6">
        <f>VLOOKUP($S$13,角色设定!$AB$9:$AJ$21,MATCH(W$17,角色设定!$AB$9:$AJ$9,0),0)*H68</f>
        <v>0.4</v>
      </c>
      <c r="X68" s="6">
        <f>VLOOKUP($S$13,角色设定!$AB$9:$AJ$21,MATCH(X$17,角色设定!$AB$9:$AJ$9,0),0)*I68</f>
        <v>1.5</v>
      </c>
      <c r="Y68" s="6">
        <f>VLOOKUP($S$13,角色设定!$AB$9:$AJ$21,MATCH(Y$17,角色设定!$AB$9:$AJ$9,0),0)*J68</f>
        <v>0.9</v>
      </c>
      <c r="Z68" s="6">
        <f>VLOOKUP($S$13,角色设定!$AB$9:$AJ$21,MATCH(Z$17,角色设定!$AB$9:$AJ$9,0),0)</f>
        <v>0.75</v>
      </c>
      <c r="AA68" s="6"/>
      <c r="AB68" s="6"/>
      <c r="AC68" s="6">
        <f>T68*战斗公式!$E$39*(1+W68*(X68-1))*Y68</f>
        <v>145134.27853844507</v>
      </c>
      <c r="AD68" s="6">
        <f>U68*战斗公式!$E$41*(1+V68*战斗公式!$E$40)</f>
        <v>191123.32976256142</v>
      </c>
      <c r="AE68" s="22">
        <f t="shared" si="12"/>
        <v>336257.60830100649</v>
      </c>
      <c r="AF68" s="22">
        <f t="shared" si="16"/>
        <v>16012.267061952734</v>
      </c>
      <c r="AG68" s="22"/>
      <c r="AH68" s="9">
        <f t="shared" si="13"/>
        <v>1505.0962218801712</v>
      </c>
      <c r="AI68" s="9">
        <f t="shared" si="14"/>
        <v>37422.030439396905</v>
      </c>
      <c r="AJ68" s="9">
        <f t="shared" si="15"/>
        <v>12040.769775041368</v>
      </c>
      <c r="AK68" s="9">
        <f t="shared" si="17"/>
        <v>71.6712486609606</v>
      </c>
      <c r="AL68" s="9">
        <f t="shared" si="18"/>
        <v>1264.2343011376579</v>
      </c>
      <c r="AM68" s="9">
        <f t="shared" si="19"/>
        <v>573.3699892876848</v>
      </c>
    </row>
    <row r="69" spans="4:39" ht="14.25" customHeight="1" x14ac:dyDescent="0.2">
      <c r="D69" s="1">
        <v>52</v>
      </c>
      <c r="E69" s="6">
        <f t="shared" si="26"/>
        <v>88.298978350303372</v>
      </c>
      <c r="F69" s="6">
        <f t="shared" si="26"/>
        <v>742.51413612755107</v>
      </c>
      <c r="G69" s="6">
        <f t="shared" si="26"/>
        <v>68.231028725234424</v>
      </c>
      <c r="H69" s="6">
        <v>0.4</v>
      </c>
      <c r="I69" s="6">
        <v>1.5</v>
      </c>
      <c r="J69" s="6">
        <v>1</v>
      </c>
      <c r="K69" s="26">
        <f t="shared" si="8"/>
        <v>1.0451481997232679</v>
      </c>
      <c r="L69" s="6">
        <f t="shared" si="20"/>
        <v>7726.1606056515438</v>
      </c>
      <c r="M69" s="6">
        <f t="shared" si="21"/>
        <v>101036.39469594313</v>
      </c>
      <c r="N69" s="6">
        <f t="shared" si="22"/>
        <v>10234.654308785164</v>
      </c>
      <c r="O69" s="6">
        <f t="shared" si="23"/>
        <v>0.4</v>
      </c>
      <c r="P69" s="6">
        <f t="shared" si="24"/>
        <v>1.5</v>
      </c>
      <c r="Q69" s="6">
        <f t="shared" si="25"/>
        <v>1</v>
      </c>
      <c r="R69" s="6"/>
      <c r="S69" s="38">
        <v>52</v>
      </c>
      <c r="T69" s="6">
        <f>VLOOKUP($S$13,角色设定!$AB$9:$AJ$21,MATCH(E$17,角色设定!$AB$9:$AJ$9,0),0)*Z69*$L$15*E69/Y69/(1+W69*(X69-1))</f>
        <v>5644.110832050641</v>
      </c>
      <c r="U69" s="6">
        <f>VLOOKUP($S$13,角色设定!$AB$9:$AJ$21,MATCH(F$17,角色设定!$AB$9:$AJ$9,0),0)*F69*$L$15/(1+V69/$N$16)</f>
        <v>138253.87897777237</v>
      </c>
      <c r="V69" s="6">
        <f>VLOOKUP($S$13,角色设定!$AB$9:$AJ$21,MATCH(V$17,角色设定!$AB$9:$AJ$9,0),0)*G69*$L$15</f>
        <v>45152.886656405128</v>
      </c>
      <c r="W69" s="6">
        <f>VLOOKUP($S$13,角色设定!$AB$9:$AJ$21,MATCH(W$17,角色设定!$AB$9:$AJ$9,0),0)*H69</f>
        <v>0.4</v>
      </c>
      <c r="X69" s="6">
        <f>VLOOKUP($S$13,角色设定!$AB$9:$AJ$21,MATCH(X$17,角色设定!$AB$9:$AJ$9,0),0)*I69</f>
        <v>1.5</v>
      </c>
      <c r="Y69" s="6">
        <f>VLOOKUP($S$13,角色设定!$AB$9:$AJ$21,MATCH(Y$17,角色设定!$AB$9:$AJ$9,0),0)*J69</f>
        <v>0.9</v>
      </c>
      <c r="Z69" s="6">
        <f>VLOOKUP($S$13,角色设定!$AB$9:$AJ$21,MATCH(Z$17,角色设定!$AB$9:$AJ$9,0),0)</f>
        <v>0.75</v>
      </c>
      <c r="AA69" s="6"/>
      <c r="AB69" s="6"/>
      <c r="AC69" s="6">
        <f>T69*战斗公式!$E$39*(1+W69*(X69-1))*Y69</f>
        <v>152390.99246536731</v>
      </c>
      <c r="AD69" s="6">
        <f>U69*战斗公式!$E$41*(1+V69*战斗公式!$E$40)</f>
        <v>200679.49625068947</v>
      </c>
      <c r="AE69" s="22">
        <f t="shared" si="12"/>
        <v>353070.4887160568</v>
      </c>
      <c r="AF69" s="22">
        <f t="shared" si="16"/>
        <v>16812.880415050313</v>
      </c>
      <c r="AG69" s="22"/>
      <c r="AH69" s="9">
        <f t="shared" si="13"/>
        <v>1580.3510329741796</v>
      </c>
      <c r="AI69" s="9">
        <f t="shared" si="14"/>
        <v>38711.086113776269</v>
      </c>
      <c r="AJ69" s="9">
        <f t="shared" si="15"/>
        <v>12642.808263793437</v>
      </c>
      <c r="AK69" s="9">
        <f t="shared" si="17"/>
        <v>75.254811094008346</v>
      </c>
      <c r="AL69" s="9">
        <f t="shared" si="18"/>
        <v>1289.0556743793641</v>
      </c>
      <c r="AM69" s="9">
        <f t="shared" si="19"/>
        <v>602.03848875206859</v>
      </c>
    </row>
    <row r="70" spans="4:39" ht="14.25" customHeight="1" x14ac:dyDescent="0.2">
      <c r="D70" s="1">
        <v>53</v>
      </c>
      <c r="E70" s="6">
        <f t="shared" si="26"/>
        <v>92.713927267818534</v>
      </c>
      <c r="F70" s="6">
        <f t="shared" si="26"/>
        <v>779.63984293392866</v>
      </c>
      <c r="G70" s="6">
        <f t="shared" si="26"/>
        <v>71.642580161496156</v>
      </c>
      <c r="H70" s="6">
        <v>0.4</v>
      </c>
      <c r="I70" s="6">
        <v>1.5</v>
      </c>
      <c r="J70" s="6">
        <v>1</v>
      </c>
      <c r="K70" s="26">
        <f t="shared" si="8"/>
        <v>1.0449302073309059</v>
      </c>
      <c r="L70" s="6">
        <f t="shared" si="20"/>
        <v>8112.4686359341213</v>
      </c>
      <c r="M70" s="6">
        <f t="shared" si="21"/>
        <v>105598.00602299451</v>
      </c>
      <c r="N70" s="6">
        <f t="shared" si="22"/>
        <v>10746.387024224423</v>
      </c>
      <c r="O70" s="6">
        <f t="shared" si="23"/>
        <v>0.4</v>
      </c>
      <c r="P70" s="6">
        <f t="shared" si="24"/>
        <v>1.5</v>
      </c>
      <c r="Q70" s="6">
        <f t="shared" si="25"/>
        <v>1</v>
      </c>
      <c r="R70" s="6"/>
      <c r="S70" s="38">
        <v>53</v>
      </c>
      <c r="T70" s="6">
        <f>VLOOKUP($S$13,角色设定!$AB$9:$AJ$21,MATCH(E$17,角色设定!$AB$9:$AJ$9,0),0)*Z70*$L$15*E70/Y70/(1+W70*(X70-1))</f>
        <v>5926.3163736531733</v>
      </c>
      <c r="U70" s="6">
        <f>VLOOKUP($S$13,角色设定!$AB$9:$AJ$21,MATCH(F$17,角色设定!$AB$9:$AJ$9,0),0)*F70*$L$15/(1+V70/$N$16)</f>
        <v>142943.29560391145</v>
      </c>
      <c r="V70" s="6">
        <f>VLOOKUP($S$13,角色设定!$AB$9:$AJ$21,MATCH(V$17,角色设定!$AB$9:$AJ$9,0),0)*G70*$L$15</f>
        <v>47410.530989225394</v>
      </c>
      <c r="W70" s="6">
        <f>VLOOKUP($S$13,角色设定!$AB$9:$AJ$21,MATCH(W$17,角色设定!$AB$9:$AJ$9,0),0)*H70</f>
        <v>0.4</v>
      </c>
      <c r="X70" s="6">
        <f>VLOOKUP($S$13,角色设定!$AB$9:$AJ$21,MATCH(X$17,角色设定!$AB$9:$AJ$9,0),0)*I70</f>
        <v>1.5</v>
      </c>
      <c r="Y70" s="6">
        <f>VLOOKUP($S$13,角色设定!$AB$9:$AJ$21,MATCH(Y$17,角色设定!$AB$9:$AJ$9,0),0)*J70</f>
        <v>0.9</v>
      </c>
      <c r="Z70" s="6">
        <f>VLOOKUP($S$13,角色设定!$AB$9:$AJ$21,MATCH(Z$17,角色设定!$AB$9:$AJ$9,0),0)</f>
        <v>0.75</v>
      </c>
      <c r="AA70" s="6"/>
      <c r="AB70" s="6"/>
      <c r="AC70" s="6">
        <f>T70*战斗公式!$E$39*(1+W70*(X70-1))*Y70</f>
        <v>160010.54208863567</v>
      </c>
      <c r="AD70" s="6">
        <f>U70*战斗公式!$E$41*(1+V70*战斗公式!$E$40)</f>
        <v>210713.47106322393</v>
      </c>
      <c r="AE70" s="22">
        <f t="shared" si="12"/>
        <v>370724.01315185963</v>
      </c>
      <c r="AF70" s="22">
        <f t="shared" si="16"/>
        <v>17653.524435802829</v>
      </c>
      <c r="AG70" s="22"/>
      <c r="AH70" s="9">
        <f t="shared" si="13"/>
        <v>1659.3685846228886</v>
      </c>
      <c r="AI70" s="9">
        <f t="shared" si="14"/>
        <v>40024.122769095207</v>
      </c>
      <c r="AJ70" s="9">
        <f t="shared" si="15"/>
        <v>13274.948676983111</v>
      </c>
      <c r="AK70" s="9">
        <f t="shared" si="17"/>
        <v>79.017551648709059</v>
      </c>
      <c r="AL70" s="9">
        <f t="shared" si="18"/>
        <v>1313.0366553189378</v>
      </c>
      <c r="AM70" s="9">
        <f t="shared" si="19"/>
        <v>632.14041318967429</v>
      </c>
    </row>
    <row r="71" spans="4:39" ht="14.25" customHeight="1" x14ac:dyDescent="0.2">
      <c r="D71" s="1">
        <v>54</v>
      </c>
      <c r="E71" s="6">
        <f t="shared" si="26"/>
        <v>97.349623631209454</v>
      </c>
      <c r="F71" s="6">
        <f t="shared" si="26"/>
        <v>818.62183508062492</v>
      </c>
      <c r="G71" s="6">
        <f t="shared" si="26"/>
        <v>75.224709169570943</v>
      </c>
      <c r="H71" s="6">
        <v>0.4</v>
      </c>
      <c r="I71" s="6">
        <v>1.5</v>
      </c>
      <c r="J71" s="6">
        <v>1</v>
      </c>
      <c r="K71" s="26">
        <f t="shared" si="8"/>
        <v>1.0447035695019626</v>
      </c>
      <c r="L71" s="6">
        <f t="shared" si="20"/>
        <v>8518.0920677308277</v>
      </c>
      <c r="M71" s="6">
        <f t="shared" si="21"/>
        <v>110342.5463273379</v>
      </c>
      <c r="N71" s="6">
        <f t="shared" si="22"/>
        <v>11283.706375435642</v>
      </c>
      <c r="O71" s="6">
        <f t="shared" si="23"/>
        <v>0.4</v>
      </c>
      <c r="P71" s="6">
        <f t="shared" si="24"/>
        <v>1.5</v>
      </c>
      <c r="Q71" s="6">
        <f t="shared" si="25"/>
        <v>1</v>
      </c>
      <c r="R71" s="6"/>
      <c r="S71" s="38">
        <v>54</v>
      </c>
      <c r="T71" s="6">
        <f>VLOOKUP($S$13,角色设定!$AB$9:$AJ$21,MATCH(E$17,角色设定!$AB$9:$AJ$9,0),0)*Z71*$L$15*E71/Y71/(1+W71*(X71-1))</f>
        <v>6222.632192335831</v>
      </c>
      <c r="U71" s="6">
        <f>VLOOKUP($S$13,角色设定!$AB$9:$AJ$21,MATCH(F$17,角色设定!$AB$9:$AJ$9,0),0)*F71*$L$15/(1+V71/$N$16)</f>
        <v>147715.03703613463</v>
      </c>
      <c r="V71" s="6">
        <f>VLOOKUP($S$13,角色设定!$AB$9:$AJ$21,MATCH(V$17,角色设定!$AB$9:$AJ$9,0),0)*G71*$L$15</f>
        <v>49781.057538686648</v>
      </c>
      <c r="W71" s="6">
        <f>VLOOKUP($S$13,角色设定!$AB$9:$AJ$21,MATCH(W$17,角色设定!$AB$9:$AJ$9,0),0)*H71</f>
        <v>0.4</v>
      </c>
      <c r="X71" s="6">
        <f>VLOOKUP($S$13,角色设定!$AB$9:$AJ$21,MATCH(X$17,角色设定!$AB$9:$AJ$9,0),0)*I71</f>
        <v>1.5</v>
      </c>
      <c r="Y71" s="6">
        <f>VLOOKUP($S$13,角色设定!$AB$9:$AJ$21,MATCH(Y$17,角色设定!$AB$9:$AJ$9,0),0)*J71</f>
        <v>0.9</v>
      </c>
      <c r="Z71" s="6">
        <f>VLOOKUP($S$13,角色设定!$AB$9:$AJ$21,MATCH(Z$17,角色设定!$AB$9:$AJ$9,0),0)</f>
        <v>0.75</v>
      </c>
      <c r="AA71" s="6"/>
      <c r="AB71" s="6"/>
      <c r="AC71" s="6">
        <f>T71*战斗公式!$E$39*(1+W71*(X71-1))*Y71</f>
        <v>168011.06919306744</v>
      </c>
      <c r="AD71" s="6">
        <f>U71*战斗公式!$E$41*(1+V71*战斗公式!$E$40)</f>
        <v>221249.14461638511</v>
      </c>
      <c r="AE71" s="22">
        <f t="shared" si="12"/>
        <v>389260.21380945254</v>
      </c>
      <c r="AF71" s="22">
        <f t="shared" si="16"/>
        <v>18536.200657592912</v>
      </c>
      <c r="AG71" s="22"/>
      <c r="AH71" s="9">
        <f t="shared" si="13"/>
        <v>1742.3370138540329</v>
      </c>
      <c r="AI71" s="9">
        <f t="shared" si="14"/>
        <v>41360.210370117697</v>
      </c>
      <c r="AJ71" s="9">
        <f t="shared" si="15"/>
        <v>13938.696110832263</v>
      </c>
      <c r="AK71" s="9">
        <f t="shared" si="17"/>
        <v>82.968429231144228</v>
      </c>
      <c r="AL71" s="9">
        <f t="shared" si="18"/>
        <v>1336.0876010224893</v>
      </c>
      <c r="AM71" s="9">
        <f t="shared" si="19"/>
        <v>663.747433849152</v>
      </c>
    </row>
    <row r="72" spans="4:39" ht="14.25" customHeight="1" x14ac:dyDescent="0.2">
      <c r="D72" s="1">
        <v>55</v>
      </c>
      <c r="E72" s="6">
        <f t="shared" si="26"/>
        <v>102.21710481276992</v>
      </c>
      <c r="F72" s="6">
        <f t="shared" si="26"/>
        <v>859.5529268346562</v>
      </c>
      <c r="G72" s="6">
        <f t="shared" si="26"/>
        <v>78.985944628049495</v>
      </c>
      <c r="H72" s="6">
        <v>0.4</v>
      </c>
      <c r="I72" s="6">
        <v>1.5</v>
      </c>
      <c r="J72" s="6">
        <v>1</v>
      </c>
      <c r="K72" s="26">
        <f t="shared" si="8"/>
        <v>1.0444680475785795</v>
      </c>
      <c r="L72" s="6">
        <f t="shared" si="20"/>
        <v>8943.9966711173674</v>
      </c>
      <c r="M72" s="6">
        <f t="shared" si="21"/>
        <v>115275.25201610557</v>
      </c>
      <c r="N72" s="6">
        <f t="shared" si="22"/>
        <v>11847.891694207425</v>
      </c>
      <c r="O72" s="6">
        <f t="shared" si="23"/>
        <v>0.4</v>
      </c>
      <c r="P72" s="6">
        <f t="shared" si="24"/>
        <v>1.5</v>
      </c>
      <c r="Q72" s="6">
        <f t="shared" si="25"/>
        <v>1</v>
      </c>
      <c r="R72" s="6"/>
      <c r="S72" s="38">
        <v>55</v>
      </c>
      <c r="T72" s="6">
        <f>VLOOKUP($S$13,角色设定!$AB$9:$AJ$21,MATCH(E$17,角色设定!$AB$9:$AJ$9,0),0)*Z72*$L$15*E72/Y72/(1+W72*(X72-1))</f>
        <v>6533.7638019526221</v>
      </c>
      <c r="U72" s="6">
        <f>VLOOKUP($S$13,角色设定!$AB$9:$AJ$21,MATCH(F$17,角色设定!$AB$9:$AJ$9,0),0)*F72*$L$15/(1+V72/$N$16)</f>
        <v>152565.4648920332</v>
      </c>
      <c r="V72" s="6">
        <f>VLOOKUP($S$13,角色设定!$AB$9:$AJ$21,MATCH(V$17,角色设定!$AB$9:$AJ$9,0),0)*G72*$L$15</f>
        <v>52270.110415620977</v>
      </c>
      <c r="W72" s="6">
        <f>VLOOKUP($S$13,角色设定!$AB$9:$AJ$21,MATCH(W$17,角色设定!$AB$9:$AJ$9,0),0)*H72</f>
        <v>0.4</v>
      </c>
      <c r="X72" s="6">
        <f>VLOOKUP($S$13,角色设定!$AB$9:$AJ$21,MATCH(X$17,角色设定!$AB$9:$AJ$9,0),0)*I72</f>
        <v>1.5</v>
      </c>
      <c r="Y72" s="6">
        <f>VLOOKUP($S$13,角色设定!$AB$9:$AJ$21,MATCH(Y$17,角色设定!$AB$9:$AJ$9,0),0)*J72</f>
        <v>0.9</v>
      </c>
      <c r="Z72" s="6">
        <f>VLOOKUP($S$13,角色设定!$AB$9:$AJ$21,MATCH(Z$17,角色设定!$AB$9:$AJ$9,0),0)</f>
        <v>0.75</v>
      </c>
      <c r="AA72" s="6"/>
      <c r="AB72" s="6"/>
      <c r="AC72" s="6">
        <f>T72*战斗公式!$E$39*(1+W72*(X72-1))*Y72</f>
        <v>176411.62265272081</v>
      </c>
      <c r="AD72" s="6">
        <f>U72*战斗公式!$E$41*(1+V72*战斗公式!$E$40)</f>
        <v>232311.60184720444</v>
      </c>
      <c r="AE72" s="22">
        <f t="shared" si="12"/>
        <v>408723.22449992527</v>
      </c>
      <c r="AF72" s="22">
        <f t="shared" si="16"/>
        <v>19463.010690472729</v>
      </c>
      <c r="AG72" s="22"/>
      <c r="AH72" s="9">
        <f t="shared" si="13"/>
        <v>1829.4538645467344</v>
      </c>
      <c r="AI72" s="9">
        <f t="shared" si="14"/>
        <v>42718.330169769302</v>
      </c>
      <c r="AJ72" s="9">
        <f t="shared" si="15"/>
        <v>14635.630916373875</v>
      </c>
      <c r="AK72" s="9">
        <f t="shared" si="17"/>
        <v>87.116850692701519</v>
      </c>
      <c r="AL72" s="9">
        <f t="shared" si="18"/>
        <v>1358.1197996516057</v>
      </c>
      <c r="AM72" s="9">
        <f t="shared" si="19"/>
        <v>696.93480554161215</v>
      </c>
    </row>
    <row r="73" spans="4:39" ht="14.25" customHeight="1" x14ac:dyDescent="0.2">
      <c r="D73" s="1">
        <v>56</v>
      </c>
      <c r="E73" s="6">
        <f t="shared" si="26"/>
        <v>107.32796005340845</v>
      </c>
      <c r="F73" s="6">
        <f t="shared" si="26"/>
        <v>902.53057317638911</v>
      </c>
      <c r="G73" s="6">
        <f t="shared" si="26"/>
        <v>82.935241859451992</v>
      </c>
      <c r="H73" s="6">
        <v>0.4</v>
      </c>
      <c r="I73" s="6">
        <v>1.5</v>
      </c>
      <c r="J73" s="6">
        <v>1</v>
      </c>
      <c r="K73" s="26">
        <f t="shared" si="8"/>
        <v>1.0442234058017708</v>
      </c>
      <c r="L73" s="6">
        <f t="shared" si="20"/>
        <v>9391.1965046732403</v>
      </c>
      <c r="M73" s="6">
        <f t="shared" si="21"/>
        <v>120401.3174073905</v>
      </c>
      <c r="N73" s="6">
        <f t="shared" si="22"/>
        <v>12440.286278917798</v>
      </c>
      <c r="O73" s="6">
        <f t="shared" si="23"/>
        <v>0.4</v>
      </c>
      <c r="P73" s="6">
        <f t="shared" si="24"/>
        <v>1.5</v>
      </c>
      <c r="Q73" s="6">
        <f t="shared" si="25"/>
        <v>1</v>
      </c>
      <c r="R73" s="6"/>
      <c r="S73" s="38">
        <v>56</v>
      </c>
      <c r="T73" s="6">
        <f>VLOOKUP($S$13,角色设定!$AB$9:$AJ$21,MATCH(E$17,角色设定!$AB$9:$AJ$9,0),0)*Z73*$L$15*E73/Y73/(1+W73*(X73-1))</f>
        <v>6860.4519920502562</v>
      </c>
      <c r="U73" s="6">
        <f>VLOOKUP($S$13,角色设定!$AB$9:$AJ$21,MATCH(F$17,角色设定!$AB$9:$AJ$9,0),0)*F73*$L$15/(1+V73/$N$16)</f>
        <v>157490.62963491594</v>
      </c>
      <c r="V73" s="6">
        <f>VLOOKUP($S$13,角色设定!$AB$9:$AJ$21,MATCH(V$17,角色设定!$AB$9:$AJ$9,0),0)*G73*$L$15</f>
        <v>54883.61593640205</v>
      </c>
      <c r="W73" s="6">
        <f>VLOOKUP($S$13,角色设定!$AB$9:$AJ$21,MATCH(W$17,角色设定!$AB$9:$AJ$9,0),0)*H73</f>
        <v>0.4</v>
      </c>
      <c r="X73" s="6">
        <f>VLOOKUP($S$13,角色设定!$AB$9:$AJ$21,MATCH(X$17,角色设定!$AB$9:$AJ$9,0),0)*I73</f>
        <v>1.5</v>
      </c>
      <c r="Y73" s="6">
        <f>VLOOKUP($S$13,角色设定!$AB$9:$AJ$21,MATCH(Y$17,角色设定!$AB$9:$AJ$9,0),0)*J73</f>
        <v>0.9</v>
      </c>
      <c r="Z73" s="6">
        <f>VLOOKUP($S$13,角色设定!$AB$9:$AJ$21,MATCH(Z$17,角色设定!$AB$9:$AJ$9,0),0)</f>
        <v>0.75</v>
      </c>
      <c r="AA73" s="6"/>
      <c r="AB73" s="6"/>
      <c r="AC73" s="6">
        <f>T73*战斗公式!$E$39*(1+W73*(X73-1))*Y73</f>
        <v>185232.20378535692</v>
      </c>
      <c r="AD73" s="6">
        <f>U73*战斗公式!$E$41*(1+V73*战斗公式!$E$40)</f>
        <v>243927.18193956459</v>
      </c>
      <c r="AE73" s="22">
        <f t="shared" si="12"/>
        <v>429159.38572492148</v>
      </c>
      <c r="AF73" s="22">
        <f t="shared" si="16"/>
        <v>20436.161224996205</v>
      </c>
      <c r="AG73" s="22"/>
      <c r="AH73" s="9">
        <f t="shared" si="13"/>
        <v>1920.9265577740719</v>
      </c>
      <c r="AI73" s="9">
        <f t="shared" si="14"/>
        <v>44097.376297776464</v>
      </c>
      <c r="AJ73" s="9">
        <f t="shared" si="15"/>
        <v>15367.412462192575</v>
      </c>
      <c r="AK73" s="9">
        <f t="shared" si="17"/>
        <v>91.472693227337459</v>
      </c>
      <c r="AL73" s="9">
        <f t="shared" si="18"/>
        <v>1379.0461280071613</v>
      </c>
      <c r="AM73" s="9">
        <f t="shared" si="19"/>
        <v>731.78154581869967</v>
      </c>
    </row>
    <row r="74" spans="4:39" ht="14.25" customHeight="1" x14ac:dyDescent="0.2">
      <c r="D74" s="1">
        <v>57</v>
      </c>
      <c r="E74" s="6">
        <f t="shared" si="26"/>
        <v>112.69435805607884</v>
      </c>
      <c r="F74" s="6">
        <f t="shared" si="26"/>
        <v>947.65710183520844</v>
      </c>
      <c r="G74" s="6">
        <f t="shared" si="26"/>
        <v>87.082003952424571</v>
      </c>
      <c r="H74" s="6">
        <v>0.4</v>
      </c>
      <c r="I74" s="6">
        <v>1.5</v>
      </c>
      <c r="J74" s="6">
        <v>1</v>
      </c>
      <c r="K74" s="26">
        <f t="shared" si="8"/>
        <v>1.0439694123494931</v>
      </c>
      <c r="L74" s="6">
        <f t="shared" si="20"/>
        <v>9860.7563299069006</v>
      </c>
      <c r="M74" s="6">
        <f t="shared" si="21"/>
        <v>125725.87372616533</v>
      </c>
      <c r="N74" s="6">
        <f t="shared" si="22"/>
        <v>13062.300592863685</v>
      </c>
      <c r="O74" s="6">
        <f t="shared" si="23"/>
        <v>0.4</v>
      </c>
      <c r="P74" s="6">
        <f t="shared" si="24"/>
        <v>1.5</v>
      </c>
      <c r="Q74" s="6">
        <f t="shared" si="25"/>
        <v>1</v>
      </c>
      <c r="R74" s="6"/>
      <c r="S74" s="38">
        <v>57</v>
      </c>
      <c r="T74" s="6">
        <f>VLOOKUP($S$13,角色设定!$AB$9:$AJ$21,MATCH(E$17,角色设定!$AB$9:$AJ$9,0),0)*Z74*$L$15*E74/Y74/(1+W74*(X74-1))</f>
        <v>7203.4745916527663</v>
      </c>
      <c r="U74" s="6">
        <f>VLOOKUP($S$13,角色设定!$AB$9:$AJ$21,MATCH(F$17,角色设定!$AB$9:$AJ$9,0),0)*F74*$L$15/(1+V74/$N$16)</f>
        <v>162486.27865427837</v>
      </c>
      <c r="V74" s="6">
        <f>VLOOKUP($S$13,角色设定!$AB$9:$AJ$21,MATCH(V$17,角色设定!$AB$9:$AJ$9,0),0)*G74*$L$15</f>
        <v>57627.796733222138</v>
      </c>
      <c r="W74" s="6">
        <f>VLOOKUP($S$13,角色设定!$AB$9:$AJ$21,MATCH(W$17,角色设定!$AB$9:$AJ$9,0),0)*H74</f>
        <v>0.4</v>
      </c>
      <c r="X74" s="6">
        <f>VLOOKUP($S$13,角色设定!$AB$9:$AJ$21,MATCH(X$17,角色设定!$AB$9:$AJ$9,0),0)*I74</f>
        <v>1.5</v>
      </c>
      <c r="Y74" s="6">
        <f>VLOOKUP($S$13,角色设定!$AB$9:$AJ$21,MATCH(Y$17,角色设定!$AB$9:$AJ$9,0),0)*J74</f>
        <v>0.9</v>
      </c>
      <c r="Z74" s="6">
        <f>VLOOKUP($S$13,角色设定!$AB$9:$AJ$21,MATCH(Z$17,角色设定!$AB$9:$AJ$9,0),0)</f>
        <v>0.75</v>
      </c>
      <c r="AA74" s="6"/>
      <c r="AB74" s="6"/>
      <c r="AC74" s="6">
        <f>T74*战斗公式!$E$39*(1+W74*(X74-1))*Y74</f>
        <v>194493.81397462467</v>
      </c>
      <c r="AD74" s="6">
        <f>U74*战斗公式!$E$41*(1+V74*战斗公式!$E$40)</f>
        <v>256123.54103654285</v>
      </c>
      <c r="AE74" s="22">
        <f t="shared" si="12"/>
        <v>450617.35501116753</v>
      </c>
      <c r="AF74" s="22">
        <f t="shared" si="16"/>
        <v>21457.969286246051</v>
      </c>
      <c r="AG74" s="22"/>
      <c r="AH74" s="9">
        <f t="shared" si="13"/>
        <v>2016.9728856627748</v>
      </c>
      <c r="AI74" s="9">
        <f t="shared" si="14"/>
        <v>45496.158023197946</v>
      </c>
      <c r="AJ74" s="9">
        <f t="shared" si="15"/>
        <v>16135.783085302201</v>
      </c>
      <c r="AK74" s="9">
        <f t="shared" si="17"/>
        <v>96.04632788870299</v>
      </c>
      <c r="AL74" s="9">
        <f t="shared" si="18"/>
        <v>1398.7817254214824</v>
      </c>
      <c r="AM74" s="9">
        <f t="shared" si="19"/>
        <v>768.37062310962574</v>
      </c>
    </row>
    <row r="75" spans="4:39" ht="14.25" customHeight="1" x14ac:dyDescent="0.2">
      <c r="D75" s="1">
        <v>58</v>
      </c>
      <c r="E75" s="6">
        <f t="shared" si="26"/>
        <v>118.3290759588828</v>
      </c>
      <c r="F75" s="6">
        <f t="shared" si="26"/>
        <v>995.03995692696901</v>
      </c>
      <c r="G75" s="6">
        <f t="shared" si="26"/>
        <v>91.436104150045807</v>
      </c>
      <c r="H75" s="6">
        <v>0.4</v>
      </c>
      <c r="I75" s="6">
        <v>1.5</v>
      </c>
      <c r="J75" s="6">
        <v>1</v>
      </c>
      <c r="K75" s="26">
        <f t="shared" si="8"/>
        <v>1.0437058404478334</v>
      </c>
      <c r="L75" s="6">
        <f t="shared" si="20"/>
        <v>10353.794146402244</v>
      </c>
      <c r="M75" s="6">
        <f t="shared" si="21"/>
        <v>131253.96651103141</v>
      </c>
      <c r="N75" s="6">
        <f t="shared" si="22"/>
        <v>13715.415622506871</v>
      </c>
      <c r="O75" s="6">
        <f t="shared" si="23"/>
        <v>0.4</v>
      </c>
      <c r="P75" s="6">
        <f t="shared" si="24"/>
        <v>1.5</v>
      </c>
      <c r="Q75" s="6">
        <f t="shared" si="25"/>
        <v>1</v>
      </c>
      <c r="R75" s="6"/>
      <c r="S75" s="38">
        <v>58</v>
      </c>
      <c r="T75" s="6">
        <f>VLOOKUP($S$13,角色设定!$AB$9:$AJ$21,MATCH(E$17,角色设定!$AB$9:$AJ$9,0),0)*Z75*$L$15*E75/Y75/(1+W75*(X75-1))</f>
        <v>7563.6483212354051</v>
      </c>
      <c r="U75" s="6">
        <f>VLOOKUP($S$13,角色设定!$AB$9:$AJ$21,MATCH(F$17,角色设定!$AB$9:$AJ$9,0),0)*F75*$L$15/(1+V75/$N$16)</f>
        <v>167547.86678286613</v>
      </c>
      <c r="V75" s="6">
        <f>VLOOKUP($S$13,角色设定!$AB$9:$AJ$21,MATCH(V$17,角色设定!$AB$9:$AJ$9,0),0)*G75*$L$15</f>
        <v>60509.186569883241</v>
      </c>
      <c r="W75" s="6">
        <f>VLOOKUP($S$13,角色设定!$AB$9:$AJ$21,MATCH(W$17,角色设定!$AB$9:$AJ$9,0),0)*H75</f>
        <v>0.4</v>
      </c>
      <c r="X75" s="6">
        <f>VLOOKUP($S$13,角色设定!$AB$9:$AJ$21,MATCH(X$17,角色设定!$AB$9:$AJ$9,0),0)*I75</f>
        <v>1.5</v>
      </c>
      <c r="Y75" s="6">
        <f>VLOOKUP($S$13,角色设定!$AB$9:$AJ$21,MATCH(Y$17,角色设定!$AB$9:$AJ$9,0),0)*J75</f>
        <v>0.9</v>
      </c>
      <c r="Z75" s="6">
        <f>VLOOKUP($S$13,角色设定!$AB$9:$AJ$21,MATCH(Z$17,角色设定!$AB$9:$AJ$9,0),0)</f>
        <v>0.75</v>
      </c>
      <c r="AA75" s="6"/>
      <c r="AB75" s="6"/>
      <c r="AC75" s="6">
        <f>T75*战斗公式!$E$39*(1+W75*(X75-1))*Y75</f>
        <v>204218.5046733559</v>
      </c>
      <c r="AD75" s="6">
        <f>U75*战斗公式!$E$41*(1+V75*战斗公式!$E$40)</f>
        <v>268929.71808837005</v>
      </c>
      <c r="AE75" s="22">
        <f t="shared" si="12"/>
        <v>473148.22276172595</v>
      </c>
      <c r="AF75" s="22">
        <f t="shared" si="16"/>
        <v>22530.86775055842</v>
      </c>
      <c r="AG75" s="22"/>
      <c r="AH75" s="9">
        <f t="shared" si="13"/>
        <v>2117.8215299459134</v>
      </c>
      <c r="AI75" s="9">
        <f t="shared" si="14"/>
        <v>46913.402699202517</v>
      </c>
      <c r="AJ75" s="9">
        <f t="shared" si="15"/>
        <v>16942.572239567307</v>
      </c>
      <c r="AK75" s="9">
        <f t="shared" si="17"/>
        <v>100.84864428313858</v>
      </c>
      <c r="AL75" s="9">
        <f t="shared" si="18"/>
        <v>1417.2446760045714</v>
      </c>
      <c r="AM75" s="9">
        <f t="shared" si="19"/>
        <v>806.78915426510684</v>
      </c>
    </row>
    <row r="76" spans="4:39" ht="14.25" customHeight="1" x14ac:dyDescent="0.2">
      <c r="D76" s="1">
        <v>59</v>
      </c>
      <c r="E76" s="6">
        <f t="shared" si="26"/>
        <v>124.24552975682695</v>
      </c>
      <c r="F76" s="6">
        <f t="shared" si="26"/>
        <v>1044.7919547733175</v>
      </c>
      <c r="G76" s="6">
        <f t="shared" si="26"/>
        <v>96.007909357548101</v>
      </c>
      <c r="H76" s="6">
        <v>0.4</v>
      </c>
      <c r="I76" s="6">
        <v>1.5</v>
      </c>
      <c r="J76" s="6">
        <v>1</v>
      </c>
      <c r="K76" s="26">
        <f t="shared" si="8"/>
        <v>1.0434324695547113</v>
      </c>
      <c r="L76" s="6">
        <f t="shared" si="20"/>
        <v>10871.483853722359</v>
      </c>
      <c r="M76" s="6">
        <f t="shared" si="21"/>
        <v>136990.53142950783</v>
      </c>
      <c r="N76" s="6">
        <f t="shared" si="22"/>
        <v>14401.186403632215</v>
      </c>
      <c r="O76" s="6">
        <f t="shared" si="23"/>
        <v>0.4</v>
      </c>
      <c r="P76" s="6">
        <f t="shared" si="24"/>
        <v>1.5</v>
      </c>
      <c r="Q76" s="6">
        <f t="shared" si="25"/>
        <v>1</v>
      </c>
      <c r="R76" s="6"/>
      <c r="S76" s="38">
        <v>59</v>
      </c>
      <c r="T76" s="6">
        <f>VLOOKUP($S$13,角色设定!$AB$9:$AJ$21,MATCH(E$17,角色设定!$AB$9:$AJ$9,0),0)*Z76*$L$15*E76/Y76/(1+W76*(X76-1))</f>
        <v>7941.8307372971767</v>
      </c>
      <c r="U76" s="6">
        <f>VLOOKUP($S$13,角色设定!$AB$9:$AJ$21,MATCH(F$17,角色设定!$AB$9:$AJ$9,0),0)*F76*$L$15/(1+V76/$N$16)</f>
        <v>172670.56924944257</v>
      </c>
      <c r="V76" s="6">
        <f>VLOOKUP($S$13,角色设定!$AB$9:$AJ$21,MATCH(V$17,角色设定!$AB$9:$AJ$9,0),0)*G76*$L$15</f>
        <v>63534.645898377414</v>
      </c>
      <c r="W76" s="6">
        <f>VLOOKUP($S$13,角色设定!$AB$9:$AJ$21,MATCH(W$17,角色设定!$AB$9:$AJ$9,0),0)*H76</f>
        <v>0.4</v>
      </c>
      <c r="X76" s="6">
        <f>VLOOKUP($S$13,角色设定!$AB$9:$AJ$21,MATCH(X$17,角色设定!$AB$9:$AJ$9,0),0)*I76</f>
        <v>1.5</v>
      </c>
      <c r="Y76" s="6">
        <f>VLOOKUP($S$13,角色设定!$AB$9:$AJ$21,MATCH(Y$17,角色设定!$AB$9:$AJ$9,0),0)*J76</f>
        <v>0.9</v>
      </c>
      <c r="Z76" s="6">
        <f>VLOOKUP($S$13,角色设定!$AB$9:$AJ$21,MATCH(Z$17,角色设定!$AB$9:$AJ$9,0),0)</f>
        <v>0.75</v>
      </c>
      <c r="AA76" s="6"/>
      <c r="AB76" s="6"/>
      <c r="AC76" s="6">
        <f>T76*战斗公式!$E$39*(1+W76*(X76-1))*Y76</f>
        <v>214429.42990702376</v>
      </c>
      <c r="AD76" s="6">
        <f>U76*战斗公式!$E$41*(1+V76*战斗公式!$E$40)</f>
        <v>282376.20399278851</v>
      </c>
      <c r="AE76" s="22">
        <f t="shared" si="12"/>
        <v>496805.63389981224</v>
      </c>
      <c r="AF76" s="22">
        <f t="shared" si="16"/>
        <v>23657.411138086289</v>
      </c>
      <c r="AG76" s="22"/>
      <c r="AH76" s="9">
        <f t="shared" si="13"/>
        <v>2223.7126064432096</v>
      </c>
      <c r="AI76" s="9">
        <f t="shared" si="14"/>
        <v>48347.759389843923</v>
      </c>
      <c r="AJ76" s="9">
        <f t="shared" si="15"/>
        <v>17789.700851545676</v>
      </c>
      <c r="AK76" s="9">
        <f t="shared" si="17"/>
        <v>105.89107649729613</v>
      </c>
      <c r="AL76" s="9">
        <f t="shared" si="18"/>
        <v>1434.3566906414053</v>
      </c>
      <c r="AM76" s="9">
        <f t="shared" si="19"/>
        <v>847.12861197836901</v>
      </c>
    </row>
    <row r="77" spans="4:39" ht="14.25" customHeight="1" x14ac:dyDescent="0.2">
      <c r="D77" s="1">
        <v>60</v>
      </c>
      <c r="E77" s="6">
        <f t="shared" si="26"/>
        <v>130.45780624466829</v>
      </c>
      <c r="F77" s="6">
        <f t="shared" si="26"/>
        <v>1097.0315525119834</v>
      </c>
      <c r="G77" s="6">
        <f t="shared" si="26"/>
        <v>100.80830482542551</v>
      </c>
      <c r="H77" s="6">
        <v>0.4</v>
      </c>
      <c r="I77" s="6">
        <v>1.5</v>
      </c>
      <c r="J77" s="6">
        <v>1</v>
      </c>
      <c r="K77" s="26">
        <f t="shared" si="8"/>
        <v>1.0431490866146833</v>
      </c>
      <c r="L77" s="6">
        <f t="shared" si="20"/>
        <v>11415.058046408476</v>
      </c>
      <c r="M77" s="6">
        <f t="shared" si="21"/>
        <v>142940.36851510365</v>
      </c>
      <c r="N77" s="6">
        <f t="shared" si="22"/>
        <v>15121.245723813827</v>
      </c>
      <c r="O77" s="6">
        <f t="shared" si="23"/>
        <v>0.4</v>
      </c>
      <c r="P77" s="6">
        <f t="shared" si="24"/>
        <v>1.5</v>
      </c>
      <c r="Q77" s="6">
        <f t="shared" si="25"/>
        <v>1</v>
      </c>
      <c r="R77" s="6"/>
      <c r="S77" s="38">
        <v>60</v>
      </c>
      <c r="T77" s="6">
        <f>VLOOKUP($S$13,角色设定!$AB$9:$AJ$21,MATCH(E$17,角色设定!$AB$9:$AJ$9,0),0)*Z77*$L$15*E77/Y77/(1+W77*(X77-1))</f>
        <v>8338.9222741620342</v>
      </c>
      <c r="U77" s="6">
        <f>VLOOKUP($S$13,角色设定!$AB$9:$AJ$21,MATCH(F$17,角色设定!$AB$9:$AJ$9,0),0)*F77*$L$15/(1+V77/$N$16)</f>
        <v>177849.29703397438</v>
      </c>
      <c r="V77" s="6">
        <f>VLOOKUP($S$13,角色设定!$AB$9:$AJ$21,MATCH(V$17,角色设定!$AB$9:$AJ$9,0),0)*G77*$L$15</f>
        <v>66711.378193296288</v>
      </c>
      <c r="W77" s="6">
        <f>VLOOKUP($S$13,角色设定!$AB$9:$AJ$21,MATCH(W$17,角色设定!$AB$9:$AJ$9,0),0)*H77</f>
        <v>0.4</v>
      </c>
      <c r="X77" s="6">
        <f>VLOOKUP($S$13,角色设定!$AB$9:$AJ$21,MATCH(X$17,角色设定!$AB$9:$AJ$9,0),0)*I77</f>
        <v>1.5</v>
      </c>
      <c r="Y77" s="6">
        <f>VLOOKUP($S$13,角色设定!$AB$9:$AJ$21,MATCH(Y$17,角色设定!$AB$9:$AJ$9,0),0)*J77</f>
        <v>0.9</v>
      </c>
      <c r="Z77" s="6">
        <f>VLOOKUP($S$13,角色设定!$AB$9:$AJ$21,MATCH(Z$17,角色设定!$AB$9:$AJ$9,0),0)</f>
        <v>0.75</v>
      </c>
      <c r="AA77" s="6"/>
      <c r="AB77" s="6"/>
      <c r="AC77" s="6">
        <f>T77*战斗公式!$E$39*(1+W77*(X77-1))*Y77</f>
        <v>225150.90140237493</v>
      </c>
      <c r="AD77" s="6">
        <f>U77*战斗公式!$E$41*(1+V77*战斗公式!$E$40)</f>
        <v>296495.01419242792</v>
      </c>
      <c r="AE77" s="22">
        <f t="shared" si="12"/>
        <v>521645.91559480282</v>
      </c>
      <c r="AF77" s="22">
        <f t="shared" si="16"/>
        <v>24840.281694990583</v>
      </c>
      <c r="AG77" s="22"/>
      <c r="AH77" s="9">
        <f t="shared" si="13"/>
        <v>2334.8982367653698</v>
      </c>
      <c r="AI77" s="9">
        <f t="shared" si="14"/>
        <v>49797.80316951283</v>
      </c>
      <c r="AJ77" s="9">
        <f t="shared" si="15"/>
        <v>18679.185894122962</v>
      </c>
      <c r="AK77" s="9">
        <f t="shared" si="17"/>
        <v>111.18563032216025</v>
      </c>
      <c r="AL77" s="9">
        <f t="shared" si="18"/>
        <v>1450.0437796689075</v>
      </c>
      <c r="AM77" s="9">
        <f t="shared" si="19"/>
        <v>889.48504257728564</v>
      </c>
    </row>
    <row r="78" spans="4:39" ht="14.25" customHeight="1" x14ac:dyDescent="0.2">
      <c r="D78" s="1">
        <v>61</v>
      </c>
      <c r="E78" s="6">
        <f t="shared" si="26"/>
        <v>136.98069655690171</v>
      </c>
      <c r="F78" s="6">
        <f t="shared" si="26"/>
        <v>1151.8831301375824</v>
      </c>
      <c r="G78" s="6">
        <f t="shared" si="26"/>
        <v>105.84872006669677</v>
      </c>
      <c r="H78" s="6">
        <v>0.4</v>
      </c>
      <c r="I78" s="6">
        <v>1.5</v>
      </c>
      <c r="J78" s="6">
        <v>1</v>
      </c>
      <c r="K78" s="26">
        <f t="shared" si="8"/>
        <v>1.04285548738254</v>
      </c>
      <c r="L78" s="6">
        <f t="shared" si="20"/>
        <v>11985.810948728898</v>
      </c>
      <c r="M78" s="6">
        <f t="shared" si="21"/>
        <v>149108.1148568966</v>
      </c>
      <c r="N78" s="6">
        <f t="shared" si="22"/>
        <v>15877.308010004515</v>
      </c>
      <c r="O78" s="6">
        <f t="shared" si="23"/>
        <v>0.4</v>
      </c>
      <c r="P78" s="6">
        <f t="shared" si="24"/>
        <v>1.5</v>
      </c>
      <c r="Q78" s="6">
        <f t="shared" si="25"/>
        <v>1</v>
      </c>
      <c r="R78" s="6"/>
      <c r="S78" s="38">
        <v>61</v>
      </c>
      <c r="T78" s="6">
        <f>VLOOKUP($S$13,角色设定!$AB$9:$AJ$21,MATCH(E$17,角色设定!$AB$9:$AJ$9,0),0)*Z78*$L$15*E78/Y78/(1+W78*(X78-1))</f>
        <v>8755.8683878701377</v>
      </c>
      <c r="U78" s="6">
        <f>VLOOKUP($S$13,角色设定!$AB$9:$AJ$21,MATCH(F$17,角色设定!$AB$9:$AJ$9,0),0)*F78*$L$15/(1+V78/$N$16)</f>
        <v>183078.71455848572</v>
      </c>
      <c r="V78" s="6">
        <f>VLOOKUP($S$13,角色设定!$AB$9:$AJ$21,MATCH(V$17,角色设定!$AB$9:$AJ$9,0),0)*G78*$L$15</f>
        <v>70046.947102961087</v>
      </c>
      <c r="W78" s="6">
        <f>VLOOKUP($S$13,角色设定!$AB$9:$AJ$21,MATCH(W$17,角色设定!$AB$9:$AJ$9,0),0)*H78</f>
        <v>0.4</v>
      </c>
      <c r="X78" s="6">
        <f>VLOOKUP($S$13,角色设定!$AB$9:$AJ$21,MATCH(X$17,角色设定!$AB$9:$AJ$9,0),0)*I78</f>
        <v>1.5</v>
      </c>
      <c r="Y78" s="6">
        <f>VLOOKUP($S$13,角色设定!$AB$9:$AJ$21,MATCH(Y$17,角色设定!$AB$9:$AJ$9,0),0)*J78</f>
        <v>0.9</v>
      </c>
      <c r="Z78" s="6">
        <f>VLOOKUP($S$13,角色设定!$AB$9:$AJ$21,MATCH(Z$17,角色设定!$AB$9:$AJ$9,0),0)</f>
        <v>0.75</v>
      </c>
      <c r="AA78" s="6"/>
      <c r="AB78" s="6"/>
      <c r="AC78" s="6">
        <f>T78*战斗公式!$E$39*(1+W78*(X78-1))*Y78</f>
        <v>236408.44647249373</v>
      </c>
      <c r="AD78" s="6">
        <f>U78*战斗公式!$E$41*(1+V78*战斗公式!$E$40)</f>
        <v>311319.76490204933</v>
      </c>
      <c r="AE78" s="22">
        <f t="shared" si="12"/>
        <v>547728.21137454303</v>
      </c>
      <c r="AF78" s="22">
        <f t="shared" si="16"/>
        <v>26082.295779740205</v>
      </c>
      <c r="AG78" s="22"/>
      <c r="AH78" s="9">
        <f t="shared" si="13"/>
        <v>2451.6431486036386</v>
      </c>
      <c r="AI78" s="9">
        <f t="shared" si="14"/>
        <v>51262.040076376004</v>
      </c>
      <c r="AJ78" s="9">
        <f t="shared" si="15"/>
        <v>19613.145188829105</v>
      </c>
      <c r="AK78" s="9">
        <f t="shared" si="17"/>
        <v>116.74491183826876</v>
      </c>
      <c r="AL78" s="9">
        <f t="shared" si="18"/>
        <v>1464.2369068631742</v>
      </c>
      <c r="AM78" s="9">
        <f t="shared" si="19"/>
        <v>933.95929470614283</v>
      </c>
    </row>
    <row r="79" spans="4:39" ht="14.25" customHeight="1" x14ac:dyDescent="0.2">
      <c r="D79" s="1">
        <v>62</v>
      </c>
      <c r="E79" s="6">
        <f t="shared" si="26"/>
        <v>143.82973138474682</v>
      </c>
      <c r="F79" s="6">
        <f t="shared" si="26"/>
        <v>1209.4772866444619</v>
      </c>
      <c r="G79" s="6">
        <f t="shared" si="26"/>
        <v>111.14115607003164</v>
      </c>
      <c r="H79" s="6">
        <v>0.4</v>
      </c>
      <c r="I79" s="6">
        <v>1.5</v>
      </c>
      <c r="J79" s="6">
        <v>1</v>
      </c>
      <c r="K79" s="26">
        <f t="shared" si="8"/>
        <v>1.042551477812417</v>
      </c>
      <c r="L79" s="6">
        <f t="shared" si="20"/>
        <v>12585.101496165349</v>
      </c>
      <c r="M79" s="6">
        <f t="shared" si="21"/>
        <v>155498.21579178065</v>
      </c>
      <c r="N79" s="6">
        <f t="shared" si="22"/>
        <v>16671.173410504747</v>
      </c>
      <c r="O79" s="6">
        <f t="shared" si="23"/>
        <v>0.4</v>
      </c>
      <c r="P79" s="6">
        <f t="shared" si="24"/>
        <v>1.5</v>
      </c>
      <c r="Q79" s="6">
        <f t="shared" si="25"/>
        <v>1</v>
      </c>
      <c r="R79" s="6"/>
      <c r="S79" s="38">
        <v>62</v>
      </c>
      <c r="T79" s="6">
        <f>VLOOKUP($S$13,角色设定!$AB$9:$AJ$21,MATCH(E$17,角色设定!$AB$9:$AJ$9,0),0)*Z79*$L$15*E79/Y79/(1+W79*(X79-1))</f>
        <v>9193.6618072636447</v>
      </c>
      <c r="U79" s="6">
        <f>VLOOKUP($S$13,角色设定!$AB$9:$AJ$21,MATCH(F$17,角色设定!$AB$9:$AJ$9,0),0)*F79*$L$15/(1+V79/$N$16)</f>
        <v>188353.25961296525</v>
      </c>
      <c r="V79" s="6">
        <f>VLOOKUP($S$13,角色设定!$AB$9:$AJ$21,MATCH(V$17,角色设定!$AB$9:$AJ$9,0),0)*G79*$L$15</f>
        <v>73549.294458109158</v>
      </c>
      <c r="W79" s="6">
        <f>VLOOKUP($S$13,角色设定!$AB$9:$AJ$21,MATCH(W$17,角色设定!$AB$9:$AJ$9,0),0)*H79</f>
        <v>0.4</v>
      </c>
      <c r="X79" s="6">
        <f>VLOOKUP($S$13,角色设定!$AB$9:$AJ$21,MATCH(X$17,角色设定!$AB$9:$AJ$9,0),0)*I79</f>
        <v>1.5</v>
      </c>
      <c r="Y79" s="6">
        <f>VLOOKUP($S$13,角色设定!$AB$9:$AJ$21,MATCH(Y$17,角色设定!$AB$9:$AJ$9,0),0)*J79</f>
        <v>0.9</v>
      </c>
      <c r="Z79" s="6">
        <f>VLOOKUP($S$13,角色设定!$AB$9:$AJ$21,MATCH(Z$17,角色设定!$AB$9:$AJ$9,0),0)</f>
        <v>0.75</v>
      </c>
      <c r="AA79" s="6"/>
      <c r="AB79" s="6"/>
      <c r="AC79" s="6">
        <f>T79*战斗公式!$E$39*(1+W79*(X79-1))*Y79</f>
        <v>248228.86879611842</v>
      </c>
      <c r="AD79" s="6">
        <f>U79*战斗公式!$E$41*(1+V79*战斗公式!$E$40)</f>
        <v>326885.75314715185</v>
      </c>
      <c r="AE79" s="22">
        <f t="shared" si="12"/>
        <v>575114.62194327032</v>
      </c>
      <c r="AF79" s="22">
        <f t="shared" si="16"/>
        <v>27386.410568727297</v>
      </c>
      <c r="AG79" s="22"/>
      <c r="AH79" s="9">
        <f t="shared" si="13"/>
        <v>2574.2253060338207</v>
      </c>
      <c r="AI79" s="9">
        <f t="shared" si="14"/>
        <v>52738.912691630278</v>
      </c>
      <c r="AJ79" s="9">
        <f t="shared" si="15"/>
        <v>20593.802448270566</v>
      </c>
      <c r="AK79" s="9">
        <f t="shared" si="17"/>
        <v>122.58215743018218</v>
      </c>
      <c r="AL79" s="9">
        <f t="shared" si="18"/>
        <v>1476.8726152542731</v>
      </c>
      <c r="AM79" s="9">
        <f t="shared" si="19"/>
        <v>980.65725944146106</v>
      </c>
    </row>
    <row r="80" spans="4:39" ht="14.25" customHeight="1" x14ac:dyDescent="0.2">
      <c r="D80" s="1">
        <v>63</v>
      </c>
      <c r="E80" s="6">
        <f t="shared" si="26"/>
        <v>151.02121795398409</v>
      </c>
      <c r="F80" s="6">
        <f t="shared" si="26"/>
        <v>1269.9511509766844</v>
      </c>
      <c r="G80" s="6">
        <f t="shared" si="26"/>
        <v>116.69821387353318</v>
      </c>
      <c r="H80" s="6">
        <v>0.4</v>
      </c>
      <c r="I80" s="6">
        <v>1.5</v>
      </c>
      <c r="J80" s="6">
        <v>1</v>
      </c>
      <c r="K80" s="26">
        <f t="shared" si="8"/>
        <v>1.0422368755080618</v>
      </c>
      <c r="L80" s="6">
        <f t="shared" si="20"/>
        <v>13214.356570973607</v>
      </c>
      <c r="M80" s="6">
        <f t="shared" si="21"/>
        <v>162114.89467091503</v>
      </c>
      <c r="N80" s="6">
        <f t="shared" si="22"/>
        <v>17504.732081029975</v>
      </c>
      <c r="O80" s="6">
        <f t="shared" si="23"/>
        <v>0.4</v>
      </c>
      <c r="P80" s="6">
        <f t="shared" si="24"/>
        <v>1.5</v>
      </c>
      <c r="Q80" s="6">
        <f t="shared" si="25"/>
        <v>1</v>
      </c>
      <c r="R80" s="6"/>
      <c r="S80" s="38">
        <v>63</v>
      </c>
      <c r="T80" s="6">
        <f>VLOOKUP($S$13,角色设定!$AB$9:$AJ$21,MATCH(E$17,角色设定!$AB$9:$AJ$9,0),0)*Z80*$L$15*E80/Y80/(1+W80*(X80-1))</f>
        <v>9653.3448976268246</v>
      </c>
      <c r="U80" s="6">
        <f>VLOOKUP($S$13,角色设定!$AB$9:$AJ$21,MATCH(F$17,角色设定!$AB$9:$AJ$9,0),0)*F80*$L$15/(1+V80/$N$16)</f>
        <v>193667.16538214381</v>
      </c>
      <c r="V80" s="6">
        <f>VLOOKUP($S$13,角色设定!$AB$9:$AJ$21,MATCH(V$17,角色设定!$AB$9:$AJ$9,0),0)*G80*$L$15</f>
        <v>77226.759181014597</v>
      </c>
      <c r="W80" s="6">
        <f>VLOOKUP($S$13,角色设定!$AB$9:$AJ$21,MATCH(W$17,角色设定!$AB$9:$AJ$9,0),0)*H80</f>
        <v>0.4</v>
      </c>
      <c r="X80" s="6">
        <f>VLOOKUP($S$13,角色设定!$AB$9:$AJ$21,MATCH(X$17,角色设定!$AB$9:$AJ$9,0),0)*I80</f>
        <v>1.5</v>
      </c>
      <c r="Y80" s="6">
        <f>VLOOKUP($S$13,角色设定!$AB$9:$AJ$21,MATCH(Y$17,角色设定!$AB$9:$AJ$9,0),0)*J80</f>
        <v>0.9</v>
      </c>
      <c r="Z80" s="6">
        <f>VLOOKUP($S$13,角色设定!$AB$9:$AJ$21,MATCH(Z$17,角色设定!$AB$9:$AJ$9,0),0)</f>
        <v>0.75</v>
      </c>
      <c r="AA80" s="6"/>
      <c r="AB80" s="6"/>
      <c r="AC80" s="6">
        <f>T80*战斗公式!$E$39*(1+W80*(X80-1))*Y80</f>
        <v>260640.31223592424</v>
      </c>
      <c r="AD80" s="6">
        <f>U80*战斗公式!$E$41*(1+V80*战斗公式!$E$40)</f>
        <v>343230.04080450931</v>
      </c>
      <c r="AE80" s="22">
        <f t="shared" si="12"/>
        <v>603870.35304043349</v>
      </c>
      <c r="AF80" s="22">
        <f t="shared" si="16"/>
        <v>28755.731097163167</v>
      </c>
      <c r="AG80" s="22"/>
      <c r="AH80" s="9">
        <f t="shared" si="13"/>
        <v>2702.936571335511</v>
      </c>
      <c r="AI80" s="9">
        <f t="shared" si="14"/>
        <v>54226.806307000268</v>
      </c>
      <c r="AJ80" s="9">
        <f t="shared" si="15"/>
        <v>21623.492570684088</v>
      </c>
      <c r="AK80" s="9">
        <f t="shared" si="17"/>
        <v>128.71126530169022</v>
      </c>
      <c r="AL80" s="9">
        <f t="shared" si="18"/>
        <v>1487.8936153699906</v>
      </c>
      <c r="AM80" s="9">
        <f t="shared" si="19"/>
        <v>1029.6901224135217</v>
      </c>
    </row>
    <row r="81" spans="4:39" ht="14.25" customHeight="1" x14ac:dyDescent="0.2">
      <c r="D81" s="1">
        <v>64</v>
      </c>
      <c r="E81" s="6">
        <f t="shared" si="26"/>
        <v>158.57227885168336</v>
      </c>
      <c r="F81" s="6">
        <f t="shared" si="26"/>
        <v>1333.4487085255191</v>
      </c>
      <c r="G81" s="6">
        <f t="shared" si="26"/>
        <v>122.53312456720988</v>
      </c>
      <c r="H81" s="6">
        <v>0.4</v>
      </c>
      <c r="I81" s="6">
        <v>1.5</v>
      </c>
      <c r="J81" s="6">
        <v>1</v>
      </c>
      <c r="K81" s="26">
        <f t="shared" si="8"/>
        <v>1.0419115112287476</v>
      </c>
      <c r="L81" s="6">
        <f t="shared" si="20"/>
        <v>13875.074399522295</v>
      </c>
      <c r="M81" s="6">
        <f t="shared" si="21"/>
        <v>168962.12129513302</v>
      </c>
      <c r="N81" s="6">
        <f t="shared" si="22"/>
        <v>18379.968685081483</v>
      </c>
      <c r="O81" s="6">
        <f t="shared" si="23"/>
        <v>0.4</v>
      </c>
      <c r="P81" s="6">
        <f t="shared" si="24"/>
        <v>1.5</v>
      </c>
      <c r="Q81" s="6">
        <f t="shared" si="25"/>
        <v>1</v>
      </c>
      <c r="R81" s="6"/>
      <c r="S81" s="38">
        <v>64</v>
      </c>
      <c r="T81" s="6">
        <f>VLOOKUP($S$13,角色设定!$AB$9:$AJ$21,MATCH(E$17,角色设定!$AB$9:$AJ$9,0),0)*Z81*$L$15*E81/Y81/(1+W81*(X81-1))</f>
        <v>10136.012142508169</v>
      </c>
      <c r="U81" s="6">
        <f>VLOOKUP($S$13,角色设定!$AB$9:$AJ$21,MATCH(F$17,角色设定!$AB$9:$AJ$9,0),0)*F81*$L$15/(1+V81/$N$16)</f>
        <v>199014.48440644034</v>
      </c>
      <c r="V81" s="6">
        <f>VLOOKUP($S$13,角色设定!$AB$9:$AJ$21,MATCH(V$17,角色设定!$AB$9:$AJ$9,0),0)*G81*$L$15</f>
        <v>81088.097140065351</v>
      </c>
      <c r="W81" s="6">
        <f>VLOOKUP($S$13,角色设定!$AB$9:$AJ$21,MATCH(W$17,角色设定!$AB$9:$AJ$9,0),0)*H81</f>
        <v>0.4</v>
      </c>
      <c r="X81" s="6">
        <f>VLOOKUP($S$13,角色设定!$AB$9:$AJ$21,MATCH(X$17,角色设定!$AB$9:$AJ$9,0),0)*I81</f>
        <v>1.5</v>
      </c>
      <c r="Y81" s="6">
        <f>VLOOKUP($S$13,角色设定!$AB$9:$AJ$21,MATCH(Y$17,角色设定!$AB$9:$AJ$9,0),0)*J81</f>
        <v>0.9</v>
      </c>
      <c r="Z81" s="6">
        <f>VLOOKUP($S$13,角色设定!$AB$9:$AJ$21,MATCH(Z$17,角色设定!$AB$9:$AJ$9,0),0)</f>
        <v>0.75</v>
      </c>
      <c r="AA81" s="6"/>
      <c r="AB81" s="6"/>
      <c r="AC81" s="6">
        <f>T81*战斗公式!$E$39*(1+W81*(X81-1))*Y81</f>
        <v>273672.32784772053</v>
      </c>
      <c r="AD81" s="6">
        <f>U81*战斗公式!$E$41*(1+V81*战斗公式!$E$40)</f>
        <v>360391.54284473497</v>
      </c>
      <c r="AE81" s="22">
        <f t="shared" si="12"/>
        <v>634063.87069245544</v>
      </c>
      <c r="AF81" s="22">
        <f t="shared" si="16"/>
        <v>30193.517652021954</v>
      </c>
      <c r="AG81" s="22"/>
      <c r="AH81" s="9">
        <f t="shared" si="13"/>
        <v>2838.0833999022875</v>
      </c>
      <c r="AI81" s="9">
        <f t="shared" si="14"/>
        <v>55724.055633803298</v>
      </c>
      <c r="AJ81" s="9">
        <f t="shared" si="15"/>
        <v>22704.6671992183</v>
      </c>
      <c r="AK81" s="9">
        <f t="shared" si="17"/>
        <v>135.14682856677655</v>
      </c>
      <c r="AL81" s="9">
        <f t="shared" si="18"/>
        <v>1497.2493268030303</v>
      </c>
      <c r="AM81" s="9">
        <f t="shared" si="19"/>
        <v>1081.1746285342124</v>
      </c>
    </row>
    <row r="82" spans="4:39" ht="14.25" customHeight="1" x14ac:dyDescent="0.2">
      <c r="D82" s="1">
        <v>65</v>
      </c>
      <c r="E82" s="6">
        <f t="shared" si="26"/>
        <v>166.50089279426751</v>
      </c>
      <c r="F82" s="6">
        <f t="shared" si="26"/>
        <v>1400.1211439517951</v>
      </c>
      <c r="G82" s="6">
        <f t="shared" si="26"/>
        <v>128.65978079557036</v>
      </c>
      <c r="H82" s="6">
        <v>0.4</v>
      </c>
      <c r="I82" s="6">
        <v>1.5</v>
      </c>
      <c r="J82" s="6">
        <v>1</v>
      </c>
      <c r="K82" s="26">
        <f t="shared" si="8"/>
        <v>1.0415752304441379</v>
      </c>
      <c r="L82" s="6">
        <f t="shared" ref="L82:L117" si="27">E82*$L$16/J82/(1+H82*(I82-1))*$L$15</f>
        <v>14568.828119498407</v>
      </c>
      <c r="M82" s="6">
        <f t="shared" ref="M82:M113" si="28">F82/(1+N82/$N$16)*$L$15</f>
        <v>176043.57913902699</v>
      </c>
      <c r="N82" s="6">
        <f t="shared" ref="N82:N117" si="29">G82*$L$15</f>
        <v>19298.967119335553</v>
      </c>
      <c r="O82" s="6">
        <f t="shared" ref="O82:O94" si="30">H82</f>
        <v>0.4</v>
      </c>
      <c r="P82" s="6">
        <f t="shared" ref="P82:P94" si="31">I82</f>
        <v>1.5</v>
      </c>
      <c r="Q82" s="6">
        <f t="shared" ref="Q82:Q94" si="32">J82</f>
        <v>1</v>
      </c>
      <c r="R82" s="6"/>
      <c r="S82" s="38">
        <v>65</v>
      </c>
      <c r="T82" s="6">
        <f>VLOOKUP($S$13,角色设定!$AB$9:$AJ$21,MATCH(E$17,角色设定!$AB$9:$AJ$9,0),0)*Z82*$L$15*E82/Y82/(1+W82*(X82-1))</f>
        <v>10642.812749633576</v>
      </c>
      <c r="U82" s="6">
        <f>VLOOKUP($S$13,角色设定!$AB$9:$AJ$21,MATCH(F$17,角色设定!$AB$9:$AJ$9,0),0)*F82*$L$15/(1+V82/$N$16)</f>
        <v>204389.11427963912</v>
      </c>
      <c r="V82" s="6">
        <f>VLOOKUP($S$13,角色设定!$AB$9:$AJ$21,MATCH(V$17,角色设定!$AB$9:$AJ$9,0),0)*G82*$L$15</f>
        <v>85142.501997068612</v>
      </c>
      <c r="W82" s="6">
        <f>VLOOKUP($S$13,角色设定!$AB$9:$AJ$21,MATCH(W$17,角色设定!$AB$9:$AJ$9,0),0)*H82</f>
        <v>0.4</v>
      </c>
      <c r="X82" s="6">
        <f>VLOOKUP($S$13,角色设定!$AB$9:$AJ$21,MATCH(X$17,角色设定!$AB$9:$AJ$9,0),0)*I82</f>
        <v>1.5</v>
      </c>
      <c r="Y82" s="6">
        <f>VLOOKUP($S$13,角色设定!$AB$9:$AJ$21,MATCH(Y$17,角色设定!$AB$9:$AJ$9,0),0)*J82</f>
        <v>0.9</v>
      </c>
      <c r="Z82" s="6">
        <f>VLOOKUP($S$13,角色设定!$AB$9:$AJ$21,MATCH(Z$17,角色设定!$AB$9:$AJ$9,0),0)</f>
        <v>0.75</v>
      </c>
      <c r="AA82" s="6"/>
      <c r="AB82" s="6"/>
      <c r="AC82" s="6">
        <f>T82*战斗公式!$E$39*(1+W82*(X82-1))*Y82</f>
        <v>287355.94424010662</v>
      </c>
      <c r="AD82" s="6">
        <f>U82*战斗公式!$E$41*(1+V82*战斗公式!$E$40)</f>
        <v>378411.11998697172</v>
      </c>
      <c r="AE82" s="22">
        <f t="shared" si="12"/>
        <v>665767.06422707834</v>
      </c>
      <c r="AF82" s="22">
        <f t="shared" si="16"/>
        <v>31703.1935346229</v>
      </c>
      <c r="AG82" s="22"/>
      <c r="AH82" s="9">
        <f t="shared" si="13"/>
        <v>2979.9875698974015</v>
      </c>
      <c r="AI82" s="9">
        <f t="shared" si="14"/>
        <v>57228.951998298959</v>
      </c>
      <c r="AJ82" s="9">
        <f t="shared" si="15"/>
        <v>23839.900559179212</v>
      </c>
      <c r="AK82" s="9">
        <f t="shared" si="17"/>
        <v>141.90416999511399</v>
      </c>
      <c r="AL82" s="9">
        <f t="shared" si="18"/>
        <v>1504.8963644956602</v>
      </c>
      <c r="AM82" s="9">
        <f t="shared" si="19"/>
        <v>1135.2333599609119</v>
      </c>
    </row>
    <row r="83" spans="4:39" ht="14.25" customHeight="1" x14ac:dyDescent="0.2">
      <c r="D83" s="1">
        <v>66</v>
      </c>
      <c r="E83" s="6">
        <f t="shared" ref="E83:G117" si="33">E$15*E$16^($D83-1)</f>
        <v>174.82593743398093</v>
      </c>
      <c r="F83" s="6">
        <f t="shared" si="33"/>
        <v>1470.127201149385</v>
      </c>
      <c r="G83" s="6">
        <f t="shared" si="33"/>
        <v>135.09276983534889</v>
      </c>
      <c r="H83" s="6">
        <v>0.4</v>
      </c>
      <c r="I83" s="6">
        <v>1.5</v>
      </c>
      <c r="J83" s="6">
        <v>1</v>
      </c>
      <c r="K83" s="26">
        <f t="shared" ref="K83:K115" si="34">M84/M83</f>
        <v>1.0412278949300784</v>
      </c>
      <c r="L83" s="6">
        <f t="shared" si="27"/>
        <v>15297.26952547333</v>
      </c>
      <c r="M83" s="6">
        <f t="shared" si="28"/>
        <v>183362.63150994285</v>
      </c>
      <c r="N83" s="6">
        <f t="shared" si="29"/>
        <v>20263.915475302332</v>
      </c>
      <c r="O83" s="6">
        <f t="shared" si="30"/>
        <v>0.4</v>
      </c>
      <c r="P83" s="6">
        <f t="shared" si="31"/>
        <v>1.5</v>
      </c>
      <c r="Q83" s="6">
        <f t="shared" si="32"/>
        <v>1</v>
      </c>
      <c r="R83" s="6"/>
      <c r="S83" s="38">
        <v>66</v>
      </c>
      <c r="T83" s="6">
        <f>VLOOKUP($S$13,角色设定!$AB$9:$AJ$21,MATCH(E$17,角色设定!$AB$9:$AJ$9,0),0)*Z83*$L$15*E83/Y83/(1+W83*(X83-1))</f>
        <v>11174.953387115258</v>
      </c>
      <c r="U83" s="6">
        <f>VLOOKUP($S$13,角色设定!$AB$9:$AJ$21,MATCH(F$17,角色设定!$AB$9:$AJ$9,0),0)*F83*$L$15/(1+V83/$N$16)</f>
        <v>209784.82485765009</v>
      </c>
      <c r="V83" s="6">
        <f>VLOOKUP($S$13,角色设定!$AB$9:$AJ$21,MATCH(V$17,角色设定!$AB$9:$AJ$9,0),0)*G83*$L$15</f>
        <v>89399.62709692205</v>
      </c>
      <c r="W83" s="6">
        <f>VLOOKUP($S$13,角色设定!$AB$9:$AJ$21,MATCH(W$17,角色设定!$AB$9:$AJ$9,0),0)*H83</f>
        <v>0.4</v>
      </c>
      <c r="X83" s="6">
        <f>VLOOKUP($S$13,角色设定!$AB$9:$AJ$21,MATCH(X$17,角色设定!$AB$9:$AJ$9,0),0)*I83</f>
        <v>1.5</v>
      </c>
      <c r="Y83" s="6">
        <f>VLOOKUP($S$13,角色设定!$AB$9:$AJ$21,MATCH(Y$17,角色设定!$AB$9:$AJ$9,0),0)*J83</f>
        <v>0.9</v>
      </c>
      <c r="Z83" s="6">
        <f>VLOOKUP($S$13,角色设定!$AB$9:$AJ$21,MATCH(Z$17,角色设定!$AB$9:$AJ$9,0),0)</f>
        <v>0.75</v>
      </c>
      <c r="AA83" s="6"/>
      <c r="AB83" s="6"/>
      <c r="AC83" s="6">
        <f>T83*战斗公式!$E$39*(1+W83*(X83-1))*Y83</f>
        <v>301723.74145211198</v>
      </c>
      <c r="AD83" s="6">
        <f>U83*战斗公式!$E$41*(1+V83*战斗公式!$E$40)</f>
        <v>397331.6759863203</v>
      </c>
      <c r="AE83" s="22">
        <f t="shared" ref="AE83:AE117" si="35">AC83+AD83</f>
        <v>699055.41743843234</v>
      </c>
      <c r="AF83" s="22">
        <f t="shared" si="16"/>
        <v>33288.353211353999</v>
      </c>
      <c r="AG83" s="22"/>
      <c r="AH83" s="9">
        <f t="shared" ref="AH83:AH117" si="36">T83*$F$5</f>
        <v>3128.9869483922726</v>
      </c>
      <c r="AI83" s="9">
        <f t="shared" ref="AI83:AI117" si="37">U83*$F$5</f>
        <v>58739.750960142032</v>
      </c>
      <c r="AJ83" s="9">
        <f t="shared" ref="AJ83:AJ117" si="38">V83*$F$5</f>
        <v>25031.895587138177</v>
      </c>
      <c r="AK83" s="9">
        <f t="shared" si="17"/>
        <v>148.99937849487105</v>
      </c>
      <c r="AL83" s="9">
        <f t="shared" si="18"/>
        <v>1510.7989618430729</v>
      </c>
      <c r="AM83" s="9">
        <f t="shared" si="19"/>
        <v>1191.9950279589648</v>
      </c>
    </row>
    <row r="84" spans="4:39" ht="14.25" customHeight="1" x14ac:dyDescent="0.2">
      <c r="D84" s="1">
        <v>67</v>
      </c>
      <c r="E84" s="6">
        <f t="shared" si="33"/>
        <v>183.56723430567996</v>
      </c>
      <c r="F84" s="6">
        <f t="shared" si="33"/>
        <v>1543.6335612068542</v>
      </c>
      <c r="G84" s="6">
        <f t="shared" si="33"/>
        <v>141.84740832711634</v>
      </c>
      <c r="H84" s="6">
        <v>0.4</v>
      </c>
      <c r="I84" s="6">
        <v>1.5</v>
      </c>
      <c r="J84" s="6">
        <v>1</v>
      </c>
      <c r="K84" s="26">
        <f t="shared" si="34"/>
        <v>1.040869384396014</v>
      </c>
      <c r="L84" s="6">
        <f t="shared" si="27"/>
        <v>16062.133001746997</v>
      </c>
      <c r="M84" s="6">
        <f t="shared" si="28"/>
        <v>190922.28681593746</v>
      </c>
      <c r="N84" s="6">
        <f t="shared" si="29"/>
        <v>21277.11124906745</v>
      </c>
      <c r="O84" s="6">
        <f t="shared" si="30"/>
        <v>0.4</v>
      </c>
      <c r="P84" s="6">
        <f t="shared" si="31"/>
        <v>1.5</v>
      </c>
      <c r="Q84" s="6">
        <f t="shared" si="32"/>
        <v>1</v>
      </c>
      <c r="R84" s="6"/>
      <c r="S84" s="38">
        <v>67</v>
      </c>
      <c r="T84" s="6">
        <f>VLOOKUP($S$13,角色设定!$AB$9:$AJ$21,MATCH(E$17,角色设定!$AB$9:$AJ$9,0),0)*Z84*$L$15*E84/Y84/(1+W84*(X84-1))</f>
        <v>11733.70105647102</v>
      </c>
      <c r="U84" s="6">
        <f>VLOOKUP($S$13,角色设定!$AB$9:$AJ$21,MATCH(F$17,角色设定!$AB$9:$AJ$9,0),0)*F84*$L$15/(1+V84/$N$16)</f>
        <v>215195.286727692</v>
      </c>
      <c r="V84" s="6">
        <f>VLOOKUP($S$13,角色设定!$AB$9:$AJ$21,MATCH(V$17,角色设定!$AB$9:$AJ$9,0),0)*G84*$L$15</f>
        <v>93869.608451768159</v>
      </c>
      <c r="W84" s="6">
        <f>VLOOKUP($S$13,角色设定!$AB$9:$AJ$21,MATCH(W$17,角色设定!$AB$9:$AJ$9,0),0)*H84</f>
        <v>0.4</v>
      </c>
      <c r="X84" s="6">
        <f>VLOOKUP($S$13,角色设定!$AB$9:$AJ$21,MATCH(X$17,角色设定!$AB$9:$AJ$9,0),0)*I84</f>
        <v>1.5</v>
      </c>
      <c r="Y84" s="6">
        <f>VLOOKUP($S$13,角色设定!$AB$9:$AJ$21,MATCH(Y$17,角色设定!$AB$9:$AJ$9,0),0)*J84</f>
        <v>0.9</v>
      </c>
      <c r="Z84" s="6">
        <f>VLOOKUP($S$13,角色设定!$AB$9:$AJ$21,MATCH(Z$17,角色设定!$AB$9:$AJ$9,0),0)</f>
        <v>0.75</v>
      </c>
      <c r="AA84" s="6"/>
      <c r="AB84" s="6"/>
      <c r="AC84" s="6">
        <f>T84*战斗公式!$E$39*(1+W84*(X84-1))*Y84</f>
        <v>316809.92852471751</v>
      </c>
      <c r="AD84" s="6">
        <f>U84*战斗公式!$E$41*(1+V84*战斗公式!$E$40)</f>
        <v>417198.25978563633</v>
      </c>
      <c r="AE84" s="22">
        <f t="shared" si="35"/>
        <v>734008.18831035378</v>
      </c>
      <c r="AF84" s="22">
        <f t="shared" ref="AF84:AF117" si="39">AE84-AE83</f>
        <v>34952.770871921442</v>
      </c>
      <c r="AG84" s="22"/>
      <c r="AH84" s="9">
        <f t="shared" si="36"/>
        <v>3285.4362958118859</v>
      </c>
      <c r="AI84" s="9">
        <f t="shared" si="37"/>
        <v>60254.680283753769</v>
      </c>
      <c r="AJ84" s="9">
        <f t="shared" si="38"/>
        <v>26283.490366495087</v>
      </c>
      <c r="AK84" s="9">
        <f t="shared" ref="AK84:AK118" si="40">AH84-AH83</f>
        <v>156.44934741961333</v>
      </c>
      <c r="AL84" s="9">
        <f t="shared" ref="AL84:AL118" si="41">AI84-AI83</f>
        <v>1514.9293236117373</v>
      </c>
      <c r="AM84" s="9">
        <f t="shared" ref="AM84:AM118" si="42">AJ84-AJ83</f>
        <v>1251.5947793569103</v>
      </c>
    </row>
    <row r="85" spans="4:39" ht="14.25" customHeight="1" x14ac:dyDescent="0.2">
      <c r="D85" s="1">
        <v>68</v>
      </c>
      <c r="E85" s="6">
        <f t="shared" si="33"/>
        <v>192.74559602096397</v>
      </c>
      <c r="F85" s="6">
        <f t="shared" si="33"/>
        <v>1620.8152392671971</v>
      </c>
      <c r="G85" s="6">
        <f t="shared" si="33"/>
        <v>148.93977874347217</v>
      </c>
      <c r="H85" s="6">
        <v>0.4</v>
      </c>
      <c r="I85" s="6">
        <v>1.5</v>
      </c>
      <c r="J85" s="6">
        <v>1</v>
      </c>
      <c r="K85" s="26">
        <f t="shared" si="34"/>
        <v>1.0404995981333418</v>
      </c>
      <c r="L85" s="6">
        <f t="shared" si="27"/>
        <v>16865.239651834348</v>
      </c>
      <c r="M85" s="6">
        <f t="shared" si="28"/>
        <v>198725.16314558403</v>
      </c>
      <c r="N85" s="6">
        <f t="shared" si="29"/>
        <v>22340.966811520826</v>
      </c>
      <c r="O85" s="6">
        <f t="shared" si="30"/>
        <v>0.4</v>
      </c>
      <c r="P85" s="6">
        <f t="shared" si="31"/>
        <v>1.5</v>
      </c>
      <c r="Q85" s="6">
        <f t="shared" si="32"/>
        <v>1</v>
      </c>
      <c r="R85" s="6"/>
      <c r="S85" s="38">
        <v>68</v>
      </c>
      <c r="T85" s="6">
        <f>VLOOKUP($S$13,角色设定!$AB$9:$AJ$21,MATCH(E$17,角色设定!$AB$9:$AJ$9,0),0)*Z85*$L$15*E85/Y85/(1+W85*(X85-1))</f>
        <v>12320.386109294572</v>
      </c>
      <c r="U85" s="6">
        <f>VLOOKUP($S$13,角色设定!$AB$9:$AJ$21,MATCH(F$17,角色设定!$AB$9:$AJ$9,0),0)*F85*$L$15/(1+V85/$N$16)</f>
        <v>220614.10066606352</v>
      </c>
      <c r="V85" s="6">
        <f>VLOOKUP($S$13,角色设定!$AB$9:$AJ$21,MATCH(V$17,角色设定!$AB$9:$AJ$9,0),0)*G85*$L$15</f>
        <v>98563.088874356559</v>
      </c>
      <c r="W85" s="6">
        <f>VLOOKUP($S$13,角色设定!$AB$9:$AJ$21,MATCH(W$17,角色设定!$AB$9:$AJ$9,0),0)*H85</f>
        <v>0.4</v>
      </c>
      <c r="X85" s="6">
        <f>VLOOKUP($S$13,角色设定!$AB$9:$AJ$21,MATCH(X$17,角色设定!$AB$9:$AJ$9,0),0)*I85</f>
        <v>1.5</v>
      </c>
      <c r="Y85" s="6">
        <f>VLOOKUP($S$13,角色设定!$AB$9:$AJ$21,MATCH(Y$17,角色设定!$AB$9:$AJ$9,0),0)*J85</f>
        <v>0.9</v>
      </c>
      <c r="Z85" s="6">
        <f>VLOOKUP($S$13,角色设定!$AB$9:$AJ$21,MATCH(Z$17,角色设定!$AB$9:$AJ$9,0),0)</f>
        <v>0.75</v>
      </c>
      <c r="AA85" s="6"/>
      <c r="AB85" s="6"/>
      <c r="AC85" s="6">
        <f>T85*战斗公式!$E$39*(1+W85*(X85-1))*Y85</f>
        <v>332650.42495095346</v>
      </c>
      <c r="AD85" s="6">
        <f>U85*战斗公式!$E$41*(1+V85*战斗公式!$E$40)</f>
        <v>438058.17277491814</v>
      </c>
      <c r="AE85" s="22">
        <f t="shared" si="35"/>
        <v>770708.5977258716</v>
      </c>
      <c r="AF85" s="22">
        <f t="shared" si="39"/>
        <v>36700.409415517817</v>
      </c>
      <c r="AG85" s="22"/>
      <c r="AH85" s="9">
        <f t="shared" si="36"/>
        <v>3449.7081106024802</v>
      </c>
      <c r="AI85" s="9">
        <f t="shared" si="37"/>
        <v>61771.948186497793</v>
      </c>
      <c r="AJ85" s="9">
        <f t="shared" si="38"/>
        <v>27597.664884819838</v>
      </c>
      <c r="AK85" s="9">
        <f t="shared" si="40"/>
        <v>164.27181479059436</v>
      </c>
      <c r="AL85" s="9">
        <f t="shared" si="41"/>
        <v>1517.2679027440245</v>
      </c>
      <c r="AM85" s="9">
        <f t="shared" si="42"/>
        <v>1314.1745183247513</v>
      </c>
    </row>
    <row r="86" spans="4:39" ht="14.25" customHeight="1" x14ac:dyDescent="0.2">
      <c r="D86" s="1">
        <v>69</v>
      </c>
      <c r="E86" s="6">
        <f t="shared" si="33"/>
        <v>202.38287582201215</v>
      </c>
      <c r="F86" s="6">
        <f t="shared" si="33"/>
        <v>1701.8560012305566</v>
      </c>
      <c r="G86" s="6">
        <f t="shared" si="33"/>
        <v>156.38676768064576</v>
      </c>
      <c r="H86" s="6">
        <v>0.4</v>
      </c>
      <c r="I86" s="6">
        <v>1.5</v>
      </c>
      <c r="J86" s="6">
        <v>1</v>
      </c>
      <c r="K86" s="26">
        <f t="shared" si="34"/>
        <v>1.040118456672682</v>
      </c>
      <c r="L86" s="6">
        <f t="shared" si="27"/>
        <v>17708.501634426066</v>
      </c>
      <c r="M86" s="6">
        <f t="shared" si="28"/>
        <v>206773.45239196299</v>
      </c>
      <c r="N86" s="6">
        <f t="shared" si="29"/>
        <v>23458.015152096865</v>
      </c>
      <c r="O86" s="6">
        <f t="shared" si="30"/>
        <v>0.4</v>
      </c>
      <c r="P86" s="6">
        <f t="shared" si="31"/>
        <v>1.5</v>
      </c>
      <c r="Q86" s="6">
        <f t="shared" si="32"/>
        <v>1</v>
      </c>
      <c r="R86" s="6"/>
      <c r="S86" s="38">
        <v>69</v>
      </c>
      <c r="T86" s="6">
        <f>VLOOKUP($S$13,角色设定!$AB$9:$AJ$21,MATCH(E$17,角色设定!$AB$9:$AJ$9,0),0)*Z86*$L$15*E86/Y86/(1+W86*(X86-1))</f>
        <v>12936.4054147593</v>
      </c>
      <c r="U86" s="6">
        <f>VLOOKUP($S$13,角色设定!$AB$9:$AJ$21,MATCH(F$17,角色设定!$AB$9:$AJ$9,0),0)*F86*$L$15/(1+V86/$N$16)</f>
        <v>226034.82779585998</v>
      </c>
      <c r="V86" s="6">
        <f>VLOOKUP($S$13,角色设定!$AB$9:$AJ$21,MATCH(V$17,角色设定!$AB$9:$AJ$9,0),0)*G86*$L$15</f>
        <v>103491.2433180744</v>
      </c>
      <c r="W86" s="6">
        <f>VLOOKUP($S$13,角色设定!$AB$9:$AJ$21,MATCH(W$17,角色设定!$AB$9:$AJ$9,0),0)*H86</f>
        <v>0.4</v>
      </c>
      <c r="X86" s="6">
        <f>VLOOKUP($S$13,角色设定!$AB$9:$AJ$21,MATCH(X$17,角色设定!$AB$9:$AJ$9,0),0)*I86</f>
        <v>1.5</v>
      </c>
      <c r="Y86" s="6">
        <f>VLOOKUP($S$13,角色设定!$AB$9:$AJ$21,MATCH(Y$17,角色设定!$AB$9:$AJ$9,0),0)*J86</f>
        <v>0.9</v>
      </c>
      <c r="Z86" s="6">
        <f>VLOOKUP($S$13,角色设定!$AB$9:$AJ$21,MATCH(Z$17,角色设定!$AB$9:$AJ$9,0),0)</f>
        <v>0.75</v>
      </c>
      <c r="AA86" s="6"/>
      <c r="AB86" s="6"/>
      <c r="AC86" s="6">
        <f>T86*战斗公式!$E$39*(1+W86*(X86-1))*Y86</f>
        <v>349282.9461985011</v>
      </c>
      <c r="AD86" s="6">
        <f>U86*战斗公式!$E$41*(1+V86*战斗公式!$E$40)</f>
        <v>459961.08141366392</v>
      </c>
      <c r="AE86" s="22">
        <f t="shared" si="35"/>
        <v>809244.02761216508</v>
      </c>
      <c r="AF86" s="22">
        <f t="shared" si="39"/>
        <v>38535.429886293481</v>
      </c>
      <c r="AG86" s="22"/>
      <c r="AH86" s="9">
        <f t="shared" si="36"/>
        <v>3622.1935161326041</v>
      </c>
      <c r="AI86" s="9">
        <f t="shared" si="37"/>
        <v>63289.751782840802</v>
      </c>
      <c r="AJ86" s="9">
        <f t="shared" si="38"/>
        <v>28977.548129060833</v>
      </c>
      <c r="AK86" s="9">
        <f t="shared" si="40"/>
        <v>172.4854055301239</v>
      </c>
      <c r="AL86" s="9">
        <f t="shared" si="41"/>
        <v>1517.8035963430084</v>
      </c>
      <c r="AM86" s="9">
        <f t="shared" si="42"/>
        <v>1379.8832442409948</v>
      </c>
    </row>
    <row r="87" spans="4:39" ht="14.25" customHeight="1" x14ac:dyDescent="0.2">
      <c r="D87" s="1">
        <v>70</v>
      </c>
      <c r="E87" s="6">
        <f t="shared" si="33"/>
        <v>212.50201961311276</v>
      </c>
      <c r="F87" s="6">
        <f t="shared" si="33"/>
        <v>1786.9488012920845</v>
      </c>
      <c r="G87" s="6">
        <f t="shared" si="33"/>
        <v>164.20610606467807</v>
      </c>
      <c r="H87" s="6">
        <v>0.4</v>
      </c>
      <c r="I87" s="6">
        <v>1.5</v>
      </c>
      <c r="J87" s="6">
        <v>1</v>
      </c>
      <c r="K87" s="26">
        <f t="shared" si="34"/>
        <v>1.0397259034366553</v>
      </c>
      <c r="L87" s="6">
        <f t="shared" si="27"/>
        <v>18593.926716147365</v>
      </c>
      <c r="M87" s="6">
        <f t="shared" si="28"/>
        <v>215068.88418281081</v>
      </c>
      <c r="N87" s="6">
        <f t="shared" si="29"/>
        <v>24630.915909701711</v>
      </c>
      <c r="O87" s="6">
        <f t="shared" si="30"/>
        <v>0.4</v>
      </c>
      <c r="P87" s="6">
        <f t="shared" si="31"/>
        <v>1.5</v>
      </c>
      <c r="Q87" s="6">
        <f t="shared" si="32"/>
        <v>1</v>
      </c>
      <c r="R87" s="6"/>
      <c r="S87" s="38">
        <v>70</v>
      </c>
      <c r="T87" s="6">
        <f>VLOOKUP($S$13,角色设定!$AB$9:$AJ$21,MATCH(E$17,角色设定!$AB$9:$AJ$9,0),0)*Z87*$L$15*E87/Y87/(1+W87*(X87-1))</f>
        <v>13583.225685497264</v>
      </c>
      <c r="U87" s="6">
        <f>VLOOKUP($S$13,角色设定!$AB$9:$AJ$21,MATCH(F$17,角色设定!$AB$9:$AJ$9,0),0)*F87*$L$15/(1+V87/$N$16)</f>
        <v>231451.02014399285</v>
      </c>
      <c r="V87" s="6">
        <f>VLOOKUP($S$13,角色设定!$AB$9:$AJ$21,MATCH(V$17,角色设定!$AB$9:$AJ$9,0),0)*G87*$L$15</f>
        <v>108665.80548397813</v>
      </c>
      <c r="W87" s="6">
        <f>VLOOKUP($S$13,角色设定!$AB$9:$AJ$21,MATCH(W$17,角色设定!$AB$9:$AJ$9,0),0)*H87</f>
        <v>0.4</v>
      </c>
      <c r="X87" s="6">
        <f>VLOOKUP($S$13,角色设定!$AB$9:$AJ$21,MATCH(X$17,角色设定!$AB$9:$AJ$9,0),0)*I87</f>
        <v>1.5</v>
      </c>
      <c r="Y87" s="6">
        <f>VLOOKUP($S$13,角色设定!$AB$9:$AJ$21,MATCH(Y$17,角色设定!$AB$9:$AJ$9,0),0)*J87</f>
        <v>0.9</v>
      </c>
      <c r="Z87" s="6">
        <f>VLOOKUP($S$13,角色设定!$AB$9:$AJ$21,MATCH(Z$17,角色设定!$AB$9:$AJ$9,0),0)</f>
        <v>0.75</v>
      </c>
      <c r="AA87" s="6"/>
      <c r="AB87" s="6"/>
      <c r="AC87" s="6">
        <f>T87*战斗公式!$E$39*(1+W87*(X87-1))*Y87</f>
        <v>366747.0935084261</v>
      </c>
      <c r="AD87" s="6">
        <f>U87*战斗公式!$E$41*(1+V87*战斗公式!$E$40)</f>
        <v>482959.13548434718</v>
      </c>
      <c r="AE87" s="22">
        <f t="shared" si="35"/>
        <v>849706.22899277322</v>
      </c>
      <c r="AF87" s="22">
        <f t="shared" si="39"/>
        <v>40462.201380608138</v>
      </c>
      <c r="AG87" s="22"/>
      <c r="AH87" s="9">
        <f t="shared" si="36"/>
        <v>3803.3031919392342</v>
      </c>
      <c r="AI87" s="9">
        <f t="shared" si="37"/>
        <v>64806.285640318005</v>
      </c>
      <c r="AJ87" s="9">
        <f t="shared" si="38"/>
        <v>30426.425535513878</v>
      </c>
      <c r="AK87" s="9">
        <f t="shared" si="40"/>
        <v>181.10967580663009</v>
      </c>
      <c r="AL87" s="9">
        <f t="shared" si="41"/>
        <v>1516.5338574772031</v>
      </c>
      <c r="AM87" s="9">
        <f t="shared" si="42"/>
        <v>1448.8774064530444</v>
      </c>
    </row>
    <row r="88" spans="4:39" ht="14.25" customHeight="1" x14ac:dyDescent="0.2">
      <c r="D88" s="1">
        <v>71</v>
      </c>
      <c r="E88" s="6">
        <f t="shared" si="33"/>
        <v>223.12712059376838</v>
      </c>
      <c r="F88" s="6">
        <f t="shared" si="33"/>
        <v>1876.2962413566886</v>
      </c>
      <c r="G88" s="6">
        <f t="shared" si="33"/>
        <v>172.41641136791193</v>
      </c>
      <c r="H88" s="6">
        <v>0.4</v>
      </c>
      <c r="I88" s="6">
        <v>1.5</v>
      </c>
      <c r="J88" s="6">
        <v>1</v>
      </c>
      <c r="K88" s="26">
        <f t="shared" si="34"/>
        <v>1.0393219063735195</v>
      </c>
      <c r="L88" s="6">
        <f t="shared" si="27"/>
        <v>19523.623051954732</v>
      </c>
      <c r="M88" s="6">
        <f t="shared" si="28"/>
        <v>223612.68990808635</v>
      </c>
      <c r="N88" s="6">
        <f t="shared" si="29"/>
        <v>25862.46170518679</v>
      </c>
      <c r="O88" s="6">
        <f t="shared" si="30"/>
        <v>0.4</v>
      </c>
      <c r="P88" s="6">
        <f t="shared" si="31"/>
        <v>1.5</v>
      </c>
      <c r="Q88" s="6">
        <f t="shared" si="32"/>
        <v>1</v>
      </c>
      <c r="R88" s="6"/>
      <c r="S88" s="38">
        <v>71</v>
      </c>
      <c r="T88" s="6">
        <f>VLOOKUP($S$13,角色设定!$AB$9:$AJ$21,MATCH(E$17,角色设定!$AB$9:$AJ$9,0),0)*Z88*$L$15*E88/Y88/(1+W88*(X88-1))</f>
        <v>14262.386969772127</v>
      </c>
      <c r="U88" s="6">
        <f>VLOOKUP($S$13,角色设定!$AB$9:$AJ$21,MATCH(F$17,角色设定!$AB$9:$AJ$9,0),0)*F88*$L$15/(1+V88/$N$16)</f>
        <v>236856.25128998089</v>
      </c>
      <c r="V88" s="6">
        <f>VLOOKUP($S$13,角色设定!$AB$9:$AJ$21,MATCH(V$17,角色设定!$AB$9:$AJ$9,0),0)*G88*$L$15</f>
        <v>114099.09575817701</v>
      </c>
      <c r="W88" s="6">
        <f>VLOOKUP($S$13,角色设定!$AB$9:$AJ$21,MATCH(W$17,角色设定!$AB$9:$AJ$9,0),0)*H88</f>
        <v>0.4</v>
      </c>
      <c r="X88" s="6">
        <f>VLOOKUP($S$13,角色设定!$AB$9:$AJ$21,MATCH(X$17,角色设定!$AB$9:$AJ$9,0),0)*I88</f>
        <v>1.5</v>
      </c>
      <c r="Y88" s="6">
        <f>VLOOKUP($S$13,角色设定!$AB$9:$AJ$21,MATCH(Y$17,角色设定!$AB$9:$AJ$9,0),0)*J88</f>
        <v>0.9</v>
      </c>
      <c r="Z88" s="6">
        <f>VLOOKUP($S$13,角色设定!$AB$9:$AJ$21,MATCH(Z$17,角色设定!$AB$9:$AJ$9,0),0)</f>
        <v>0.75</v>
      </c>
      <c r="AA88" s="6"/>
      <c r="AB88" s="6"/>
      <c r="AC88" s="6">
        <f>T88*战斗公式!$E$39*(1+W88*(X88-1))*Y88</f>
        <v>385084.44818384742</v>
      </c>
      <c r="AD88" s="6">
        <f>U88*战斗公式!$E$41*(1+V88*战斗公式!$E$40)</f>
        <v>507107.09225856449</v>
      </c>
      <c r="AE88" s="22">
        <f t="shared" si="35"/>
        <v>892191.5404424119</v>
      </c>
      <c r="AF88" s="22">
        <f t="shared" si="39"/>
        <v>42485.311449638684</v>
      </c>
      <c r="AG88" s="22"/>
      <c r="AH88" s="9">
        <f t="shared" si="36"/>
        <v>3993.4683515361962</v>
      </c>
      <c r="AI88" s="9">
        <f t="shared" si="37"/>
        <v>66319.750361194659</v>
      </c>
      <c r="AJ88" s="9">
        <f t="shared" si="38"/>
        <v>31947.746812289566</v>
      </c>
      <c r="AK88" s="9">
        <f t="shared" si="40"/>
        <v>190.16515959696198</v>
      </c>
      <c r="AL88" s="9">
        <f t="shared" si="41"/>
        <v>1513.4647208766546</v>
      </c>
      <c r="AM88" s="9">
        <f t="shared" si="42"/>
        <v>1521.3212767756886</v>
      </c>
    </row>
    <row r="89" spans="4:39" ht="14.25" customHeight="1" x14ac:dyDescent="0.2">
      <c r="D89" s="1">
        <v>72</v>
      </c>
      <c r="E89" s="6">
        <f t="shared" si="33"/>
        <v>234.28347662345683</v>
      </c>
      <c r="F89" s="6">
        <f t="shared" si="33"/>
        <v>1970.1110534245233</v>
      </c>
      <c r="G89" s="6">
        <f t="shared" si="33"/>
        <v>181.03723193630756</v>
      </c>
      <c r="H89" s="6">
        <v>0.4</v>
      </c>
      <c r="I89" s="6">
        <v>1.5</v>
      </c>
      <c r="J89" s="6">
        <v>1</v>
      </c>
      <c r="K89" s="26">
        <f t="shared" si="34"/>
        <v>1.0389064595557083</v>
      </c>
      <c r="L89" s="6">
        <f t="shared" si="27"/>
        <v>20499.804204552474</v>
      </c>
      <c r="M89" s="6">
        <f t="shared" si="28"/>
        <v>232405.56716458296</v>
      </c>
      <c r="N89" s="6">
        <f t="shared" si="29"/>
        <v>27155.584790446133</v>
      </c>
      <c r="O89" s="6">
        <f t="shared" si="30"/>
        <v>0.4</v>
      </c>
      <c r="P89" s="6">
        <f t="shared" si="31"/>
        <v>1.5</v>
      </c>
      <c r="Q89" s="6">
        <f t="shared" si="32"/>
        <v>1</v>
      </c>
      <c r="R89" s="6"/>
      <c r="S89" s="38">
        <v>72</v>
      </c>
      <c r="T89" s="6">
        <f>VLOOKUP($S$13,角色设定!$AB$9:$AJ$21,MATCH(E$17,角色设定!$AB$9:$AJ$9,0),0)*Z89*$L$15*E89/Y89/(1+W89*(X89-1))</f>
        <v>14975.506318260735</v>
      </c>
      <c r="U89" s="6">
        <f>VLOOKUP($S$13,角色设定!$AB$9:$AJ$21,MATCH(F$17,角色设定!$AB$9:$AJ$9,0),0)*F89*$L$15/(1+V89/$N$16)</f>
        <v>242244.14679740055</v>
      </c>
      <c r="V89" s="6">
        <f>VLOOKUP($S$13,角色设定!$AB$9:$AJ$21,MATCH(V$17,角色设定!$AB$9:$AJ$9,0),0)*G89*$L$15</f>
        <v>119804.05054608587</v>
      </c>
      <c r="W89" s="6">
        <f>VLOOKUP($S$13,角色设定!$AB$9:$AJ$21,MATCH(W$17,角色设定!$AB$9:$AJ$9,0),0)*H89</f>
        <v>0.4</v>
      </c>
      <c r="X89" s="6">
        <f>VLOOKUP($S$13,角色设定!$AB$9:$AJ$21,MATCH(X$17,角色设定!$AB$9:$AJ$9,0),0)*I89</f>
        <v>1.5</v>
      </c>
      <c r="Y89" s="6">
        <f>VLOOKUP($S$13,角色设定!$AB$9:$AJ$21,MATCH(Y$17,角色设定!$AB$9:$AJ$9,0),0)*J89</f>
        <v>0.9</v>
      </c>
      <c r="Z89" s="6">
        <f>VLOOKUP($S$13,角色设定!$AB$9:$AJ$21,MATCH(Z$17,角色设定!$AB$9:$AJ$9,0),0)</f>
        <v>0.75</v>
      </c>
      <c r="AA89" s="6"/>
      <c r="AB89" s="6"/>
      <c r="AC89" s="6">
        <f>T89*战斗公式!$E$39*(1+W89*(X89-1))*Y89</f>
        <v>404338.67059303983</v>
      </c>
      <c r="AD89" s="6">
        <f>U89*战斗公式!$E$41*(1+V89*战斗公式!$E$40)</f>
        <v>532462.44687149278</v>
      </c>
      <c r="AE89" s="22">
        <f t="shared" si="35"/>
        <v>936801.11746453261</v>
      </c>
      <c r="AF89" s="22">
        <f t="shared" si="39"/>
        <v>44609.577022120706</v>
      </c>
      <c r="AG89" s="22"/>
      <c r="AH89" s="9">
        <f t="shared" si="36"/>
        <v>4193.1417691130064</v>
      </c>
      <c r="AI89" s="9">
        <f t="shared" si="37"/>
        <v>67828.361103272167</v>
      </c>
      <c r="AJ89" s="9">
        <f t="shared" si="38"/>
        <v>33545.134152904044</v>
      </c>
      <c r="AK89" s="9">
        <f t="shared" si="40"/>
        <v>199.67341757681015</v>
      </c>
      <c r="AL89" s="9">
        <f t="shared" si="41"/>
        <v>1508.6107420775079</v>
      </c>
      <c r="AM89" s="9">
        <f t="shared" si="42"/>
        <v>1597.3873406144776</v>
      </c>
    </row>
    <row r="90" spans="4:39" ht="14.25" customHeight="1" x14ac:dyDescent="0.2">
      <c r="D90" s="1">
        <v>73</v>
      </c>
      <c r="E90" s="6">
        <f t="shared" si="33"/>
        <v>245.99765045462968</v>
      </c>
      <c r="F90" s="6">
        <f t="shared" si="33"/>
        <v>2068.6166060957494</v>
      </c>
      <c r="G90" s="6">
        <f t="shared" si="33"/>
        <v>190.08909353312293</v>
      </c>
      <c r="H90" s="6">
        <v>0.4</v>
      </c>
      <c r="I90" s="6">
        <v>1.5</v>
      </c>
      <c r="J90" s="6">
        <v>1</v>
      </c>
      <c r="K90" s="26">
        <f t="shared" si="34"/>
        <v>1.038479584726268</v>
      </c>
      <c r="L90" s="6">
        <f t="shared" si="27"/>
        <v>21524.794414780099</v>
      </c>
      <c r="M90" s="6">
        <f t="shared" si="28"/>
        <v>241447.64496399325</v>
      </c>
      <c r="N90" s="6">
        <f t="shared" si="29"/>
        <v>28513.364029968441</v>
      </c>
      <c r="O90" s="6">
        <f t="shared" si="30"/>
        <v>0.4</v>
      </c>
      <c r="P90" s="6">
        <f t="shared" si="31"/>
        <v>1.5</v>
      </c>
      <c r="Q90" s="6">
        <f t="shared" si="32"/>
        <v>1</v>
      </c>
      <c r="R90" s="6"/>
      <c r="S90" s="38">
        <v>73</v>
      </c>
      <c r="T90" s="6">
        <f>VLOOKUP($S$13,角色设定!$AB$9:$AJ$21,MATCH(E$17,角色设定!$AB$9:$AJ$9,0),0)*Z90*$L$15*E90/Y90/(1+W90*(X90-1))</f>
        <v>15724.281634173771</v>
      </c>
      <c r="U90" s="6">
        <f>VLOOKUP($S$13,角色设定!$AB$9:$AJ$21,MATCH(F$17,角色设定!$AB$9:$AJ$9,0),0)*F90*$L$15/(1+V90/$N$16)</f>
        <v>247608.41412263367</v>
      </c>
      <c r="V90" s="6">
        <f>VLOOKUP($S$13,角色设定!$AB$9:$AJ$21,MATCH(V$17,角色设定!$AB$9:$AJ$9,0),0)*G90*$L$15</f>
        <v>125794.25307339017</v>
      </c>
      <c r="W90" s="6">
        <f>VLOOKUP($S$13,角色设定!$AB$9:$AJ$21,MATCH(W$17,角色设定!$AB$9:$AJ$9,0),0)*H90</f>
        <v>0.4</v>
      </c>
      <c r="X90" s="6">
        <f>VLOOKUP($S$13,角色设定!$AB$9:$AJ$21,MATCH(X$17,角色设定!$AB$9:$AJ$9,0),0)*I90</f>
        <v>1.5</v>
      </c>
      <c r="Y90" s="6">
        <f>VLOOKUP($S$13,角色设定!$AB$9:$AJ$21,MATCH(Y$17,角色设定!$AB$9:$AJ$9,0),0)*J90</f>
        <v>0.9</v>
      </c>
      <c r="Z90" s="6">
        <f>VLOOKUP($S$13,角色设定!$AB$9:$AJ$21,MATCH(Z$17,角色设定!$AB$9:$AJ$9,0),0)</f>
        <v>0.75</v>
      </c>
      <c r="AA90" s="6"/>
      <c r="AB90" s="6"/>
      <c r="AC90" s="6">
        <f>T90*战斗公式!$E$39*(1+W90*(X90-1))*Y90</f>
        <v>424555.60412269179</v>
      </c>
      <c r="AD90" s="6">
        <f>U90*战斗公式!$E$41*(1+V90*战斗公式!$E$40)</f>
        <v>559085.56921506755</v>
      </c>
      <c r="AE90" s="22">
        <f t="shared" si="35"/>
        <v>983641.17333775933</v>
      </c>
      <c r="AF90" s="22">
        <f t="shared" si="39"/>
        <v>46840.055873226724</v>
      </c>
      <c r="AG90" s="22"/>
      <c r="AH90" s="9">
        <f t="shared" si="36"/>
        <v>4402.7988575686559</v>
      </c>
      <c r="AI90" s="9">
        <f t="shared" si="37"/>
        <v>69330.355954337429</v>
      </c>
      <c r="AJ90" s="9">
        <f t="shared" si="38"/>
        <v>35222.390860549247</v>
      </c>
      <c r="AK90" s="9">
        <f t="shared" si="40"/>
        <v>209.6570884556495</v>
      </c>
      <c r="AL90" s="9">
        <f t="shared" si="41"/>
        <v>1501.9948510652612</v>
      </c>
      <c r="AM90" s="9">
        <f t="shared" si="42"/>
        <v>1677.2567076452033</v>
      </c>
    </row>
    <row r="91" spans="4:39" ht="14.25" customHeight="1" x14ac:dyDescent="0.2">
      <c r="D91" s="1">
        <v>74</v>
      </c>
      <c r="E91" s="6">
        <f t="shared" si="33"/>
        <v>258.29753297736113</v>
      </c>
      <c r="F91" s="6">
        <f t="shared" si="33"/>
        <v>2172.0474364005368</v>
      </c>
      <c r="G91" s="6">
        <f t="shared" si="33"/>
        <v>199.59354820977907</v>
      </c>
      <c r="H91" s="6">
        <v>0.4</v>
      </c>
      <c r="I91" s="6">
        <v>1.5</v>
      </c>
      <c r="J91" s="6">
        <v>1</v>
      </c>
      <c r="K91" s="26">
        <f t="shared" si="34"/>
        <v>1.0380413327751321</v>
      </c>
      <c r="L91" s="6">
        <f t="shared" si="27"/>
        <v>22601.034135519098</v>
      </c>
      <c r="M91" s="6">
        <f t="shared" si="28"/>
        <v>250738.45007534311</v>
      </c>
      <c r="N91" s="6">
        <f t="shared" si="29"/>
        <v>29939.032231466859</v>
      </c>
      <c r="O91" s="6">
        <f t="shared" si="30"/>
        <v>0.4</v>
      </c>
      <c r="P91" s="6">
        <f t="shared" si="31"/>
        <v>1.5</v>
      </c>
      <c r="Q91" s="6">
        <f t="shared" si="32"/>
        <v>1</v>
      </c>
      <c r="R91" s="6"/>
      <c r="S91" s="38">
        <v>74</v>
      </c>
      <c r="T91" s="6">
        <f>VLOOKUP($S$13,角色设定!$AB$9:$AJ$21,MATCH(E$17,角色设定!$AB$9:$AJ$9,0),0)*Z91*$L$15*E91/Y91/(1+W91*(X91-1))</f>
        <v>16510.495715882458</v>
      </c>
      <c r="U91" s="6">
        <f>VLOOKUP($S$13,角色设定!$AB$9:$AJ$21,MATCH(F$17,角色设定!$AB$9:$AJ$9,0),0)*F91*$L$15/(1+V91/$N$16)</f>
        <v>252942.87170454679</v>
      </c>
      <c r="V91" s="6">
        <f>VLOOKUP($S$13,角色设定!$AB$9:$AJ$21,MATCH(V$17,角色设定!$AB$9:$AJ$9,0),0)*G91*$L$15</f>
        <v>132083.96572705967</v>
      </c>
      <c r="W91" s="6">
        <f>VLOOKUP($S$13,角色设定!$AB$9:$AJ$21,MATCH(W$17,角色设定!$AB$9:$AJ$9,0),0)*H91</f>
        <v>0.4</v>
      </c>
      <c r="X91" s="6">
        <f>VLOOKUP($S$13,角色设定!$AB$9:$AJ$21,MATCH(X$17,角色设定!$AB$9:$AJ$9,0),0)*I91</f>
        <v>1.5</v>
      </c>
      <c r="Y91" s="6">
        <f>VLOOKUP($S$13,角色设定!$AB$9:$AJ$21,MATCH(Y$17,角色设定!$AB$9:$AJ$9,0),0)*J91</f>
        <v>0.9</v>
      </c>
      <c r="Z91" s="6">
        <f>VLOOKUP($S$13,角色设定!$AB$9:$AJ$21,MATCH(Z$17,角色设定!$AB$9:$AJ$9,0),0)</f>
        <v>0.75</v>
      </c>
      <c r="AA91" s="6"/>
      <c r="AB91" s="6"/>
      <c r="AC91" s="6">
        <f>T91*战斗公式!$E$39*(1+W91*(X91-1))*Y91</f>
        <v>445783.38432882639</v>
      </c>
      <c r="AD91" s="6">
        <f>U91*战斗公式!$E$41*(1+V91*战斗公式!$E$40)</f>
        <v>587039.84767582081</v>
      </c>
      <c r="AE91" s="22">
        <f t="shared" si="35"/>
        <v>1032823.2320046471</v>
      </c>
      <c r="AF91" s="22">
        <f t="shared" si="39"/>
        <v>49182.05866688781</v>
      </c>
      <c r="AG91" s="22"/>
      <c r="AH91" s="9">
        <f t="shared" si="36"/>
        <v>4622.9388004470884</v>
      </c>
      <c r="AI91" s="9">
        <f t="shared" si="37"/>
        <v>70824.004077273115</v>
      </c>
      <c r="AJ91" s="9">
        <f t="shared" si="38"/>
        <v>36983.510403576707</v>
      </c>
      <c r="AK91" s="9">
        <f t="shared" si="40"/>
        <v>220.13994287843252</v>
      </c>
      <c r="AL91" s="9">
        <f t="shared" si="41"/>
        <v>1493.6481229356868</v>
      </c>
      <c r="AM91" s="9">
        <f t="shared" si="42"/>
        <v>1761.1195430274602</v>
      </c>
    </row>
    <row r="92" spans="4:39" ht="14.25" customHeight="1" x14ac:dyDescent="0.2">
      <c r="D92" s="1">
        <v>75</v>
      </c>
      <c r="E92" s="6">
        <f t="shared" si="33"/>
        <v>271.2124096262292</v>
      </c>
      <c r="F92" s="6">
        <f t="shared" si="33"/>
        <v>2280.6498082205635</v>
      </c>
      <c r="G92" s="6">
        <f t="shared" si="33"/>
        <v>209.57322562026803</v>
      </c>
      <c r="H92" s="6">
        <v>0.4</v>
      </c>
      <c r="I92" s="6">
        <v>1.5</v>
      </c>
      <c r="J92" s="6">
        <v>1</v>
      </c>
      <c r="K92" s="26">
        <f t="shared" si="34"/>
        <v>1.0375917851264167</v>
      </c>
      <c r="L92" s="6">
        <f t="shared" si="27"/>
        <v>23731.085842295059</v>
      </c>
      <c r="M92" s="6">
        <f t="shared" si="28"/>
        <v>260276.8748941801</v>
      </c>
      <c r="N92" s="6">
        <f t="shared" si="29"/>
        <v>31435.983843040205</v>
      </c>
      <c r="O92" s="6">
        <f t="shared" si="30"/>
        <v>0.4</v>
      </c>
      <c r="P92" s="6">
        <f t="shared" si="31"/>
        <v>1.5</v>
      </c>
      <c r="Q92" s="6">
        <f t="shared" si="32"/>
        <v>1</v>
      </c>
      <c r="R92" s="6"/>
      <c r="S92" s="38">
        <v>75</v>
      </c>
      <c r="T92" s="6">
        <f>VLOOKUP($S$13,角色设定!$AB$9:$AJ$21,MATCH(E$17,角色设定!$AB$9:$AJ$9,0),0)*Z92*$L$15*E92/Y92/(1+W92*(X92-1))</f>
        <v>17336.020501676583</v>
      </c>
      <c r="U92" s="6">
        <f>VLOOKUP($S$13,角色设定!$AB$9:$AJ$21,MATCH(F$17,角色设定!$AB$9:$AJ$9,0),0)*F92*$L$15/(1+V92/$N$16)</f>
        <v>258241.47695273851</v>
      </c>
      <c r="V92" s="6">
        <f>VLOOKUP($S$13,角色设定!$AB$9:$AJ$21,MATCH(V$17,角色设定!$AB$9:$AJ$9,0),0)*G92*$L$15</f>
        <v>138688.16401341264</v>
      </c>
      <c r="W92" s="6">
        <f>VLOOKUP($S$13,角色设定!$AB$9:$AJ$21,MATCH(W$17,角色设定!$AB$9:$AJ$9,0),0)*H92</f>
        <v>0.4</v>
      </c>
      <c r="X92" s="6">
        <f>VLOOKUP($S$13,角色设定!$AB$9:$AJ$21,MATCH(X$17,角色设定!$AB$9:$AJ$9,0),0)*I92</f>
        <v>1.5</v>
      </c>
      <c r="Y92" s="6">
        <f>VLOOKUP($S$13,角色设定!$AB$9:$AJ$21,MATCH(Y$17,角色设定!$AB$9:$AJ$9,0),0)*J92</f>
        <v>0.9</v>
      </c>
      <c r="Z92" s="6">
        <f>VLOOKUP($S$13,角色设定!$AB$9:$AJ$21,MATCH(Z$17,角色设定!$AB$9:$AJ$9,0),0)</f>
        <v>0.75</v>
      </c>
      <c r="AA92" s="6"/>
      <c r="AB92" s="6"/>
      <c r="AC92" s="6">
        <f>T92*战斗公式!$E$39*(1+W92*(X92-1))*Y92</f>
        <v>468072.55354526773</v>
      </c>
      <c r="AD92" s="6">
        <f>U92*战斗公式!$E$41*(1+V92*战斗公式!$E$40)</f>
        <v>616391.84005961171</v>
      </c>
      <c r="AE92" s="22">
        <f t="shared" si="35"/>
        <v>1084464.3936048795</v>
      </c>
      <c r="AF92" s="22">
        <f t="shared" si="39"/>
        <v>51641.161600232357</v>
      </c>
      <c r="AG92" s="22"/>
      <c r="AH92" s="9">
        <f t="shared" si="36"/>
        <v>4854.0857404694434</v>
      </c>
      <c r="AI92" s="9">
        <f t="shared" si="37"/>
        <v>72307.613546766792</v>
      </c>
      <c r="AJ92" s="9">
        <f t="shared" si="38"/>
        <v>38832.68592375554</v>
      </c>
      <c r="AK92" s="9">
        <f t="shared" si="40"/>
        <v>231.14694002235501</v>
      </c>
      <c r="AL92" s="9">
        <f t="shared" si="41"/>
        <v>1483.6094694936764</v>
      </c>
      <c r="AM92" s="9">
        <f t="shared" si="42"/>
        <v>1849.1755201788328</v>
      </c>
    </row>
    <row r="93" spans="4:39" ht="14.25" customHeight="1" x14ac:dyDescent="0.2">
      <c r="D93" s="1">
        <v>76</v>
      </c>
      <c r="E93" s="6">
        <f t="shared" si="33"/>
        <v>284.77303010754065</v>
      </c>
      <c r="F93" s="6">
        <f t="shared" si="33"/>
        <v>2394.6822986315919</v>
      </c>
      <c r="G93" s="6">
        <f t="shared" si="33"/>
        <v>220.05188690128145</v>
      </c>
      <c r="H93" s="6">
        <v>0.4</v>
      </c>
      <c r="I93" s="6">
        <v>1.5</v>
      </c>
      <c r="J93" s="6">
        <v>1</v>
      </c>
      <c r="K93" s="26">
        <f t="shared" si="34"/>
        <v>1.0371310550172794</v>
      </c>
      <c r="L93" s="6">
        <f t="shared" si="27"/>
        <v>24917.640134409805</v>
      </c>
      <c r="M93" s="6">
        <f t="shared" si="28"/>
        <v>270061.14724857738</v>
      </c>
      <c r="N93" s="6">
        <f t="shared" si="29"/>
        <v>33007.783035192217</v>
      </c>
      <c r="O93" s="6">
        <f t="shared" si="30"/>
        <v>0.4</v>
      </c>
      <c r="P93" s="6">
        <f t="shared" si="31"/>
        <v>1.5</v>
      </c>
      <c r="Q93" s="6">
        <f t="shared" si="32"/>
        <v>1</v>
      </c>
      <c r="R93" s="6"/>
      <c r="S93" s="38">
        <v>76</v>
      </c>
      <c r="T93" s="6">
        <f>VLOOKUP($S$13,角色设定!$AB$9:$AJ$21,MATCH(E$17,角色设定!$AB$9:$AJ$9,0),0)*Z93*$L$15*E93/Y93/(1+W93*(X93-1))</f>
        <v>18202.82152676041</v>
      </c>
      <c r="U93" s="6">
        <f>VLOOKUP($S$13,角色设定!$AB$9:$AJ$21,MATCH(F$17,角色设定!$AB$9:$AJ$9,0),0)*F93*$L$15/(1+V93/$N$16)</f>
        <v>263498.35287063377</v>
      </c>
      <c r="V93" s="6">
        <f>VLOOKUP($S$13,角色设定!$AB$9:$AJ$21,MATCH(V$17,角色设定!$AB$9:$AJ$9,0),0)*G93*$L$15</f>
        <v>145622.57221408328</v>
      </c>
      <c r="W93" s="6">
        <f>VLOOKUP($S$13,角色设定!$AB$9:$AJ$21,MATCH(W$17,角色设定!$AB$9:$AJ$9,0),0)*H93</f>
        <v>0.4</v>
      </c>
      <c r="X93" s="6">
        <f>VLOOKUP($S$13,角色设定!$AB$9:$AJ$21,MATCH(X$17,角色设定!$AB$9:$AJ$9,0),0)*I93</f>
        <v>1.5</v>
      </c>
      <c r="Y93" s="6">
        <f>VLOOKUP($S$13,角色设定!$AB$9:$AJ$21,MATCH(Y$17,角色设定!$AB$9:$AJ$9,0),0)*J93</f>
        <v>0.9</v>
      </c>
      <c r="Z93" s="6">
        <f>VLOOKUP($S$13,角色设定!$AB$9:$AJ$21,MATCH(Z$17,角色设定!$AB$9:$AJ$9,0),0)</f>
        <v>0.75</v>
      </c>
      <c r="AA93" s="6"/>
      <c r="AB93" s="6"/>
      <c r="AC93" s="6">
        <f>T93*战斗公式!$E$39*(1+W93*(X93-1))*Y93</f>
        <v>491476.18122253107</v>
      </c>
      <c r="AD93" s="6">
        <f>U93*战斗公式!$E$41*(1+V93*战斗公式!$E$40)</f>
        <v>647211.43206259247</v>
      </c>
      <c r="AE93" s="22">
        <f t="shared" si="35"/>
        <v>1138687.6132851236</v>
      </c>
      <c r="AF93" s="22">
        <f t="shared" si="39"/>
        <v>54223.219680244103</v>
      </c>
      <c r="AG93" s="22"/>
      <c r="AH93" s="9">
        <f t="shared" si="36"/>
        <v>5096.7900274929152</v>
      </c>
      <c r="AI93" s="9">
        <f t="shared" si="37"/>
        <v>73779.538803777468</v>
      </c>
      <c r="AJ93" s="9">
        <f t="shared" si="38"/>
        <v>40774.320219943322</v>
      </c>
      <c r="AK93" s="9">
        <f t="shared" si="40"/>
        <v>242.70428702347181</v>
      </c>
      <c r="AL93" s="9">
        <f t="shared" si="41"/>
        <v>1471.9252570106764</v>
      </c>
      <c r="AM93" s="9">
        <f t="shared" si="42"/>
        <v>1941.6342961877817</v>
      </c>
    </row>
    <row r="94" spans="4:39" ht="14.25" customHeight="1" x14ac:dyDescent="0.2">
      <c r="D94" s="1">
        <v>77</v>
      </c>
      <c r="E94" s="6">
        <f t="shared" si="33"/>
        <v>299.01168161291764</v>
      </c>
      <c r="F94" s="6">
        <f t="shared" si="33"/>
        <v>2514.4164135631713</v>
      </c>
      <c r="G94" s="6">
        <f t="shared" si="33"/>
        <v>231.05448124634549</v>
      </c>
      <c r="H94" s="6">
        <v>0.4</v>
      </c>
      <c r="I94" s="6">
        <v>1.5</v>
      </c>
      <c r="J94" s="6">
        <v>1</v>
      </c>
      <c r="K94" s="26">
        <f t="shared" si="34"/>
        <v>1.0366592886485557</v>
      </c>
      <c r="L94" s="6">
        <f t="shared" si="27"/>
        <v>26163.522141130295</v>
      </c>
      <c r="M94" s="6">
        <f t="shared" si="28"/>
        <v>280088.80256509391</v>
      </c>
      <c r="N94" s="6">
        <f t="shared" si="29"/>
        <v>34658.172186951822</v>
      </c>
      <c r="O94" s="6">
        <f t="shared" si="30"/>
        <v>0.4</v>
      </c>
      <c r="P94" s="6">
        <f t="shared" si="31"/>
        <v>1.5</v>
      </c>
      <c r="Q94" s="6">
        <f t="shared" si="32"/>
        <v>1</v>
      </c>
      <c r="R94" s="6"/>
      <c r="S94" s="38">
        <v>77</v>
      </c>
      <c r="T94" s="6">
        <f>VLOOKUP($S$13,角色设定!$AB$9:$AJ$21,MATCH(E$17,角色设定!$AB$9:$AJ$9,0),0)*Z94*$L$15*E94/Y94/(1+W94*(X94-1))</f>
        <v>19112.962603098429</v>
      </c>
      <c r="U94" s="6">
        <f>VLOOKUP($S$13,角色设定!$AB$9:$AJ$21,MATCH(F$17,角色设定!$AB$9:$AJ$9,0),0)*F94*$L$15/(1+V94/$N$16)</f>
        <v>268707.81307250692</v>
      </c>
      <c r="V94" s="6">
        <f>VLOOKUP($S$13,角色设定!$AB$9:$AJ$21,MATCH(V$17,角色设定!$AB$9:$AJ$9,0),0)*G94*$L$15</f>
        <v>152903.70082478743</v>
      </c>
      <c r="W94" s="6">
        <f>VLOOKUP($S$13,角色设定!$AB$9:$AJ$21,MATCH(W$17,角色设定!$AB$9:$AJ$9,0),0)*H94</f>
        <v>0.4</v>
      </c>
      <c r="X94" s="6">
        <f>VLOOKUP($S$13,角色设定!$AB$9:$AJ$21,MATCH(X$17,角色设定!$AB$9:$AJ$9,0),0)*I94</f>
        <v>1.5</v>
      </c>
      <c r="Y94" s="6">
        <f>VLOOKUP($S$13,角色设定!$AB$9:$AJ$21,MATCH(Y$17,角色设定!$AB$9:$AJ$9,0),0)*J94</f>
        <v>0.9</v>
      </c>
      <c r="Z94" s="6">
        <f>VLOOKUP($S$13,角色设定!$AB$9:$AJ$21,MATCH(Z$17,角色设定!$AB$9:$AJ$9,0),0)</f>
        <v>0.75</v>
      </c>
      <c r="AA94" s="6"/>
      <c r="AB94" s="6"/>
      <c r="AC94" s="6">
        <f>T94*战斗公式!$E$39*(1+W94*(X94-1))*Y94</f>
        <v>516049.99028365762</v>
      </c>
      <c r="AD94" s="6">
        <f>U94*战斗公式!$E$41*(1+V94*战斗公式!$E$40)</f>
        <v>679572.00366572186</v>
      </c>
      <c r="AE94" s="22">
        <f t="shared" si="35"/>
        <v>1195621.9939493795</v>
      </c>
      <c r="AF94" s="22">
        <f t="shared" si="39"/>
        <v>56934.380664255936</v>
      </c>
      <c r="AG94" s="22"/>
      <c r="AH94" s="9">
        <f t="shared" si="36"/>
        <v>5351.629528867561</v>
      </c>
      <c r="AI94" s="9">
        <f t="shared" si="37"/>
        <v>75238.187660301948</v>
      </c>
      <c r="AJ94" s="9">
        <f t="shared" si="38"/>
        <v>42813.036230940488</v>
      </c>
      <c r="AK94" s="9">
        <f t="shared" si="40"/>
        <v>254.83950137464581</v>
      </c>
      <c r="AL94" s="9">
        <f t="shared" si="41"/>
        <v>1458.6488565244799</v>
      </c>
      <c r="AM94" s="9">
        <f t="shared" si="42"/>
        <v>2038.7160109971664</v>
      </c>
    </row>
    <row r="95" spans="4:39" ht="14.25" customHeight="1" x14ac:dyDescent="0.2">
      <c r="D95" s="1">
        <v>78</v>
      </c>
      <c r="E95" s="6">
        <f t="shared" si="33"/>
        <v>313.96226569356361</v>
      </c>
      <c r="F95" s="6">
        <f t="shared" si="33"/>
        <v>2640.1372342413306</v>
      </c>
      <c r="G95" s="6">
        <f t="shared" si="33"/>
        <v>242.60720530866283</v>
      </c>
      <c r="H95" s="6">
        <v>0.4</v>
      </c>
      <c r="I95" s="6">
        <v>1.5</v>
      </c>
      <c r="J95" s="6">
        <v>1</v>
      </c>
      <c r="K95" s="26">
        <f t="shared" si="34"/>
        <v>1.0361766661872931</v>
      </c>
      <c r="L95" s="6">
        <f t="shared" si="27"/>
        <v>27471.698248186814</v>
      </c>
      <c r="M95" s="6">
        <f t="shared" si="28"/>
        <v>290356.65882555599</v>
      </c>
      <c r="N95" s="6">
        <f t="shared" si="29"/>
        <v>36391.080796299422</v>
      </c>
      <c r="O95" s="6">
        <f t="shared" ref="O95:O117" si="43">H95</f>
        <v>0.4</v>
      </c>
      <c r="P95" s="6">
        <f t="shared" ref="P95:P117" si="44">I95</f>
        <v>1.5</v>
      </c>
      <c r="Q95" s="6">
        <f t="shared" ref="Q95:Q117" si="45">J95</f>
        <v>1</v>
      </c>
      <c r="R95" s="6"/>
      <c r="S95" s="38">
        <v>78</v>
      </c>
      <c r="T95" s="6">
        <f>VLOOKUP($S$13,角色设定!$AB$9:$AJ$21,MATCH(E$17,角色设定!$AB$9:$AJ$9,0),0)*Z95*$L$15*E95/Y95/(1+W95*(X95-1))</f>
        <v>20068.610733253354</v>
      </c>
      <c r="U95" s="6">
        <f>VLOOKUP($S$13,角色设定!$AB$9:$AJ$21,MATCH(F$17,角色设定!$AB$9:$AJ$9,0),0)*F95*$L$15/(1+V95/$N$16)</f>
        <v>273864.38497991237</v>
      </c>
      <c r="V95" s="6">
        <f>VLOOKUP($S$13,角色设定!$AB$9:$AJ$21,MATCH(V$17,角色设定!$AB$9:$AJ$9,0),0)*G95*$L$15</f>
        <v>160548.88586602686</v>
      </c>
      <c r="W95" s="6">
        <f>VLOOKUP($S$13,角色设定!$AB$9:$AJ$21,MATCH(W$17,角色设定!$AB$9:$AJ$9,0),0)*H95</f>
        <v>0.4</v>
      </c>
      <c r="X95" s="6">
        <f>VLOOKUP($S$13,角色设定!$AB$9:$AJ$21,MATCH(X$17,角色设定!$AB$9:$AJ$9,0),0)*I95</f>
        <v>1.5</v>
      </c>
      <c r="Y95" s="6">
        <f>VLOOKUP($S$13,角色设定!$AB$9:$AJ$21,MATCH(Y$17,角色设定!$AB$9:$AJ$9,0),0)*J95</f>
        <v>0.9</v>
      </c>
      <c r="Z95" s="6">
        <f>VLOOKUP($S$13,角色设定!$AB$9:$AJ$21,MATCH(Z$17,角色设定!$AB$9:$AJ$9,0),0)</f>
        <v>0.75</v>
      </c>
      <c r="AA95" s="6"/>
      <c r="AB95" s="6"/>
      <c r="AC95" s="6">
        <f>T95*战斗公式!$E$39*(1+W95*(X95-1))*Y95</f>
        <v>541852.48979784059</v>
      </c>
      <c r="AD95" s="6">
        <f>U95*战斗公式!$E$41*(1+V95*战斗公式!$E$40)</f>
        <v>713550.60384900821</v>
      </c>
      <c r="AE95" s="22">
        <f t="shared" si="35"/>
        <v>1255403.0936468488</v>
      </c>
      <c r="AF95" s="22">
        <f t="shared" si="39"/>
        <v>59781.099697469268</v>
      </c>
      <c r="AG95" s="22"/>
      <c r="AH95" s="9">
        <f t="shared" si="36"/>
        <v>5619.21100531094</v>
      </c>
      <c r="AI95" s="9">
        <f t="shared" si="37"/>
        <v>76682.027794375477</v>
      </c>
      <c r="AJ95" s="9">
        <f t="shared" si="38"/>
        <v>44953.688042487527</v>
      </c>
      <c r="AK95" s="9">
        <f t="shared" si="40"/>
        <v>267.58147644337896</v>
      </c>
      <c r="AL95" s="9">
        <f t="shared" si="41"/>
        <v>1443.840134073529</v>
      </c>
      <c r="AM95" s="9">
        <f t="shared" si="42"/>
        <v>2140.651811547039</v>
      </c>
    </row>
    <row r="96" spans="4:39" ht="14.25" customHeight="1" x14ac:dyDescent="0.2">
      <c r="D96" s="1">
        <v>79</v>
      </c>
      <c r="E96" s="6">
        <f t="shared" si="33"/>
        <v>329.66037897824168</v>
      </c>
      <c r="F96" s="6">
        <f t="shared" si="33"/>
        <v>2772.1440959533961</v>
      </c>
      <c r="G96" s="6">
        <f t="shared" si="33"/>
        <v>254.7375655740959</v>
      </c>
      <c r="H96" s="6">
        <v>0.4</v>
      </c>
      <c r="I96" s="6">
        <v>1.5</v>
      </c>
      <c r="J96" s="6">
        <v>1</v>
      </c>
      <c r="K96" s="26">
        <f t="shared" si="34"/>
        <v>1.0356834026015591</v>
      </c>
      <c r="L96" s="6">
        <f t="shared" si="27"/>
        <v>28845.283160596147</v>
      </c>
      <c r="M96" s="6">
        <f t="shared" si="28"/>
        <v>300860.7947471459</v>
      </c>
      <c r="N96" s="6">
        <f t="shared" si="29"/>
        <v>38210.634836114383</v>
      </c>
      <c r="O96" s="6">
        <f t="shared" si="43"/>
        <v>0.4</v>
      </c>
      <c r="P96" s="6">
        <f t="shared" si="44"/>
        <v>1.5</v>
      </c>
      <c r="Q96" s="6">
        <f t="shared" si="45"/>
        <v>1</v>
      </c>
      <c r="R96" s="6"/>
      <c r="S96" s="38">
        <v>79</v>
      </c>
      <c r="T96" s="6">
        <f>VLOOKUP($S$13,角色设定!$AB$9:$AJ$21,MATCH(E$17,角色设定!$AB$9:$AJ$9,0),0)*Z96*$L$15*E96/Y96/(1+W96*(X96-1))</f>
        <v>21072.041269916015</v>
      </c>
      <c r="U96" s="6">
        <f>VLOOKUP($S$13,角色设定!$AB$9:$AJ$21,MATCH(F$17,角色设定!$AB$9:$AJ$9,0),0)*F96*$L$15/(1+V96/$N$16)</f>
        <v>278962.83101232053</v>
      </c>
      <c r="V96" s="6">
        <f>VLOOKUP($S$13,角色设定!$AB$9:$AJ$21,MATCH(V$17,角色设定!$AB$9:$AJ$9,0),0)*G96*$L$15</f>
        <v>168576.33015932812</v>
      </c>
      <c r="W96" s="6">
        <f>VLOOKUP($S$13,角色设定!$AB$9:$AJ$21,MATCH(W$17,角色设定!$AB$9:$AJ$9,0),0)*H96</f>
        <v>0.4</v>
      </c>
      <c r="X96" s="6">
        <f>VLOOKUP($S$13,角色设定!$AB$9:$AJ$21,MATCH(X$17,角色设定!$AB$9:$AJ$9,0),0)*I96</f>
        <v>1.5</v>
      </c>
      <c r="Y96" s="6">
        <f>VLOOKUP($S$13,角色设定!$AB$9:$AJ$21,MATCH(Y$17,角色设定!$AB$9:$AJ$9,0),0)*J96</f>
        <v>0.9</v>
      </c>
      <c r="Z96" s="6">
        <f>VLOOKUP($S$13,角色设定!$AB$9:$AJ$21,MATCH(Z$17,角色设定!$AB$9:$AJ$9,0),0)</f>
        <v>0.75</v>
      </c>
      <c r="AA96" s="6"/>
      <c r="AB96" s="6"/>
      <c r="AC96" s="6">
        <f>T96*战斗公式!$E$39*(1+W96*(X96-1))*Y96</f>
        <v>568945.11428773252</v>
      </c>
      <c r="AD96" s="6">
        <f>U96*战斗公式!$E$41*(1+V96*战斗公式!$E$40)</f>
        <v>749228.13404145872</v>
      </c>
      <c r="AE96" s="22">
        <f t="shared" si="35"/>
        <v>1318173.2483291912</v>
      </c>
      <c r="AF96" s="22">
        <f t="shared" si="39"/>
        <v>62770.154682342429</v>
      </c>
      <c r="AG96" s="22"/>
      <c r="AH96" s="9">
        <f t="shared" si="36"/>
        <v>5900.1715555764849</v>
      </c>
      <c r="AI96" s="9">
        <f t="shared" si="37"/>
        <v>78109.592683449751</v>
      </c>
      <c r="AJ96" s="9">
        <f t="shared" si="38"/>
        <v>47201.372444611879</v>
      </c>
      <c r="AK96" s="9">
        <f t="shared" si="40"/>
        <v>280.96055026554495</v>
      </c>
      <c r="AL96" s="9">
        <f t="shared" si="41"/>
        <v>1427.5648890742741</v>
      </c>
      <c r="AM96" s="9">
        <f t="shared" si="42"/>
        <v>2247.6844021243523</v>
      </c>
    </row>
    <row r="97" spans="4:39" ht="14.25" customHeight="1" x14ac:dyDescent="0.2">
      <c r="D97" s="1">
        <v>80</v>
      </c>
      <c r="E97" s="6">
        <f t="shared" si="33"/>
        <v>346.1433979271539</v>
      </c>
      <c r="F97" s="6">
        <f t="shared" si="33"/>
        <v>2910.751300751067</v>
      </c>
      <c r="G97" s="6">
        <f t="shared" si="33"/>
        <v>267.47444385280079</v>
      </c>
      <c r="H97" s="6">
        <v>0.4</v>
      </c>
      <c r="I97" s="6">
        <v>1.5</v>
      </c>
      <c r="J97" s="6">
        <v>1</v>
      </c>
      <c r="K97" s="26">
        <f t="shared" si="34"/>
        <v>1.0351797483084482</v>
      </c>
      <c r="L97" s="6">
        <f t="shared" si="27"/>
        <v>30287.547318625966</v>
      </c>
      <c r="M97" s="6">
        <f t="shared" si="28"/>
        <v>311596.53161313332</v>
      </c>
      <c r="N97" s="6">
        <f t="shared" si="29"/>
        <v>40121.166577920121</v>
      </c>
      <c r="O97" s="6">
        <f t="shared" si="43"/>
        <v>0.4</v>
      </c>
      <c r="P97" s="6">
        <f t="shared" si="44"/>
        <v>1.5</v>
      </c>
      <c r="Q97" s="6">
        <f t="shared" si="45"/>
        <v>1</v>
      </c>
      <c r="R97" s="6"/>
      <c r="S97" s="38">
        <v>80</v>
      </c>
      <c r="T97" s="6">
        <f>VLOOKUP($S$13,角色设定!$AB$9:$AJ$21,MATCH(E$17,角色设定!$AB$9:$AJ$9,0),0)*Z97*$L$15*E97/Y97/(1+W97*(X97-1))</f>
        <v>22125.643333411823</v>
      </c>
      <c r="U97" s="6">
        <f>VLOOKUP($S$13,角色设定!$AB$9:$AJ$21,MATCH(F$17,角色设定!$AB$9:$AJ$9,0),0)*F97*$L$15/(1+V97/$N$16)</f>
        <v>283998.16761831101</v>
      </c>
      <c r="V97" s="6">
        <f>VLOOKUP($S$13,角色设定!$AB$9:$AJ$21,MATCH(V$17,角色设定!$AB$9:$AJ$9,0),0)*G97*$L$15</f>
        <v>177005.14666729461</v>
      </c>
      <c r="W97" s="6">
        <f>VLOOKUP($S$13,角色设定!$AB$9:$AJ$21,MATCH(W$17,角色设定!$AB$9:$AJ$9,0),0)*H97</f>
        <v>0.4</v>
      </c>
      <c r="X97" s="6">
        <f>VLOOKUP($S$13,角色设定!$AB$9:$AJ$21,MATCH(X$17,角色设定!$AB$9:$AJ$9,0),0)*I97</f>
        <v>1.5</v>
      </c>
      <c r="Y97" s="6">
        <f>VLOOKUP($S$13,角色设定!$AB$9:$AJ$21,MATCH(Y$17,角色设定!$AB$9:$AJ$9,0),0)*J97</f>
        <v>0.9</v>
      </c>
      <c r="Z97" s="6">
        <f>VLOOKUP($S$13,角色设定!$AB$9:$AJ$21,MATCH(Z$17,角色设定!$AB$9:$AJ$9,0),0)</f>
        <v>0.75</v>
      </c>
      <c r="AA97" s="6"/>
      <c r="AB97" s="6"/>
      <c r="AC97" s="6">
        <f>T97*战斗公式!$E$39*(1+W97*(X97-1))*Y97</f>
        <v>597392.37000211922</v>
      </c>
      <c r="AD97" s="6">
        <f>U97*战斗公式!$E$41*(1+V97*战斗公式!$E$40)</f>
        <v>786689.54074353166</v>
      </c>
      <c r="AE97" s="22">
        <f t="shared" si="35"/>
        <v>1384081.910745651</v>
      </c>
      <c r="AF97" s="22">
        <f t="shared" si="39"/>
        <v>65908.66241645976</v>
      </c>
      <c r="AG97" s="22"/>
      <c r="AH97" s="9">
        <f t="shared" si="36"/>
        <v>6195.1801333553112</v>
      </c>
      <c r="AI97" s="9">
        <f t="shared" si="37"/>
        <v>79519.486933127089</v>
      </c>
      <c r="AJ97" s="9">
        <f t="shared" si="38"/>
        <v>49561.441066842497</v>
      </c>
      <c r="AK97" s="9">
        <f t="shared" si="40"/>
        <v>295.00857777882629</v>
      </c>
      <c r="AL97" s="9">
        <f t="shared" si="41"/>
        <v>1409.8942496773379</v>
      </c>
      <c r="AM97" s="9">
        <f t="shared" si="42"/>
        <v>2360.0686222306176</v>
      </c>
    </row>
    <row r="98" spans="4:39" ht="14.25" customHeight="1" x14ac:dyDescent="0.2">
      <c r="D98" s="1">
        <v>81</v>
      </c>
      <c r="E98" s="6">
        <f t="shared" si="33"/>
        <v>363.45056782351156</v>
      </c>
      <c r="F98" s="6">
        <f t="shared" si="33"/>
        <v>3056.2888657886201</v>
      </c>
      <c r="G98" s="6">
        <f t="shared" si="33"/>
        <v>280.84816604544079</v>
      </c>
      <c r="H98" s="6">
        <v>0.4</v>
      </c>
      <c r="I98" s="6">
        <v>1.5</v>
      </c>
      <c r="J98" s="6">
        <v>1</v>
      </c>
      <c r="K98" s="26">
        <f t="shared" si="34"/>
        <v>1.0346659896171848</v>
      </c>
      <c r="L98" s="6">
        <f t="shared" si="27"/>
        <v>31801.924684557263</v>
      </c>
      <c r="M98" s="6">
        <f t="shared" si="28"/>
        <v>322558.41916906874</v>
      </c>
      <c r="N98" s="6">
        <f t="shared" si="29"/>
        <v>42127.224906816118</v>
      </c>
      <c r="O98" s="6">
        <f t="shared" si="43"/>
        <v>0.4</v>
      </c>
      <c r="P98" s="6">
        <f t="shared" si="44"/>
        <v>1.5</v>
      </c>
      <c r="Q98" s="6">
        <f t="shared" si="45"/>
        <v>1</v>
      </c>
      <c r="R98" s="6"/>
      <c r="S98" s="38">
        <v>81</v>
      </c>
      <c r="T98" s="6">
        <f>VLOOKUP($S$13,角色设定!$AB$9:$AJ$21,MATCH(E$17,角色设定!$AB$9:$AJ$9,0),0)*Z98*$L$15*E98/Y98/(1+W98*(X98-1))</f>
        <v>23231.925500082412</v>
      </c>
      <c r="U98" s="6">
        <f>VLOOKUP($S$13,角色设定!$AB$9:$AJ$21,MATCH(F$17,角色设定!$AB$9:$AJ$9,0),0)*F98*$L$15/(1+V98/$N$16)</f>
        <v>288965.68202670844</v>
      </c>
      <c r="V98" s="6">
        <f>VLOOKUP($S$13,角色设定!$AB$9:$AJ$21,MATCH(V$17,角色设定!$AB$9:$AJ$9,0),0)*G98*$L$15</f>
        <v>185855.40400065933</v>
      </c>
      <c r="W98" s="6">
        <f>VLOOKUP($S$13,角色设定!$AB$9:$AJ$21,MATCH(W$17,角色设定!$AB$9:$AJ$9,0),0)*H98</f>
        <v>0.4</v>
      </c>
      <c r="X98" s="6">
        <f>VLOOKUP($S$13,角色设定!$AB$9:$AJ$21,MATCH(X$17,角色设定!$AB$9:$AJ$9,0),0)*I98</f>
        <v>1.5</v>
      </c>
      <c r="Y98" s="6">
        <f>VLOOKUP($S$13,角色设定!$AB$9:$AJ$21,MATCH(Y$17,角色设定!$AB$9:$AJ$9,0),0)*J98</f>
        <v>0.9</v>
      </c>
      <c r="Z98" s="6">
        <f>VLOOKUP($S$13,角色设定!$AB$9:$AJ$21,MATCH(Z$17,角色设定!$AB$9:$AJ$9,0),0)</f>
        <v>0.75</v>
      </c>
      <c r="AA98" s="6"/>
      <c r="AB98" s="6"/>
      <c r="AC98" s="6">
        <f>T98*战斗公式!$E$39*(1+W98*(X98-1))*Y98</f>
        <v>627261.98850222514</v>
      </c>
      <c r="AD98" s="6">
        <f>U98*战斗公式!$E$41*(1+V98*战斗公式!$E$40)</f>
        <v>826024.01778070803</v>
      </c>
      <c r="AE98" s="22">
        <f t="shared" si="35"/>
        <v>1453286.0062829331</v>
      </c>
      <c r="AF98" s="22">
        <f t="shared" si="39"/>
        <v>69204.095537282061</v>
      </c>
      <c r="AG98" s="22"/>
      <c r="AH98" s="9">
        <f t="shared" si="36"/>
        <v>6504.9391400230761</v>
      </c>
      <c r="AI98" s="9">
        <f t="shared" si="37"/>
        <v>80910.390967478364</v>
      </c>
      <c r="AJ98" s="9">
        <f t="shared" si="38"/>
        <v>52039.513120184616</v>
      </c>
      <c r="AK98" s="9">
        <f t="shared" si="40"/>
        <v>309.75900666776488</v>
      </c>
      <c r="AL98" s="9">
        <f t="shared" si="41"/>
        <v>1390.9040343512752</v>
      </c>
      <c r="AM98" s="9">
        <f t="shared" si="42"/>
        <v>2478.072053342119</v>
      </c>
    </row>
    <row r="99" spans="4:39" ht="14.25" customHeight="1" x14ac:dyDescent="0.2">
      <c r="D99" s="1">
        <v>82</v>
      </c>
      <c r="E99" s="6">
        <f t="shared" si="33"/>
        <v>381.62309621468722</v>
      </c>
      <c r="F99" s="6">
        <f t="shared" si="33"/>
        <v>3209.1033090780516</v>
      </c>
      <c r="G99" s="6">
        <f t="shared" si="33"/>
        <v>294.89057434771286</v>
      </c>
      <c r="H99" s="6">
        <v>0.4</v>
      </c>
      <c r="I99" s="6">
        <v>1.5</v>
      </c>
      <c r="J99" s="6">
        <v>1</v>
      </c>
      <c r="K99" s="26">
        <f t="shared" si="34"/>
        <v>1.0341424489504836</v>
      </c>
      <c r="L99" s="6">
        <f t="shared" si="27"/>
        <v>33392.020918785129</v>
      </c>
      <c r="M99" s="6">
        <f t="shared" si="28"/>
        <v>333740.22597891925</v>
      </c>
      <c r="N99" s="6">
        <f t="shared" si="29"/>
        <v>44233.586152156931</v>
      </c>
      <c r="O99" s="6">
        <f t="shared" si="43"/>
        <v>0.4</v>
      </c>
      <c r="P99" s="6">
        <f t="shared" si="44"/>
        <v>1.5</v>
      </c>
      <c r="Q99" s="6">
        <f t="shared" si="45"/>
        <v>1</v>
      </c>
      <c r="R99" s="6"/>
      <c r="S99" s="38">
        <v>82</v>
      </c>
      <c r="T99" s="6">
        <f>VLOOKUP($S$13,角色设定!$AB$9:$AJ$21,MATCH(E$17,角色设定!$AB$9:$AJ$9,0),0)*Z99*$L$15*E99/Y99/(1+W99*(X99-1))</f>
        <v>24393.521775086541</v>
      </c>
      <c r="U99" s="6">
        <f>VLOOKUP($S$13,角色设定!$AB$9:$AJ$21,MATCH(F$17,角色设定!$AB$9:$AJ$9,0),0)*F99*$L$15/(1+V99/$N$16)</f>
        <v>293860.94663082261</v>
      </c>
      <c r="V99" s="6">
        <f>VLOOKUP($S$13,角色设定!$AB$9:$AJ$21,MATCH(V$17,角色设定!$AB$9:$AJ$9,0),0)*G99*$L$15</f>
        <v>195148.1742006923</v>
      </c>
      <c r="W99" s="6">
        <f>VLOOKUP($S$13,角色设定!$AB$9:$AJ$21,MATCH(W$17,角色设定!$AB$9:$AJ$9,0),0)*H99</f>
        <v>0.4</v>
      </c>
      <c r="X99" s="6">
        <f>VLOOKUP($S$13,角色设定!$AB$9:$AJ$21,MATCH(X$17,角色设定!$AB$9:$AJ$9,0),0)*I99</f>
        <v>1.5</v>
      </c>
      <c r="Y99" s="6">
        <f>VLOOKUP($S$13,角色设定!$AB$9:$AJ$21,MATCH(Y$17,角色设定!$AB$9:$AJ$9,0),0)*J99</f>
        <v>0.9</v>
      </c>
      <c r="Z99" s="6">
        <f>VLOOKUP($S$13,角色设定!$AB$9:$AJ$21,MATCH(Z$17,角色设定!$AB$9:$AJ$9,0),0)</f>
        <v>0.75</v>
      </c>
      <c r="AA99" s="6"/>
      <c r="AB99" s="6"/>
      <c r="AC99" s="6">
        <f>T99*战斗公式!$E$39*(1+W99*(X99-1))*Y99</f>
        <v>658625.08792733657</v>
      </c>
      <c r="AD99" s="6">
        <f>U99*战斗公式!$E$41*(1+V99*战斗公式!$E$40)</f>
        <v>867325.21866974386</v>
      </c>
      <c r="AE99" s="22">
        <f t="shared" si="35"/>
        <v>1525950.3065970805</v>
      </c>
      <c r="AF99" s="22">
        <f t="shared" si="39"/>
        <v>72664.300314147491</v>
      </c>
      <c r="AG99" s="22"/>
      <c r="AH99" s="9">
        <f t="shared" si="36"/>
        <v>6830.1860970242324</v>
      </c>
      <c r="AI99" s="9">
        <f t="shared" si="37"/>
        <v>82281.065056630337</v>
      </c>
      <c r="AJ99" s="9">
        <f t="shared" si="38"/>
        <v>54641.488776193852</v>
      </c>
      <c r="AK99" s="9">
        <f t="shared" si="40"/>
        <v>325.24695700115626</v>
      </c>
      <c r="AL99" s="9">
        <f t="shared" si="41"/>
        <v>1370.674089151973</v>
      </c>
      <c r="AM99" s="9">
        <f t="shared" si="42"/>
        <v>2601.9756560092355</v>
      </c>
    </row>
    <row r="100" spans="4:39" ht="14.25" customHeight="1" x14ac:dyDescent="0.2">
      <c r="D100" s="1">
        <v>83</v>
      </c>
      <c r="E100" s="6">
        <f t="shared" si="33"/>
        <v>400.70425102542157</v>
      </c>
      <c r="F100" s="6">
        <f t="shared" si="33"/>
        <v>3369.5584745319543</v>
      </c>
      <c r="G100" s="6">
        <f t="shared" si="33"/>
        <v>309.63510306509852</v>
      </c>
      <c r="H100" s="6">
        <v>0.4</v>
      </c>
      <c r="I100" s="6">
        <v>1.5</v>
      </c>
      <c r="J100" s="6">
        <v>1</v>
      </c>
      <c r="K100" s="26">
        <f t="shared" si="34"/>
        <v>1.0336094848290585</v>
      </c>
      <c r="L100" s="6">
        <f t="shared" si="27"/>
        <v>35061.621964724385</v>
      </c>
      <c r="M100" s="6">
        <f t="shared" si="28"/>
        <v>345134.93460712733</v>
      </c>
      <c r="N100" s="6">
        <f t="shared" si="29"/>
        <v>46445.265459764778</v>
      </c>
      <c r="O100" s="6">
        <f t="shared" si="43"/>
        <v>0.4</v>
      </c>
      <c r="P100" s="6">
        <f t="shared" si="44"/>
        <v>1.5</v>
      </c>
      <c r="Q100" s="6">
        <f t="shared" si="45"/>
        <v>1</v>
      </c>
      <c r="R100" s="6"/>
      <c r="S100" s="38">
        <v>83</v>
      </c>
      <c r="T100" s="6">
        <f>VLOOKUP($S$13,角色设定!$AB$9:$AJ$21,MATCH(E$17,角色设定!$AB$9:$AJ$9,0),0)*Z100*$L$15*E100/Y100/(1+W100*(X100-1))</f>
        <v>25613.197863840865</v>
      </c>
      <c r="U100" s="6">
        <f>VLOOKUP($S$13,角色设定!$AB$9:$AJ$21,MATCH(F$17,角色设定!$AB$9:$AJ$9,0),0)*F100*$L$15/(1+V100/$N$16)</f>
        <v>298679.83095274173</v>
      </c>
      <c r="V100" s="6">
        <f>VLOOKUP($S$13,角色设定!$AB$9:$AJ$21,MATCH(V$17,角色设定!$AB$9:$AJ$9,0),0)*G100*$L$15</f>
        <v>204905.58291072692</v>
      </c>
      <c r="W100" s="6">
        <f>VLOOKUP($S$13,角色设定!$AB$9:$AJ$21,MATCH(W$17,角色设定!$AB$9:$AJ$9,0),0)*H100</f>
        <v>0.4</v>
      </c>
      <c r="X100" s="6">
        <f>VLOOKUP($S$13,角色设定!$AB$9:$AJ$21,MATCH(X$17,角色设定!$AB$9:$AJ$9,0),0)*I100</f>
        <v>1.5</v>
      </c>
      <c r="Y100" s="6">
        <f>VLOOKUP($S$13,角色设定!$AB$9:$AJ$21,MATCH(Y$17,角色设定!$AB$9:$AJ$9,0),0)*J100</f>
        <v>0.9</v>
      </c>
      <c r="Z100" s="6">
        <f>VLOOKUP($S$13,角色设定!$AB$9:$AJ$21,MATCH(Z$17,角色设定!$AB$9:$AJ$9,0),0)</f>
        <v>0.75</v>
      </c>
      <c r="AA100" s="6"/>
      <c r="AB100" s="6"/>
      <c r="AC100" s="6">
        <f>T100*战斗公式!$E$39*(1+W100*(X100-1))*Y100</f>
        <v>691556.34232370346</v>
      </c>
      <c r="AD100" s="6">
        <f>U100*战斗公式!$E$41*(1+V100*战斗公式!$E$40)</f>
        <v>910691.47960323107</v>
      </c>
      <c r="AE100" s="22">
        <f t="shared" si="35"/>
        <v>1602247.8219269346</v>
      </c>
      <c r="AF100" s="22">
        <f t="shared" si="39"/>
        <v>76297.515329854097</v>
      </c>
      <c r="AG100" s="22"/>
      <c r="AH100" s="9">
        <f t="shared" si="36"/>
        <v>7171.6954018754432</v>
      </c>
      <c r="AI100" s="9">
        <f t="shared" si="37"/>
        <v>83630.352666767692</v>
      </c>
      <c r="AJ100" s="9">
        <f t="shared" si="38"/>
        <v>57373.563215003545</v>
      </c>
      <c r="AK100" s="9">
        <f t="shared" si="40"/>
        <v>341.5093048512108</v>
      </c>
      <c r="AL100" s="9">
        <f t="shared" si="41"/>
        <v>1349.2876101373549</v>
      </c>
      <c r="AM100" s="9">
        <f t="shared" si="42"/>
        <v>2732.0744388096937</v>
      </c>
    </row>
    <row r="101" spans="4:39" ht="14.25" customHeight="1" x14ac:dyDescent="0.2">
      <c r="D101" s="1">
        <v>84</v>
      </c>
      <c r="E101" s="6">
        <f t="shared" si="33"/>
        <v>420.73946357669263</v>
      </c>
      <c r="F101" s="6">
        <f t="shared" si="33"/>
        <v>3538.0363982585518</v>
      </c>
      <c r="G101" s="6">
        <f t="shared" si="33"/>
        <v>325.1168582183534</v>
      </c>
      <c r="H101" s="6">
        <v>0.4</v>
      </c>
      <c r="I101" s="6">
        <v>1.5</v>
      </c>
      <c r="J101" s="6">
        <v>1</v>
      </c>
      <c r="K101" s="26">
        <f t="shared" si="34"/>
        <v>1.0330674916062219</v>
      </c>
      <c r="L101" s="6">
        <f t="shared" si="27"/>
        <v>36814.703062960609</v>
      </c>
      <c r="M101" s="6">
        <f t="shared" si="28"/>
        <v>356734.74195578368</v>
      </c>
      <c r="N101" s="6">
        <f t="shared" si="29"/>
        <v>48767.52873275301</v>
      </c>
      <c r="O101" s="6">
        <f t="shared" si="43"/>
        <v>0.4</v>
      </c>
      <c r="P101" s="6">
        <f t="shared" si="44"/>
        <v>1.5</v>
      </c>
      <c r="Q101" s="6">
        <f t="shared" si="45"/>
        <v>1</v>
      </c>
      <c r="R101" s="6"/>
      <c r="S101" s="38">
        <v>84</v>
      </c>
      <c r="T101" s="6">
        <f>VLOOKUP($S$13,角色设定!$AB$9:$AJ$21,MATCH(E$17,角色设定!$AB$9:$AJ$9,0),0)*Z101*$L$15*E101/Y101/(1+W101*(X101-1))</f>
        <v>26893.857757032911</v>
      </c>
      <c r="U101" s="6">
        <f>VLOOKUP($S$13,角色设定!$AB$9:$AJ$21,MATCH(F$17,角色设定!$AB$9:$AJ$9,0),0)*F101*$L$15/(1+V101/$N$16)</f>
        <v>303418.51116773376</v>
      </c>
      <c r="V101" s="6">
        <f>VLOOKUP($S$13,角色设定!$AB$9:$AJ$21,MATCH(V$17,角色设定!$AB$9:$AJ$9,0),0)*G101*$L$15</f>
        <v>215150.86205626326</v>
      </c>
      <c r="W101" s="6">
        <f>VLOOKUP($S$13,角色设定!$AB$9:$AJ$21,MATCH(W$17,角色设定!$AB$9:$AJ$9,0),0)*H101</f>
        <v>0.4</v>
      </c>
      <c r="X101" s="6">
        <f>VLOOKUP($S$13,角色设定!$AB$9:$AJ$21,MATCH(X$17,角色设定!$AB$9:$AJ$9,0),0)*I101</f>
        <v>1.5</v>
      </c>
      <c r="Y101" s="6">
        <f>VLOOKUP($S$13,角色设定!$AB$9:$AJ$21,MATCH(Y$17,角色设定!$AB$9:$AJ$9,0),0)*J101</f>
        <v>0.9</v>
      </c>
      <c r="Z101" s="6">
        <f>VLOOKUP($S$13,角色设定!$AB$9:$AJ$21,MATCH(Z$17,角色设定!$AB$9:$AJ$9,0),0)</f>
        <v>0.75</v>
      </c>
      <c r="AA101" s="6"/>
      <c r="AB101" s="6"/>
      <c r="AC101" s="6">
        <f>T101*战斗公式!$E$39*(1+W101*(X101-1))*Y101</f>
        <v>726134.15943988855</v>
      </c>
      <c r="AD101" s="6">
        <f>U101*战斗公式!$E$41*(1+V101*战斗公式!$E$40)</f>
        <v>956226.05358339229</v>
      </c>
      <c r="AE101" s="22">
        <f t="shared" si="35"/>
        <v>1682360.2130232807</v>
      </c>
      <c r="AF101" s="22">
        <f t="shared" si="39"/>
        <v>80112.39109634608</v>
      </c>
      <c r="AG101" s="22"/>
      <c r="AH101" s="9">
        <f t="shared" si="36"/>
        <v>7530.2801719692161</v>
      </c>
      <c r="AI101" s="9">
        <f t="shared" si="37"/>
        <v>84957.183126965465</v>
      </c>
      <c r="AJ101" s="9">
        <f t="shared" si="38"/>
        <v>60242.241375753714</v>
      </c>
      <c r="AK101" s="9">
        <f t="shared" si="40"/>
        <v>358.58477009377293</v>
      </c>
      <c r="AL101" s="9">
        <f t="shared" si="41"/>
        <v>1326.8304601977725</v>
      </c>
      <c r="AM101" s="9">
        <f t="shared" si="42"/>
        <v>2868.6781607501689</v>
      </c>
    </row>
    <row r="102" spans="4:39" ht="14.25" customHeight="1" x14ac:dyDescent="0.2">
      <c r="D102" s="1">
        <v>85</v>
      </c>
      <c r="E102" s="6">
        <f t="shared" si="33"/>
        <v>441.7764367555273</v>
      </c>
      <c r="F102" s="6">
        <f t="shared" si="33"/>
        <v>3714.9382181714795</v>
      </c>
      <c r="G102" s="6">
        <f t="shared" si="33"/>
        <v>341.37270112927109</v>
      </c>
      <c r="H102" s="6">
        <v>0.4</v>
      </c>
      <c r="I102" s="6">
        <v>1.5</v>
      </c>
      <c r="J102" s="6">
        <v>1</v>
      </c>
      <c r="K102" s="26">
        <f t="shared" si="34"/>
        <v>1.0325168989419473</v>
      </c>
      <c r="L102" s="6">
        <f t="shared" si="27"/>
        <v>38655.43821610864</v>
      </c>
      <c r="M102" s="6">
        <f t="shared" si="28"/>
        <v>368531.06504105427</v>
      </c>
      <c r="N102" s="6">
        <f t="shared" si="29"/>
        <v>51205.905169390666</v>
      </c>
      <c r="O102" s="6">
        <f t="shared" si="43"/>
        <v>0.4</v>
      </c>
      <c r="P102" s="6">
        <f t="shared" si="44"/>
        <v>1.5</v>
      </c>
      <c r="Q102" s="6">
        <f t="shared" si="45"/>
        <v>1</v>
      </c>
      <c r="R102" s="6"/>
      <c r="S102" s="38">
        <v>85</v>
      </c>
      <c r="T102" s="6">
        <f>VLOOKUP($S$13,角色设定!$AB$9:$AJ$21,MATCH(E$17,角色设定!$AB$9:$AJ$9,0),0)*Z102*$L$15*E102/Y102/(1+W102*(X102-1))</f>
        <v>28238.550644884559</v>
      </c>
      <c r="U102" s="6">
        <f>VLOOKUP($S$13,角色设定!$AB$9:$AJ$21,MATCH(F$17,角色设定!$AB$9:$AJ$9,0),0)*F102*$L$15/(1+V102/$N$16)</f>
        <v>308073.47720059258</v>
      </c>
      <c r="V102" s="6">
        <f>VLOOKUP($S$13,角色设定!$AB$9:$AJ$21,MATCH(V$17,角色设定!$AB$9:$AJ$9,0),0)*G102*$L$15</f>
        <v>225908.40515907641</v>
      </c>
      <c r="W102" s="6">
        <f>VLOOKUP($S$13,角色设定!$AB$9:$AJ$21,MATCH(W$17,角色设定!$AB$9:$AJ$9,0),0)*H102</f>
        <v>0.4</v>
      </c>
      <c r="X102" s="6">
        <f>VLOOKUP($S$13,角色设定!$AB$9:$AJ$21,MATCH(X$17,角色设定!$AB$9:$AJ$9,0),0)*I102</f>
        <v>1.5</v>
      </c>
      <c r="Y102" s="6">
        <f>VLOOKUP($S$13,角色设定!$AB$9:$AJ$21,MATCH(Y$17,角色设定!$AB$9:$AJ$9,0),0)*J102</f>
        <v>0.9</v>
      </c>
      <c r="Z102" s="6">
        <f>VLOOKUP($S$13,角色设定!$AB$9:$AJ$21,MATCH(Z$17,角色设定!$AB$9:$AJ$9,0),0)</f>
        <v>0.75</v>
      </c>
      <c r="AA102" s="6"/>
      <c r="AB102" s="6"/>
      <c r="AC102" s="6">
        <f>T102*战斗公式!$E$39*(1+W102*(X102-1))*Y102</f>
        <v>762440.8674118832</v>
      </c>
      <c r="AD102" s="6">
        <f>U102*战斗公式!$E$41*(1+V102*战斗公式!$E$40)</f>
        <v>1004037.3562625622</v>
      </c>
      <c r="AE102" s="22">
        <f t="shared" si="35"/>
        <v>1766478.2236744454</v>
      </c>
      <c r="AF102" s="22">
        <f t="shared" si="39"/>
        <v>84118.010651164688</v>
      </c>
      <c r="AG102" s="22"/>
      <c r="AH102" s="9">
        <f t="shared" si="36"/>
        <v>7906.7941805676774</v>
      </c>
      <c r="AI102" s="9">
        <f t="shared" si="37"/>
        <v>86260.57361616593</v>
      </c>
      <c r="AJ102" s="9">
        <f t="shared" si="38"/>
        <v>63254.353444541404</v>
      </c>
      <c r="AK102" s="9">
        <f t="shared" si="40"/>
        <v>376.51400859846126</v>
      </c>
      <c r="AL102" s="9">
        <f t="shared" si="41"/>
        <v>1303.3904892004648</v>
      </c>
      <c r="AM102" s="9">
        <f t="shared" si="42"/>
        <v>3012.1120687876901</v>
      </c>
    </row>
    <row r="103" spans="4:39" ht="14.25" customHeight="1" x14ac:dyDescent="0.2">
      <c r="D103" s="1">
        <v>86</v>
      </c>
      <c r="E103" s="6">
        <f t="shared" si="33"/>
        <v>463.86525859330357</v>
      </c>
      <c r="F103" s="6">
        <f t="shared" si="33"/>
        <v>3900.6851290800528</v>
      </c>
      <c r="G103" s="6">
        <f t="shared" si="33"/>
        <v>358.4413361857346</v>
      </c>
      <c r="H103" s="6">
        <v>0.4</v>
      </c>
      <c r="I103" s="6">
        <v>1.5</v>
      </c>
      <c r="J103" s="6">
        <v>1</v>
      </c>
      <c r="K103" s="26">
        <f t="shared" si="34"/>
        <v>1.0319581710085746</v>
      </c>
      <c r="L103" s="6">
        <f t="shared" si="27"/>
        <v>40588.210126914062</v>
      </c>
      <c r="M103" s="6">
        <f t="shared" si="28"/>
        <v>380514.55243996246</v>
      </c>
      <c r="N103" s="6">
        <f t="shared" si="29"/>
        <v>53766.200427860189</v>
      </c>
      <c r="O103" s="6">
        <f t="shared" si="43"/>
        <v>0.4</v>
      </c>
      <c r="P103" s="6">
        <f t="shared" si="44"/>
        <v>1.5</v>
      </c>
      <c r="Q103" s="6">
        <f t="shared" si="45"/>
        <v>1</v>
      </c>
      <c r="R103" s="6"/>
      <c r="S103" s="38">
        <v>86</v>
      </c>
      <c r="T103" s="6">
        <f>VLOOKUP($S$13,角色设定!$AB$9:$AJ$21,MATCH(E$17,角色设定!$AB$9:$AJ$9,0),0)*Z103*$L$15*E103/Y103/(1+W103*(X103-1))</f>
        <v>29650.478177128778</v>
      </c>
      <c r="U103" s="6">
        <f>VLOOKUP($S$13,角色设定!$AB$9:$AJ$21,MATCH(F$17,角色设定!$AB$9:$AJ$9,0),0)*F103*$L$15/(1+V103/$N$16)</f>
        <v>312641.53743566823</v>
      </c>
      <c r="V103" s="6">
        <f>VLOOKUP($S$13,角色设定!$AB$9:$AJ$21,MATCH(V$17,角色设定!$AB$9:$AJ$9,0),0)*G103*$L$15</f>
        <v>237203.82541703022</v>
      </c>
      <c r="W103" s="6">
        <f>VLOOKUP($S$13,角色设定!$AB$9:$AJ$21,MATCH(W$17,角色设定!$AB$9:$AJ$9,0),0)*H103</f>
        <v>0.4</v>
      </c>
      <c r="X103" s="6">
        <f>VLOOKUP($S$13,角色设定!$AB$9:$AJ$21,MATCH(X$17,角色设定!$AB$9:$AJ$9,0),0)*I103</f>
        <v>1.5</v>
      </c>
      <c r="Y103" s="6">
        <f>VLOOKUP($S$13,角色设定!$AB$9:$AJ$21,MATCH(Y$17,角色设定!$AB$9:$AJ$9,0),0)*J103</f>
        <v>0.9</v>
      </c>
      <c r="Z103" s="6">
        <f>VLOOKUP($S$13,角色设定!$AB$9:$AJ$21,MATCH(Z$17,角色设定!$AB$9:$AJ$9,0),0)</f>
        <v>0.75</v>
      </c>
      <c r="AA103" s="6"/>
      <c r="AB103" s="6"/>
      <c r="AC103" s="6">
        <f>T103*战斗公式!$E$39*(1+W103*(X103-1))*Y103</f>
        <v>800562.910782477</v>
      </c>
      <c r="AD103" s="6">
        <f>U103*战斗公式!$E$41*(1+V103*战斗公式!$E$40)</f>
        <v>1054239.2240756899</v>
      </c>
      <c r="AE103" s="22">
        <f t="shared" si="35"/>
        <v>1854802.1348581668</v>
      </c>
      <c r="AF103" s="22">
        <f t="shared" si="39"/>
        <v>88323.911183721386</v>
      </c>
      <c r="AG103" s="22"/>
      <c r="AH103" s="9">
        <f t="shared" si="36"/>
        <v>8302.133889596058</v>
      </c>
      <c r="AI103" s="9">
        <f t="shared" si="37"/>
        <v>87539.630481987115</v>
      </c>
      <c r="AJ103" s="9">
        <f t="shared" si="38"/>
        <v>66417.071116768464</v>
      </c>
      <c r="AK103" s="9">
        <f t="shared" si="40"/>
        <v>395.33970902838064</v>
      </c>
      <c r="AL103" s="9">
        <f t="shared" si="41"/>
        <v>1279.0568658211851</v>
      </c>
      <c r="AM103" s="9">
        <f t="shared" si="42"/>
        <v>3162.7176722270597</v>
      </c>
    </row>
    <row r="104" spans="4:39" ht="14.25" customHeight="1" x14ac:dyDescent="0.2">
      <c r="D104" s="1">
        <v>87</v>
      </c>
      <c r="E104" s="6">
        <f t="shared" si="33"/>
        <v>487.05852152296876</v>
      </c>
      <c r="F104" s="6">
        <f t="shared" si="33"/>
        <v>4095.7193855340556</v>
      </c>
      <c r="G104" s="6">
        <f t="shared" si="33"/>
        <v>376.36340299502132</v>
      </c>
      <c r="H104" s="6">
        <v>0.4</v>
      </c>
      <c r="I104" s="6">
        <v>1.5</v>
      </c>
      <c r="J104" s="6">
        <v>1</v>
      </c>
      <c r="K104" s="26">
        <f t="shared" si="34"/>
        <v>1.0313918054233933</v>
      </c>
      <c r="L104" s="6">
        <f t="shared" si="27"/>
        <v>42617.620633259765</v>
      </c>
      <c r="M104" s="6">
        <f t="shared" si="28"/>
        <v>392675.10157808999</v>
      </c>
      <c r="N104" s="6">
        <f t="shared" si="29"/>
        <v>56454.510449253197</v>
      </c>
      <c r="O104" s="6">
        <f t="shared" si="43"/>
        <v>0.4</v>
      </c>
      <c r="P104" s="6">
        <f t="shared" si="44"/>
        <v>1.5</v>
      </c>
      <c r="Q104" s="6">
        <f t="shared" si="45"/>
        <v>1</v>
      </c>
      <c r="R104" s="6"/>
      <c r="S104" s="38">
        <v>87</v>
      </c>
      <c r="T104" s="6">
        <f>VLOOKUP($S$13,角色设定!$AB$9:$AJ$21,MATCH(E$17,角色设定!$AB$9:$AJ$9,0),0)*Z104*$L$15*E104/Y104/(1+W104*(X104-1))</f>
        <v>31133.002085985216</v>
      </c>
      <c r="U104" s="6">
        <f>VLOOKUP($S$13,角色设定!$AB$9:$AJ$21,MATCH(F$17,角色设定!$AB$9:$AJ$9,0),0)*F104*$L$15/(1+V104/$N$16)</f>
        <v>317119.821109852</v>
      </c>
      <c r="V104" s="6">
        <f>VLOOKUP($S$13,角色设定!$AB$9:$AJ$21,MATCH(V$17,角色设定!$AB$9:$AJ$9,0),0)*G104*$L$15</f>
        <v>249064.01668788173</v>
      </c>
      <c r="W104" s="6">
        <f>VLOOKUP($S$13,角色设定!$AB$9:$AJ$21,MATCH(W$17,角色设定!$AB$9:$AJ$9,0),0)*H104</f>
        <v>0.4</v>
      </c>
      <c r="X104" s="6">
        <f>VLOOKUP($S$13,角色设定!$AB$9:$AJ$21,MATCH(X$17,角色设定!$AB$9:$AJ$9,0),0)*I104</f>
        <v>1.5</v>
      </c>
      <c r="Y104" s="6">
        <f>VLOOKUP($S$13,角色设定!$AB$9:$AJ$21,MATCH(Y$17,角色设定!$AB$9:$AJ$9,0),0)*J104</f>
        <v>0.9</v>
      </c>
      <c r="Z104" s="6">
        <f>VLOOKUP($S$13,角色设定!$AB$9:$AJ$21,MATCH(Z$17,角色设定!$AB$9:$AJ$9,0),0)</f>
        <v>0.75</v>
      </c>
      <c r="AA104" s="6"/>
      <c r="AB104" s="6"/>
      <c r="AC104" s="6">
        <f>T104*战斗公式!$E$39*(1+W104*(X104-1))*Y104</f>
        <v>840591.0563216008</v>
      </c>
      <c r="AD104" s="6">
        <f>U104*战斗公式!$E$41*(1+V104*战斗公式!$E$40)</f>
        <v>1106951.1852794746</v>
      </c>
      <c r="AE104" s="22">
        <f t="shared" si="35"/>
        <v>1947542.2416010755</v>
      </c>
      <c r="AF104" s="22">
        <f t="shared" si="39"/>
        <v>92740.106742908712</v>
      </c>
      <c r="AG104" s="22"/>
      <c r="AH104" s="9">
        <f t="shared" si="36"/>
        <v>8717.240584075862</v>
      </c>
      <c r="AI104" s="9">
        <f t="shared" si="37"/>
        <v>88793.549910758564</v>
      </c>
      <c r="AJ104" s="9">
        <f t="shared" si="38"/>
        <v>69737.924672606896</v>
      </c>
      <c r="AK104" s="9">
        <f t="shared" si="40"/>
        <v>415.10669447980399</v>
      </c>
      <c r="AL104" s="9">
        <f t="shared" si="41"/>
        <v>1253.919428771449</v>
      </c>
      <c r="AM104" s="9">
        <f t="shared" si="42"/>
        <v>3320.8535558384319</v>
      </c>
    </row>
    <row r="105" spans="4:39" ht="14.25" customHeight="1" x14ac:dyDescent="0.2">
      <c r="D105" s="1">
        <v>88</v>
      </c>
      <c r="E105" s="6">
        <f t="shared" si="33"/>
        <v>511.41144759911731</v>
      </c>
      <c r="F105" s="6">
        <f t="shared" si="33"/>
        <v>4300.5053548107589</v>
      </c>
      <c r="G105" s="6">
        <f t="shared" si="33"/>
        <v>395.18157314477253</v>
      </c>
      <c r="H105" s="6">
        <v>0.4</v>
      </c>
      <c r="I105" s="6">
        <v>1.5</v>
      </c>
      <c r="J105" s="6">
        <v>1</v>
      </c>
      <c r="K105" s="26">
        <f t="shared" si="34"/>
        <v>1.0308183319067461</v>
      </c>
      <c r="L105" s="6">
        <f t="shared" si="27"/>
        <v>44748.501664922762</v>
      </c>
      <c r="M105" s="6">
        <f t="shared" si="28"/>
        <v>405001.88196144055</v>
      </c>
      <c r="N105" s="6">
        <f t="shared" si="29"/>
        <v>59277.235971715876</v>
      </c>
      <c r="O105" s="6">
        <f t="shared" si="43"/>
        <v>0.4</v>
      </c>
      <c r="P105" s="6">
        <f t="shared" si="44"/>
        <v>1.5</v>
      </c>
      <c r="Q105" s="6">
        <f t="shared" si="45"/>
        <v>1</v>
      </c>
      <c r="R105" s="6"/>
      <c r="S105" s="38">
        <v>88</v>
      </c>
      <c r="T105" s="6">
        <f>VLOOKUP($S$13,角色设定!$AB$9:$AJ$21,MATCH(E$17,角色设定!$AB$9:$AJ$9,0),0)*Z105*$L$15*E105/Y105/(1+W105*(X105-1))</f>
        <v>32689.652190284487</v>
      </c>
      <c r="U105" s="6">
        <f>VLOOKUP($S$13,角色设定!$AB$9:$AJ$21,MATCH(F$17,角色设定!$AB$9:$AJ$9,0),0)*F105*$L$15/(1+V105/$N$16)</f>
        <v>321505.77848255046</v>
      </c>
      <c r="V105" s="6">
        <f>VLOOKUP($S$13,角色设定!$AB$9:$AJ$21,MATCH(V$17,角色设定!$AB$9:$AJ$9,0),0)*G105*$L$15</f>
        <v>261517.2175222759</v>
      </c>
      <c r="W105" s="6">
        <f>VLOOKUP($S$13,角色设定!$AB$9:$AJ$21,MATCH(W$17,角色设定!$AB$9:$AJ$9,0),0)*H105</f>
        <v>0.4</v>
      </c>
      <c r="X105" s="6">
        <f>VLOOKUP($S$13,角色设定!$AB$9:$AJ$21,MATCH(X$17,角色设定!$AB$9:$AJ$9,0),0)*I105</f>
        <v>1.5</v>
      </c>
      <c r="Y105" s="6">
        <f>VLOOKUP($S$13,角色设定!$AB$9:$AJ$21,MATCH(Y$17,角色设定!$AB$9:$AJ$9,0),0)*J105</f>
        <v>0.9</v>
      </c>
      <c r="Z105" s="6">
        <f>VLOOKUP($S$13,角色设定!$AB$9:$AJ$21,MATCH(Z$17,角色设定!$AB$9:$AJ$9,0),0)</f>
        <v>0.75</v>
      </c>
      <c r="AA105" s="6"/>
      <c r="AB105" s="6"/>
      <c r="AC105" s="6">
        <f>T105*战斗公式!$E$39*(1+W105*(X105-1))*Y105</f>
        <v>882620.60913768108</v>
      </c>
      <c r="AD105" s="6">
        <f>U105*战斗公式!$E$41*(1+V105*战斗公式!$E$40)</f>
        <v>1162298.7445434486</v>
      </c>
      <c r="AE105" s="22">
        <f t="shared" si="35"/>
        <v>2044919.3536811296</v>
      </c>
      <c r="AF105" s="22">
        <f t="shared" si="39"/>
        <v>97377.112080054125</v>
      </c>
      <c r="AG105" s="22"/>
      <c r="AH105" s="9">
        <f t="shared" si="36"/>
        <v>9153.1026132796578</v>
      </c>
      <c r="AI105" s="9">
        <f t="shared" si="37"/>
        <v>90021.617975114132</v>
      </c>
      <c r="AJ105" s="9">
        <f t="shared" si="38"/>
        <v>73224.820906237263</v>
      </c>
      <c r="AK105" s="9">
        <f t="shared" si="40"/>
        <v>435.86202920379583</v>
      </c>
      <c r="AL105" s="9">
        <f t="shared" si="41"/>
        <v>1228.0680643555679</v>
      </c>
      <c r="AM105" s="9">
        <f t="shared" si="42"/>
        <v>3486.8962336303666</v>
      </c>
    </row>
    <row r="106" spans="4:39" ht="14.25" customHeight="1" x14ac:dyDescent="0.2">
      <c r="D106" s="1">
        <v>89</v>
      </c>
      <c r="E106" s="6">
        <f t="shared" si="33"/>
        <v>536.98201997907313</v>
      </c>
      <c r="F106" s="6">
        <f t="shared" si="33"/>
        <v>4515.5306225512968</v>
      </c>
      <c r="G106" s="6">
        <f t="shared" si="33"/>
        <v>414.94065180201108</v>
      </c>
      <c r="H106" s="6">
        <v>0.4</v>
      </c>
      <c r="I106" s="6">
        <v>1.5</v>
      </c>
      <c r="J106" s="6">
        <v>1</v>
      </c>
      <c r="K106" s="26">
        <f t="shared" si="34"/>
        <v>1.0302383106678152</v>
      </c>
      <c r="L106" s="6">
        <f t="shared" si="27"/>
        <v>46985.926748168895</v>
      </c>
      <c r="M106" s="6">
        <f t="shared" si="28"/>
        <v>417483.36438258504</v>
      </c>
      <c r="N106" s="6">
        <f t="shared" si="29"/>
        <v>62241.097770301662</v>
      </c>
      <c r="O106" s="6">
        <f t="shared" si="43"/>
        <v>0.4</v>
      </c>
      <c r="P106" s="6">
        <f t="shared" si="44"/>
        <v>1.5</v>
      </c>
      <c r="Q106" s="6">
        <f t="shared" si="45"/>
        <v>1</v>
      </c>
      <c r="R106" s="6"/>
      <c r="S106" s="38">
        <v>89</v>
      </c>
      <c r="T106" s="6">
        <f>VLOOKUP($S$13,角色设定!$AB$9:$AJ$21,MATCH(E$17,角色设定!$AB$9:$AJ$9,0),0)*Z106*$L$15*E106/Y106/(1+W106*(X106-1))</f>
        <v>34324.13479979871</v>
      </c>
      <c r="U106" s="6">
        <f>VLOOKUP($S$13,角色设定!$AB$9:$AJ$21,MATCH(F$17,角色设定!$AB$9:$AJ$9,0),0)*F106*$L$15/(1+V106/$N$16)</f>
        <v>325797.17889839882</v>
      </c>
      <c r="V106" s="6">
        <f>VLOOKUP($S$13,角色设定!$AB$9:$AJ$21,MATCH(V$17,角色设定!$AB$9:$AJ$9,0),0)*G106*$L$15</f>
        <v>274593.07839838963</v>
      </c>
      <c r="W106" s="6">
        <f>VLOOKUP($S$13,角色设定!$AB$9:$AJ$21,MATCH(W$17,角色设定!$AB$9:$AJ$9,0),0)*H106</f>
        <v>0.4</v>
      </c>
      <c r="X106" s="6">
        <f>VLOOKUP($S$13,角色设定!$AB$9:$AJ$21,MATCH(X$17,角色设定!$AB$9:$AJ$9,0),0)*I106</f>
        <v>1.5</v>
      </c>
      <c r="Y106" s="6">
        <f>VLOOKUP($S$13,角色设定!$AB$9:$AJ$21,MATCH(Y$17,角色设定!$AB$9:$AJ$9,0),0)*J106</f>
        <v>0.9</v>
      </c>
      <c r="Z106" s="6">
        <f>VLOOKUP($S$13,角色设定!$AB$9:$AJ$21,MATCH(Z$17,角色设定!$AB$9:$AJ$9,0),0)</f>
        <v>0.75</v>
      </c>
      <c r="AA106" s="6"/>
      <c r="AB106" s="6"/>
      <c r="AC106" s="6">
        <f>T106*战斗公式!$E$39*(1+W106*(X106-1))*Y106</f>
        <v>926751.63959456503</v>
      </c>
      <c r="AD106" s="6">
        <f>U106*战斗公式!$E$41*(1+V106*战斗公式!$E$40)</f>
        <v>1220413.6817706209</v>
      </c>
      <c r="AE106" s="22">
        <f t="shared" si="35"/>
        <v>2147165.321365186</v>
      </c>
      <c r="AF106" s="22">
        <f t="shared" si="39"/>
        <v>102245.96768405638</v>
      </c>
      <c r="AG106" s="22"/>
      <c r="AH106" s="9">
        <f t="shared" si="36"/>
        <v>9610.7577439436391</v>
      </c>
      <c r="AI106" s="9">
        <f t="shared" si="37"/>
        <v>91223.210091551678</v>
      </c>
      <c r="AJ106" s="9">
        <f t="shared" si="38"/>
        <v>76886.061951549098</v>
      </c>
      <c r="AK106" s="9">
        <f t="shared" si="40"/>
        <v>457.65513066398125</v>
      </c>
      <c r="AL106" s="9">
        <f t="shared" si="41"/>
        <v>1201.5921164375468</v>
      </c>
      <c r="AM106" s="9">
        <f t="shared" si="42"/>
        <v>3661.2410453118355</v>
      </c>
    </row>
    <row r="107" spans="4:39" ht="14.25" customHeight="1" x14ac:dyDescent="0.2">
      <c r="D107" s="1">
        <v>90</v>
      </c>
      <c r="E107" s="6">
        <f t="shared" si="33"/>
        <v>563.83112097802677</v>
      </c>
      <c r="F107" s="6">
        <f t="shared" si="33"/>
        <v>4741.3071536788611</v>
      </c>
      <c r="G107" s="6">
        <f t="shared" si="33"/>
        <v>435.68768439211163</v>
      </c>
      <c r="H107" s="6">
        <v>0.4</v>
      </c>
      <c r="I107" s="6">
        <v>1.5</v>
      </c>
      <c r="J107" s="6">
        <v>1</v>
      </c>
      <c r="K107" s="26">
        <f t="shared" si="34"/>
        <v>1.0296523305240244</v>
      </c>
      <c r="L107" s="6">
        <f t="shared" si="27"/>
        <v>49335.223085577338</v>
      </c>
      <c r="M107" s="6">
        <f t="shared" si="28"/>
        <v>430107.35605343035</v>
      </c>
      <c r="N107" s="6">
        <f t="shared" si="29"/>
        <v>65353.152658816747</v>
      </c>
      <c r="O107" s="6">
        <f t="shared" si="43"/>
        <v>0.4</v>
      </c>
      <c r="P107" s="6">
        <f t="shared" si="44"/>
        <v>1.5</v>
      </c>
      <c r="Q107" s="6">
        <f t="shared" si="45"/>
        <v>1</v>
      </c>
      <c r="R107" s="6"/>
      <c r="S107" s="38">
        <v>90</v>
      </c>
      <c r="T107" s="6">
        <f>VLOOKUP($S$13,角色设定!$AB$9:$AJ$21,MATCH(E$17,角色设定!$AB$9:$AJ$9,0),0)*Z107*$L$15*E107/Y107/(1+W107*(X107-1))</f>
        <v>36040.341539788642</v>
      </c>
      <c r="U107" s="6">
        <f>VLOOKUP($S$13,角色设定!$AB$9:$AJ$21,MATCH(F$17,角色设定!$AB$9:$AJ$9,0),0)*F107*$L$15/(1+V107/$N$16)</f>
        <v>329992.10687690479</v>
      </c>
      <c r="V107" s="6">
        <f>VLOOKUP($S$13,角色设定!$AB$9:$AJ$21,MATCH(V$17,角色设定!$AB$9:$AJ$9,0),0)*G107*$L$15</f>
        <v>288322.73231830914</v>
      </c>
      <c r="W107" s="6">
        <f>VLOOKUP($S$13,角色设定!$AB$9:$AJ$21,MATCH(W$17,角色设定!$AB$9:$AJ$9,0),0)*H107</f>
        <v>0.4</v>
      </c>
      <c r="X107" s="6">
        <f>VLOOKUP($S$13,角色设定!$AB$9:$AJ$21,MATCH(X$17,角色设定!$AB$9:$AJ$9,0),0)*I107</f>
        <v>1.5</v>
      </c>
      <c r="Y107" s="6">
        <f>VLOOKUP($S$13,角色设定!$AB$9:$AJ$21,MATCH(Y$17,角色设定!$AB$9:$AJ$9,0),0)*J107</f>
        <v>0.9</v>
      </c>
      <c r="Z107" s="6">
        <f>VLOOKUP($S$13,角色设定!$AB$9:$AJ$21,MATCH(Z$17,角色设定!$AB$9:$AJ$9,0),0)</f>
        <v>0.75</v>
      </c>
      <c r="AA107" s="6"/>
      <c r="AB107" s="6"/>
      <c r="AC107" s="6">
        <f>T107*战斗公式!$E$39*(1+W107*(X107-1))*Y107</f>
        <v>973089.22157429333</v>
      </c>
      <c r="AD107" s="6">
        <f>U107*战斗公式!$E$41*(1+V107*战斗公式!$E$40)</f>
        <v>1281434.3658591516</v>
      </c>
      <c r="AE107" s="22">
        <f t="shared" si="35"/>
        <v>2254523.5874334448</v>
      </c>
      <c r="AF107" s="22">
        <f t="shared" si="39"/>
        <v>107358.26606825879</v>
      </c>
      <c r="AG107" s="22"/>
      <c r="AH107" s="9">
        <f t="shared" si="36"/>
        <v>10091.295631140822</v>
      </c>
      <c r="AI107" s="9">
        <f t="shared" si="37"/>
        <v>92397.789925533347</v>
      </c>
      <c r="AJ107" s="9">
        <f t="shared" si="38"/>
        <v>80730.365049126573</v>
      </c>
      <c r="AK107" s="9">
        <f t="shared" si="40"/>
        <v>480.5378871971825</v>
      </c>
      <c r="AL107" s="9">
        <f t="shared" si="41"/>
        <v>1174.5798339816683</v>
      </c>
      <c r="AM107" s="9">
        <f t="shared" si="42"/>
        <v>3844.3030975774745</v>
      </c>
    </row>
    <row r="108" spans="4:39" ht="14.25" customHeight="1" x14ac:dyDescent="0.2">
      <c r="D108" s="1">
        <v>91</v>
      </c>
      <c r="E108" s="6">
        <f t="shared" si="33"/>
        <v>592.02267702692814</v>
      </c>
      <c r="F108" s="6">
        <f t="shared" si="33"/>
        <v>4978.3725113628043</v>
      </c>
      <c r="G108" s="6">
        <f t="shared" si="33"/>
        <v>457.47206861171719</v>
      </c>
      <c r="H108" s="6">
        <v>0.4</v>
      </c>
      <c r="I108" s="6">
        <v>1.5</v>
      </c>
      <c r="J108" s="6">
        <v>1</v>
      </c>
      <c r="K108" s="26">
        <f t="shared" si="34"/>
        <v>1.0290610067637567</v>
      </c>
      <c r="L108" s="6">
        <f t="shared" si="27"/>
        <v>51801.98423985621</v>
      </c>
      <c r="M108" s="6">
        <f t="shared" si="28"/>
        <v>442861.04153594089</v>
      </c>
      <c r="N108" s="6">
        <f t="shared" si="29"/>
        <v>68620.810291757574</v>
      </c>
      <c r="O108" s="6">
        <f t="shared" si="43"/>
        <v>0.4</v>
      </c>
      <c r="P108" s="6">
        <f t="shared" si="44"/>
        <v>1.5</v>
      </c>
      <c r="Q108" s="6">
        <f t="shared" si="45"/>
        <v>1</v>
      </c>
      <c r="R108" s="6"/>
      <c r="S108" s="38">
        <v>91</v>
      </c>
      <c r="T108" s="6">
        <f>VLOOKUP($S$13,角色设定!$AB$9:$AJ$21,MATCH(E$17,角色设定!$AB$9:$AJ$9,0),0)*Z108*$L$15*E108/Y108/(1+W108*(X108-1))</f>
        <v>37842.358616778074</v>
      </c>
      <c r="U108" s="6">
        <f>VLOOKUP($S$13,角色设定!$AB$9:$AJ$21,MATCH(F$17,角色设定!$AB$9:$AJ$9,0),0)*F108*$L$15/(1+V108/$N$16)</f>
        <v>334088.9563782973</v>
      </c>
      <c r="V108" s="6">
        <f>VLOOKUP($S$13,角色设定!$AB$9:$AJ$21,MATCH(V$17,角色设定!$AB$9:$AJ$9,0),0)*G108*$L$15</f>
        <v>302738.86893422453</v>
      </c>
      <c r="W108" s="6">
        <f>VLOOKUP($S$13,角色设定!$AB$9:$AJ$21,MATCH(W$17,角色设定!$AB$9:$AJ$9,0),0)*H108</f>
        <v>0.4</v>
      </c>
      <c r="X108" s="6">
        <f>VLOOKUP($S$13,角色设定!$AB$9:$AJ$21,MATCH(X$17,角色设定!$AB$9:$AJ$9,0),0)*I108</f>
        <v>1.5</v>
      </c>
      <c r="Y108" s="6">
        <f>VLOOKUP($S$13,角色设定!$AB$9:$AJ$21,MATCH(Y$17,角色设定!$AB$9:$AJ$9,0),0)*J108</f>
        <v>0.9</v>
      </c>
      <c r="Z108" s="6">
        <f>VLOOKUP($S$13,角色设定!$AB$9:$AJ$21,MATCH(Z$17,角色设定!$AB$9:$AJ$9,0),0)</f>
        <v>0.75</v>
      </c>
      <c r="AA108" s="6"/>
      <c r="AB108" s="6"/>
      <c r="AC108" s="6">
        <f>T108*战斗公式!$E$39*(1+W108*(X108-1))*Y108</f>
        <v>1021743.6826530079</v>
      </c>
      <c r="AD108" s="6">
        <f>U108*战斗公式!$E$41*(1+V108*战斗公式!$E$40)</f>
        <v>1345506.0841521095</v>
      </c>
      <c r="AE108" s="22">
        <f t="shared" si="35"/>
        <v>2367249.7668051175</v>
      </c>
      <c r="AF108" s="22">
        <f t="shared" si="39"/>
        <v>112726.17937167268</v>
      </c>
      <c r="AG108" s="22"/>
      <c r="AH108" s="9">
        <f t="shared" si="36"/>
        <v>10595.860412697863</v>
      </c>
      <c r="AI108" s="9">
        <f t="shared" si="37"/>
        <v>93544.907785923249</v>
      </c>
      <c r="AJ108" s="9">
        <f t="shared" si="38"/>
        <v>84766.883301582871</v>
      </c>
      <c r="AK108" s="9">
        <f t="shared" si="40"/>
        <v>504.56478155704099</v>
      </c>
      <c r="AL108" s="9">
        <f t="shared" si="41"/>
        <v>1147.1178603899025</v>
      </c>
      <c r="AM108" s="9">
        <f t="shared" si="42"/>
        <v>4036.5182524562988</v>
      </c>
    </row>
    <row r="109" spans="4:39" ht="14.25" customHeight="1" x14ac:dyDescent="0.2">
      <c r="D109" s="1">
        <v>92</v>
      </c>
      <c r="E109" s="6">
        <f t="shared" si="33"/>
        <v>621.62381087827464</v>
      </c>
      <c r="F109" s="6">
        <f t="shared" si="33"/>
        <v>5227.2911369309459</v>
      </c>
      <c r="G109" s="6">
        <f t="shared" si="33"/>
        <v>480.34567204230319</v>
      </c>
      <c r="H109" s="6">
        <v>0.4</v>
      </c>
      <c r="I109" s="6">
        <v>1.5</v>
      </c>
      <c r="J109" s="6">
        <v>1</v>
      </c>
      <c r="K109" s="26">
        <f t="shared" si="34"/>
        <v>1.0284649787659068</v>
      </c>
      <c r="L109" s="6">
        <f t="shared" si="27"/>
        <v>54392.08345184903</v>
      </c>
      <c r="M109" s="6">
        <f t="shared" si="28"/>
        <v>455731.02925942116</v>
      </c>
      <c r="N109" s="6">
        <f t="shared" si="29"/>
        <v>72051.850806345479</v>
      </c>
      <c r="O109" s="6">
        <f t="shared" si="43"/>
        <v>0.4</v>
      </c>
      <c r="P109" s="6">
        <f t="shared" si="44"/>
        <v>1.5</v>
      </c>
      <c r="Q109" s="6">
        <f t="shared" si="45"/>
        <v>1</v>
      </c>
      <c r="R109" s="6"/>
      <c r="S109" s="38">
        <v>92</v>
      </c>
      <c r="T109" s="6">
        <f>VLOOKUP($S$13,角色设定!$AB$9:$AJ$21,MATCH(E$17,角色设定!$AB$9:$AJ$9,0),0)*Z109*$L$15*E109/Y109/(1+W109*(X109-1))</f>
        <v>39734.476547616992</v>
      </c>
      <c r="U109" s="6">
        <f>VLOOKUP($S$13,角色设定!$AB$9:$AJ$21,MATCH(F$17,角色设定!$AB$9:$AJ$9,0),0)*F109*$L$15/(1+V109/$N$16)</f>
        <v>338086.42340653652</v>
      </c>
      <c r="V109" s="6">
        <f>VLOOKUP($S$13,角色设定!$AB$9:$AJ$21,MATCH(V$17,角色设定!$AB$9:$AJ$9,0),0)*G109*$L$15</f>
        <v>317875.81238093594</v>
      </c>
      <c r="W109" s="6">
        <f>VLOOKUP($S$13,角色设定!$AB$9:$AJ$21,MATCH(W$17,角色设定!$AB$9:$AJ$9,0),0)*H109</f>
        <v>0.4</v>
      </c>
      <c r="X109" s="6">
        <f>VLOOKUP($S$13,角色设定!$AB$9:$AJ$21,MATCH(X$17,角色设定!$AB$9:$AJ$9,0),0)*I109</f>
        <v>1.5</v>
      </c>
      <c r="Y109" s="6">
        <f>VLOOKUP($S$13,角色设定!$AB$9:$AJ$21,MATCH(Y$17,角色设定!$AB$9:$AJ$9,0),0)*J109</f>
        <v>0.9</v>
      </c>
      <c r="Z109" s="6">
        <f>VLOOKUP($S$13,角色设定!$AB$9:$AJ$21,MATCH(Z$17,角色设定!$AB$9:$AJ$9,0),0)</f>
        <v>0.75</v>
      </c>
      <c r="AA109" s="6"/>
      <c r="AB109" s="6"/>
      <c r="AC109" s="6">
        <f>T109*战斗公式!$E$39*(1+W109*(X109-1))*Y109</f>
        <v>1072830.8667856588</v>
      </c>
      <c r="AD109" s="6">
        <f>U109*战斗公式!$E$41*(1+V109*战斗公式!$E$40)</f>
        <v>1412781.3883597152</v>
      </c>
      <c r="AE109" s="22">
        <f t="shared" si="35"/>
        <v>2485612.2551453738</v>
      </c>
      <c r="AF109" s="22">
        <f t="shared" si="39"/>
        <v>118362.48834025627</v>
      </c>
      <c r="AG109" s="22"/>
      <c r="AH109" s="9">
        <f t="shared" si="36"/>
        <v>11125.653433332758</v>
      </c>
      <c r="AI109" s="9">
        <f t="shared" si="37"/>
        <v>94664.19855383024</v>
      </c>
      <c r="AJ109" s="9">
        <f t="shared" si="38"/>
        <v>89005.227466662065</v>
      </c>
      <c r="AK109" s="9">
        <f t="shared" si="40"/>
        <v>529.79302063489558</v>
      </c>
      <c r="AL109" s="9">
        <f t="shared" si="41"/>
        <v>1119.2907679069904</v>
      </c>
      <c r="AM109" s="9">
        <f t="shared" si="42"/>
        <v>4238.3441650791938</v>
      </c>
    </row>
    <row r="110" spans="4:39" ht="14.25" customHeight="1" x14ac:dyDescent="0.2">
      <c r="D110" s="1">
        <v>93</v>
      </c>
      <c r="E110" s="6">
        <f t="shared" si="33"/>
        <v>652.70500142218827</v>
      </c>
      <c r="F110" s="6">
        <f t="shared" si="33"/>
        <v>5488.6556937774922</v>
      </c>
      <c r="G110" s="6">
        <f t="shared" si="33"/>
        <v>504.36295564441821</v>
      </c>
      <c r="H110" s="6">
        <v>0.4</v>
      </c>
      <c r="I110" s="6">
        <v>1.5</v>
      </c>
      <c r="J110" s="6">
        <v>1</v>
      </c>
      <c r="K110" s="26">
        <f t="shared" si="34"/>
        <v>1.0278649073935024</v>
      </c>
      <c r="L110" s="6">
        <f t="shared" si="27"/>
        <v>57111.687624441474</v>
      </c>
      <c r="M110" s="6">
        <f t="shared" si="28"/>
        <v>468703.40333025547</v>
      </c>
      <c r="N110" s="6">
        <f t="shared" si="29"/>
        <v>75654.443346662738</v>
      </c>
      <c r="O110" s="6">
        <f t="shared" si="43"/>
        <v>0.4</v>
      </c>
      <c r="P110" s="6">
        <f t="shared" si="44"/>
        <v>1.5</v>
      </c>
      <c r="Q110" s="6">
        <f t="shared" si="45"/>
        <v>1</v>
      </c>
      <c r="R110" s="6"/>
      <c r="S110" s="38">
        <v>93</v>
      </c>
      <c r="T110" s="6">
        <f>VLOOKUP($S$13,角色设定!$AB$9:$AJ$21,MATCH(E$17,角色设定!$AB$9:$AJ$9,0),0)*Z110*$L$15*E110/Y110/(1+W110*(X110-1))</f>
        <v>41721.200374997832</v>
      </c>
      <c r="U110" s="6">
        <f>VLOOKUP($S$13,角色设定!$AB$9:$AJ$21,MATCH(F$17,角色设定!$AB$9:$AJ$9,0),0)*F110*$L$15/(1+V110/$N$16)</f>
        <v>341983.49711880577</v>
      </c>
      <c r="V110" s="6">
        <f>VLOOKUP($S$13,角色设定!$AB$9:$AJ$21,MATCH(V$17,角色设定!$AB$9:$AJ$9,0),0)*G110*$L$15</f>
        <v>333769.60299998254</v>
      </c>
      <c r="W110" s="6">
        <f>VLOOKUP($S$13,角色设定!$AB$9:$AJ$21,MATCH(W$17,角色设定!$AB$9:$AJ$9,0),0)*H110</f>
        <v>0.4</v>
      </c>
      <c r="X110" s="6">
        <f>VLOOKUP($S$13,角色设定!$AB$9:$AJ$21,MATCH(X$17,角色设定!$AB$9:$AJ$9,0),0)*I110</f>
        <v>1.5</v>
      </c>
      <c r="Y110" s="6">
        <f>VLOOKUP($S$13,角色设定!$AB$9:$AJ$21,MATCH(Y$17,角色设定!$AB$9:$AJ$9,0),0)*J110</f>
        <v>0.9</v>
      </c>
      <c r="Z110" s="6">
        <f>VLOOKUP($S$13,角色设定!$AB$9:$AJ$21,MATCH(Z$17,角色设定!$AB$9:$AJ$9,0),0)</f>
        <v>0.75</v>
      </c>
      <c r="AA110" s="6"/>
      <c r="AB110" s="6"/>
      <c r="AC110" s="6">
        <f>T110*战斗公式!$E$39*(1+W110*(X110-1))*Y110</f>
        <v>1126472.4101249413</v>
      </c>
      <c r="AD110" s="6">
        <f>U110*战斗公式!$E$41*(1+V110*战斗公式!$E$40)</f>
        <v>1483420.4577777006</v>
      </c>
      <c r="AE110" s="22">
        <f t="shared" si="35"/>
        <v>2609892.8679026421</v>
      </c>
      <c r="AF110" s="22">
        <f t="shared" si="39"/>
        <v>124280.61275726836</v>
      </c>
      <c r="AG110" s="22"/>
      <c r="AH110" s="9">
        <f t="shared" si="36"/>
        <v>11681.936104999395</v>
      </c>
      <c r="AI110" s="9">
        <f t="shared" si="37"/>
        <v>95755.379193265631</v>
      </c>
      <c r="AJ110" s="9">
        <f t="shared" si="38"/>
        <v>93455.488839995116</v>
      </c>
      <c r="AK110" s="9">
        <f t="shared" si="40"/>
        <v>556.28267166663682</v>
      </c>
      <c r="AL110" s="9">
        <f t="shared" si="41"/>
        <v>1091.1806394353916</v>
      </c>
      <c r="AM110" s="9">
        <f t="shared" si="42"/>
        <v>4450.2613733330509</v>
      </c>
    </row>
    <row r="111" spans="4:39" ht="14.25" customHeight="1" x14ac:dyDescent="0.2">
      <c r="D111" s="1">
        <v>94</v>
      </c>
      <c r="E111" s="6">
        <f t="shared" si="33"/>
        <v>685.34025149329773</v>
      </c>
      <c r="F111" s="6">
        <f t="shared" si="33"/>
        <v>5763.0884784663676</v>
      </c>
      <c r="G111" s="6">
        <f t="shared" si="33"/>
        <v>529.58110342663929</v>
      </c>
      <c r="H111" s="6">
        <v>0.4</v>
      </c>
      <c r="I111" s="6">
        <v>1.5</v>
      </c>
      <c r="J111" s="6">
        <v>1</v>
      </c>
      <c r="K111" s="26">
        <f t="shared" si="34"/>
        <v>1.0272614721821602</v>
      </c>
      <c r="L111" s="6">
        <f t="shared" si="27"/>
        <v>59967.272005663552</v>
      </c>
      <c r="M111" s="6">
        <f t="shared" si="28"/>
        <v>481763.78025907243</v>
      </c>
      <c r="N111" s="6">
        <f t="shared" si="29"/>
        <v>79437.165513995889</v>
      </c>
      <c r="O111" s="6">
        <f t="shared" si="43"/>
        <v>0.4</v>
      </c>
      <c r="P111" s="6">
        <f t="shared" si="44"/>
        <v>1.5</v>
      </c>
      <c r="Q111" s="6">
        <f t="shared" si="45"/>
        <v>1</v>
      </c>
      <c r="R111" s="6"/>
      <c r="S111" s="38">
        <v>94</v>
      </c>
      <c r="T111" s="6">
        <f>VLOOKUP($S$13,角色设定!$AB$9:$AJ$21,MATCH(E$17,角色设定!$AB$9:$AJ$9,0),0)*Z111*$L$15*E111/Y111/(1+W111*(X111-1))</f>
        <v>43807.260393747725</v>
      </c>
      <c r="U111" s="6">
        <f>VLOOKUP($S$13,角色设定!$AB$9:$AJ$21,MATCH(F$17,角色设定!$AB$9:$AJ$9,0),0)*F111*$L$15/(1+V111/$N$16)</f>
        <v>345779.44961595442</v>
      </c>
      <c r="V111" s="6">
        <f>VLOOKUP($S$13,角色设定!$AB$9:$AJ$21,MATCH(V$17,角色设定!$AB$9:$AJ$9,0),0)*G111*$L$15</f>
        <v>350458.08314998186</v>
      </c>
      <c r="W111" s="6">
        <f>VLOOKUP($S$13,角色设定!$AB$9:$AJ$21,MATCH(W$17,角色设定!$AB$9:$AJ$9,0),0)*H111</f>
        <v>0.4</v>
      </c>
      <c r="X111" s="6">
        <f>VLOOKUP($S$13,角色设定!$AB$9:$AJ$21,MATCH(X$17,角色设定!$AB$9:$AJ$9,0),0)*I111</f>
        <v>1.5</v>
      </c>
      <c r="Y111" s="6">
        <f>VLOOKUP($S$13,角色设定!$AB$9:$AJ$21,MATCH(Y$17,角色设定!$AB$9:$AJ$9,0),0)*J111</f>
        <v>0.9</v>
      </c>
      <c r="Z111" s="6">
        <f>VLOOKUP($S$13,角色设定!$AB$9:$AJ$21,MATCH(Z$17,角色设定!$AB$9:$AJ$9,0),0)</f>
        <v>0.75</v>
      </c>
      <c r="AA111" s="6"/>
      <c r="AB111" s="6"/>
      <c r="AC111" s="6">
        <f>T111*战斗公式!$E$39*(1+W111*(X111-1))*Y111</f>
        <v>1182796.0306311885</v>
      </c>
      <c r="AD111" s="6">
        <f>U111*战斗公式!$E$41*(1+V111*战斗公式!$E$40)</f>
        <v>1557591.4806665857</v>
      </c>
      <c r="AE111" s="22">
        <f t="shared" si="35"/>
        <v>2740387.5112977745</v>
      </c>
      <c r="AF111" s="22">
        <f t="shared" si="39"/>
        <v>130494.64339513239</v>
      </c>
      <c r="AG111" s="22"/>
      <c r="AH111" s="9">
        <f t="shared" si="36"/>
        <v>12266.032910249363</v>
      </c>
      <c r="AI111" s="9">
        <f t="shared" si="37"/>
        <v>96818.245892467254</v>
      </c>
      <c r="AJ111" s="9">
        <f t="shared" si="38"/>
        <v>98128.263281994936</v>
      </c>
      <c r="AK111" s="9">
        <f t="shared" si="40"/>
        <v>584.09680524996838</v>
      </c>
      <c r="AL111" s="9">
        <f t="shared" si="41"/>
        <v>1062.8666992016224</v>
      </c>
      <c r="AM111" s="9">
        <f t="shared" si="42"/>
        <v>4672.7744419998198</v>
      </c>
    </row>
    <row r="112" spans="4:39" ht="14.25" customHeight="1" x14ac:dyDescent="0.2">
      <c r="D112" s="1">
        <v>95</v>
      </c>
      <c r="E112" s="6">
        <f t="shared" si="33"/>
        <v>719.60726406796243</v>
      </c>
      <c r="F112" s="6">
        <f t="shared" si="33"/>
        <v>6051.2429023896839</v>
      </c>
      <c r="G112" s="6">
        <f t="shared" si="33"/>
        <v>556.06015859797094</v>
      </c>
      <c r="H112" s="6">
        <v>0.4</v>
      </c>
      <c r="I112" s="6">
        <v>1.5</v>
      </c>
      <c r="J112" s="6">
        <v>1</v>
      </c>
      <c r="K112" s="26">
        <f t="shared" si="34"/>
        <v>1.0266553683474964</v>
      </c>
      <c r="L112" s="6">
        <f t="shared" si="27"/>
        <v>62965.635605946707</v>
      </c>
      <c r="M112" s="6">
        <f t="shared" si="28"/>
        <v>494897.37015297747</v>
      </c>
      <c r="N112" s="6">
        <f t="shared" si="29"/>
        <v>83409.023789695639</v>
      </c>
      <c r="O112" s="6">
        <f t="shared" si="43"/>
        <v>0.4</v>
      </c>
      <c r="P112" s="6">
        <f t="shared" si="44"/>
        <v>1.5</v>
      </c>
      <c r="Q112" s="6">
        <f t="shared" si="45"/>
        <v>1</v>
      </c>
      <c r="R112" s="6"/>
      <c r="S112" s="38">
        <v>95</v>
      </c>
      <c r="T112" s="6">
        <f>VLOOKUP($S$13,角色设定!$AB$9:$AJ$21,MATCH(E$17,角色设定!$AB$9:$AJ$9,0),0)*Z112*$L$15*E112/Y112/(1+W112*(X112-1))</f>
        <v>45997.623413435096</v>
      </c>
      <c r="U112" s="6">
        <f>VLOOKUP($S$13,角色设定!$AB$9:$AJ$21,MATCH(F$17,角色设定!$AB$9:$AJ$9,0),0)*F112*$L$15/(1+V112/$N$16)</f>
        <v>349473.82459051692</v>
      </c>
      <c r="V112" s="6">
        <f>VLOOKUP($S$13,角色设定!$AB$9:$AJ$21,MATCH(V$17,角色设定!$AB$9:$AJ$9,0),0)*G112*$L$15</f>
        <v>367980.98730748071</v>
      </c>
      <c r="W112" s="6">
        <f>VLOOKUP($S$13,角色设定!$AB$9:$AJ$21,MATCH(W$17,角色设定!$AB$9:$AJ$9,0),0)*H112</f>
        <v>0.4</v>
      </c>
      <c r="X112" s="6">
        <f>VLOOKUP($S$13,角色设定!$AB$9:$AJ$21,MATCH(X$17,角色设定!$AB$9:$AJ$9,0),0)*I112</f>
        <v>1.5</v>
      </c>
      <c r="Y112" s="6">
        <f>VLOOKUP($S$13,角色设定!$AB$9:$AJ$21,MATCH(Y$17,角色设定!$AB$9:$AJ$9,0),0)*J112</f>
        <v>0.9</v>
      </c>
      <c r="Z112" s="6">
        <f>VLOOKUP($S$13,角色设定!$AB$9:$AJ$21,MATCH(Z$17,角色设定!$AB$9:$AJ$9,0),0)</f>
        <v>0.75</v>
      </c>
      <c r="AA112" s="6"/>
      <c r="AB112" s="6"/>
      <c r="AC112" s="6">
        <f>T112*战斗公式!$E$39*(1+W112*(X112-1))*Y112</f>
        <v>1241935.8321627476</v>
      </c>
      <c r="AD112" s="6">
        <f>U112*战斗公式!$E$41*(1+V112*战斗公式!$E$40)</f>
        <v>1635471.0546999145</v>
      </c>
      <c r="AE112" s="22">
        <f t="shared" si="35"/>
        <v>2877406.8868626622</v>
      </c>
      <c r="AF112" s="22">
        <f t="shared" si="39"/>
        <v>137019.37556488765</v>
      </c>
      <c r="AG112" s="22"/>
      <c r="AH112" s="9">
        <f t="shared" si="36"/>
        <v>12879.334555761829</v>
      </c>
      <c r="AI112" s="9">
        <f t="shared" si="37"/>
        <v>97852.670885344749</v>
      </c>
      <c r="AJ112" s="9">
        <f t="shared" si="38"/>
        <v>103034.67644609461</v>
      </c>
      <c r="AK112" s="9">
        <f t="shared" si="40"/>
        <v>613.30164551246526</v>
      </c>
      <c r="AL112" s="9">
        <f t="shared" si="41"/>
        <v>1034.4249928774952</v>
      </c>
      <c r="AM112" s="9">
        <f t="shared" si="42"/>
        <v>4906.4131640996784</v>
      </c>
    </row>
    <row r="113" spans="4:39" ht="14.25" customHeight="1" x14ac:dyDescent="0.2">
      <c r="D113" s="1">
        <v>96</v>
      </c>
      <c r="E113" s="6">
        <f t="shared" si="33"/>
        <v>755.58762727136082</v>
      </c>
      <c r="F113" s="6">
        <f t="shared" si="33"/>
        <v>6353.8050475091704</v>
      </c>
      <c r="G113" s="6">
        <f t="shared" si="33"/>
        <v>583.86316652786979</v>
      </c>
      <c r="H113" s="6">
        <v>0.4</v>
      </c>
      <c r="I113" s="6">
        <v>1.5</v>
      </c>
      <c r="J113" s="6">
        <v>1</v>
      </c>
      <c r="K113" s="26">
        <f t="shared" si="34"/>
        <v>1.026047303638514</v>
      </c>
      <c r="L113" s="6">
        <f t="shared" si="27"/>
        <v>66113.917386244066</v>
      </c>
      <c r="M113" s="6">
        <f t="shared" si="28"/>
        <v>508089.04184861237</v>
      </c>
      <c r="N113" s="6">
        <f t="shared" si="29"/>
        <v>87579.474979180464</v>
      </c>
      <c r="O113" s="6">
        <f t="shared" si="43"/>
        <v>0.4</v>
      </c>
      <c r="P113" s="6">
        <f t="shared" si="44"/>
        <v>1.5</v>
      </c>
      <c r="Q113" s="6">
        <f t="shared" si="45"/>
        <v>1</v>
      </c>
      <c r="R113" s="6"/>
      <c r="S113" s="38">
        <v>96</v>
      </c>
      <c r="T113" s="6">
        <f>VLOOKUP($S$13,角色设定!$AB$9:$AJ$21,MATCH(E$17,角色设定!$AB$9:$AJ$9,0),0)*Z113*$L$15*E113/Y113/(1+W113*(X113-1))</f>
        <v>48297.504584106864</v>
      </c>
      <c r="U113" s="6">
        <f>VLOOKUP($S$13,角色设定!$AB$9:$AJ$21,MATCH(F$17,角色设定!$AB$9:$AJ$9,0),0)*F113*$L$15/(1+V113/$N$16)</f>
        <v>353066.42500830081</v>
      </c>
      <c r="V113" s="6">
        <f>VLOOKUP($S$13,角色设定!$AB$9:$AJ$21,MATCH(V$17,角色设定!$AB$9:$AJ$9,0),0)*G113*$L$15</f>
        <v>386380.03667285497</v>
      </c>
      <c r="W113" s="6">
        <f>VLOOKUP($S$13,角色设定!$AB$9:$AJ$21,MATCH(W$17,角色设定!$AB$9:$AJ$9,0),0)*H113</f>
        <v>0.4</v>
      </c>
      <c r="X113" s="6">
        <f>VLOOKUP($S$13,角色设定!$AB$9:$AJ$21,MATCH(X$17,角色设定!$AB$9:$AJ$9,0),0)*I113</f>
        <v>1.5</v>
      </c>
      <c r="Y113" s="6">
        <f>VLOOKUP($S$13,角色设定!$AB$9:$AJ$21,MATCH(Y$17,角色设定!$AB$9:$AJ$9,0),0)*J113</f>
        <v>0.9</v>
      </c>
      <c r="Z113" s="6">
        <f>VLOOKUP($S$13,角色设定!$AB$9:$AJ$21,MATCH(Z$17,角色设定!$AB$9:$AJ$9,0),0)</f>
        <v>0.75</v>
      </c>
      <c r="AA113" s="6"/>
      <c r="AB113" s="6"/>
      <c r="AC113" s="6">
        <f>T113*战斗公式!$E$39*(1+W113*(X113-1))*Y113</f>
        <v>1304032.6237708854</v>
      </c>
      <c r="AD113" s="6">
        <f>U113*战斗公式!$E$41*(1+V113*战斗公式!$E$40)</f>
        <v>1717244.6074349117</v>
      </c>
      <c r="AE113" s="22">
        <f t="shared" si="35"/>
        <v>3021277.2312057968</v>
      </c>
      <c r="AF113" s="22">
        <f t="shared" si="39"/>
        <v>143870.34434313467</v>
      </c>
      <c r="AG113" s="22"/>
      <c r="AH113" s="9">
        <f t="shared" si="36"/>
        <v>13523.301283549923</v>
      </c>
      <c r="AI113" s="9">
        <f t="shared" si="37"/>
        <v>98858.599002324234</v>
      </c>
      <c r="AJ113" s="9">
        <f t="shared" si="38"/>
        <v>108186.4102683994</v>
      </c>
      <c r="AK113" s="9">
        <f t="shared" si="40"/>
        <v>643.96672778809443</v>
      </c>
      <c r="AL113" s="9">
        <f t="shared" si="41"/>
        <v>1005.9281169794849</v>
      </c>
      <c r="AM113" s="9">
        <f t="shared" si="42"/>
        <v>5151.7338223047846</v>
      </c>
    </row>
    <row r="114" spans="4:39" ht="14.25" customHeight="1" x14ac:dyDescent="0.2">
      <c r="D114" s="1">
        <v>97</v>
      </c>
      <c r="E114" s="6">
        <f t="shared" si="33"/>
        <v>793.36700863492877</v>
      </c>
      <c r="F114" s="6">
        <f t="shared" si="33"/>
        <v>6671.4952998846284</v>
      </c>
      <c r="G114" s="6">
        <f t="shared" si="33"/>
        <v>613.05632485426327</v>
      </c>
      <c r="H114" s="6">
        <v>0.4</v>
      </c>
      <c r="I114" s="6">
        <v>1.5</v>
      </c>
      <c r="J114" s="6">
        <v>1</v>
      </c>
      <c r="K114" s="26">
        <f t="shared" si="34"/>
        <v>1.0254379950666377</v>
      </c>
      <c r="L114" s="6">
        <f t="shared" si="27"/>
        <v>69419.613255556251</v>
      </c>
      <c r="M114" s="6">
        <f t="shared" ref="M114:M117" si="46">F114/(1+N114/$N$16)*$L$15</f>
        <v>521323.39139704488</v>
      </c>
      <c r="N114" s="6">
        <f t="shared" si="29"/>
        <v>91958.448728139483</v>
      </c>
      <c r="O114" s="6">
        <f t="shared" si="43"/>
        <v>0.4</v>
      </c>
      <c r="P114" s="6">
        <f t="shared" si="44"/>
        <v>1.5</v>
      </c>
      <c r="Q114" s="6">
        <f t="shared" si="45"/>
        <v>1</v>
      </c>
      <c r="R114" s="6"/>
      <c r="S114" s="38">
        <v>97</v>
      </c>
      <c r="T114" s="6">
        <f>VLOOKUP($S$13,角色设定!$AB$9:$AJ$21,MATCH(E$17,角色设定!$AB$9:$AJ$9,0),0)*Z114*$L$15*E114/Y114/(1+W114*(X114-1))</f>
        <v>50712.379813312211</v>
      </c>
      <c r="U114" s="6">
        <f>VLOOKUP($S$13,角色设定!$AB$9:$AJ$21,MATCH(F$17,角色设定!$AB$9:$AJ$9,0),0)*F114*$L$15/(1+V114/$N$16)</f>
        <v>356557.29999642627</v>
      </c>
      <c r="V114" s="6">
        <f>VLOOKUP($S$13,角色设定!$AB$9:$AJ$21,MATCH(V$17,角色设定!$AB$9:$AJ$9,0),0)*G114*$L$15</f>
        <v>405699.03850649769</v>
      </c>
      <c r="W114" s="6">
        <f>VLOOKUP($S$13,角色设定!$AB$9:$AJ$21,MATCH(W$17,角色设定!$AB$9:$AJ$9,0),0)*H114</f>
        <v>0.4</v>
      </c>
      <c r="X114" s="6">
        <f>VLOOKUP($S$13,角色设定!$AB$9:$AJ$21,MATCH(X$17,角色设定!$AB$9:$AJ$9,0),0)*I114</f>
        <v>1.5</v>
      </c>
      <c r="Y114" s="6">
        <f>VLOOKUP($S$13,角色设定!$AB$9:$AJ$21,MATCH(Y$17,角色设定!$AB$9:$AJ$9,0),0)*J114</f>
        <v>0.9</v>
      </c>
      <c r="Z114" s="6">
        <f>VLOOKUP($S$13,角色设定!$AB$9:$AJ$21,MATCH(Z$17,角色设定!$AB$9:$AJ$9,0),0)</f>
        <v>0.75</v>
      </c>
      <c r="AA114" s="6"/>
      <c r="AB114" s="6"/>
      <c r="AC114" s="6">
        <f>T114*战斗公式!$E$39*(1+W114*(X114-1))*Y114</f>
        <v>1369234.2549594296</v>
      </c>
      <c r="AD114" s="6">
        <f>U114*战斗公式!$E$41*(1+V114*战斗公式!$E$40)</f>
        <v>1803106.8378066563</v>
      </c>
      <c r="AE114" s="22">
        <f t="shared" si="35"/>
        <v>3172341.0927660856</v>
      </c>
      <c r="AF114" s="22">
        <f t="shared" si="39"/>
        <v>151063.86156028882</v>
      </c>
      <c r="AG114" s="22"/>
      <c r="AH114" s="9">
        <f t="shared" si="36"/>
        <v>14199.466347727421</v>
      </c>
      <c r="AI114" s="9">
        <f t="shared" si="37"/>
        <v>99836.043998999361</v>
      </c>
      <c r="AJ114" s="9">
        <f t="shared" si="38"/>
        <v>113595.73078181937</v>
      </c>
      <c r="AK114" s="9">
        <f t="shared" si="40"/>
        <v>676.1650641774977</v>
      </c>
      <c r="AL114" s="9">
        <f t="shared" si="41"/>
        <v>977.44499667512719</v>
      </c>
      <c r="AM114" s="9">
        <f t="shared" si="42"/>
        <v>5409.320513419967</v>
      </c>
    </row>
    <row r="115" spans="4:39" ht="14.25" customHeight="1" x14ac:dyDescent="0.2">
      <c r="D115" s="1">
        <v>98</v>
      </c>
      <c r="E115" s="6">
        <f t="shared" si="33"/>
        <v>833.03535906667526</v>
      </c>
      <c r="F115" s="6">
        <f t="shared" si="33"/>
        <v>7005.0700648788597</v>
      </c>
      <c r="G115" s="6">
        <f t="shared" si="33"/>
        <v>643.7091410969764</v>
      </c>
      <c r="H115" s="6">
        <v>0.4</v>
      </c>
      <c r="I115" s="6">
        <v>1.5</v>
      </c>
      <c r="J115" s="6">
        <v>1</v>
      </c>
      <c r="K115" s="26">
        <f t="shared" si="34"/>
        <v>1.024828165542107</v>
      </c>
      <c r="L115" s="6">
        <f t="shared" si="27"/>
        <v>72890.593918334082</v>
      </c>
      <c r="M115" s="6">
        <f t="shared" si="46"/>
        <v>534584.81325552578</v>
      </c>
      <c r="N115" s="6">
        <f t="shared" si="29"/>
        <v>96556.371164546465</v>
      </c>
      <c r="O115" s="6">
        <f t="shared" si="43"/>
        <v>0.4</v>
      </c>
      <c r="P115" s="6">
        <f t="shared" si="44"/>
        <v>1.5</v>
      </c>
      <c r="Q115" s="6">
        <f t="shared" si="45"/>
        <v>1</v>
      </c>
      <c r="R115" s="6"/>
      <c r="S115" s="38">
        <v>98</v>
      </c>
      <c r="T115" s="6">
        <f>VLOOKUP($S$13,角色设定!$AB$9:$AJ$21,MATCH(E$17,角色设定!$AB$9:$AJ$9,0),0)*Z115*$L$15*E115/Y115/(1+W115*(X115-1))</f>
        <v>53247.998803977818</v>
      </c>
      <c r="U115" s="6">
        <f>VLOOKUP($S$13,角色设定!$AB$9:$AJ$21,MATCH(F$17,角色设定!$AB$9:$AJ$9,0),0)*F115*$L$15/(1+V115/$N$16)</f>
        <v>359946.7311053818</v>
      </c>
      <c r="V115" s="6">
        <f>VLOOKUP($S$13,角色设定!$AB$9:$AJ$21,MATCH(V$17,角色设定!$AB$9:$AJ$9,0),0)*G115*$L$15</f>
        <v>425983.99043182255</v>
      </c>
      <c r="W115" s="6">
        <f>VLOOKUP($S$13,角色设定!$AB$9:$AJ$21,MATCH(W$17,角色设定!$AB$9:$AJ$9,0),0)*H115</f>
        <v>0.4</v>
      </c>
      <c r="X115" s="6">
        <f>VLOOKUP($S$13,角色设定!$AB$9:$AJ$21,MATCH(X$17,角色设定!$AB$9:$AJ$9,0),0)*I115</f>
        <v>1.5</v>
      </c>
      <c r="Y115" s="6">
        <f>VLOOKUP($S$13,角色设定!$AB$9:$AJ$21,MATCH(Y$17,角色设定!$AB$9:$AJ$9,0),0)*J115</f>
        <v>0.9</v>
      </c>
      <c r="Z115" s="6">
        <f>VLOOKUP($S$13,角色设定!$AB$9:$AJ$21,MATCH(Z$17,角色设定!$AB$9:$AJ$9,0),0)</f>
        <v>0.75</v>
      </c>
      <c r="AA115" s="6"/>
      <c r="AB115" s="6"/>
      <c r="AC115" s="6">
        <f>T115*战斗公式!$E$39*(1+W115*(X115-1))*Y115</f>
        <v>1437695.9677074011</v>
      </c>
      <c r="AD115" s="6">
        <f>U115*战斗公式!$E$41*(1+V115*战斗公式!$E$40)</f>
        <v>1893262.1796969897</v>
      </c>
      <c r="AE115" s="22">
        <f t="shared" si="35"/>
        <v>3330958.1474043909</v>
      </c>
      <c r="AF115" s="22">
        <f t="shared" si="39"/>
        <v>158617.05463830521</v>
      </c>
      <c r="AG115" s="22"/>
      <c r="AH115" s="9">
        <f t="shared" si="36"/>
        <v>14909.43966511379</v>
      </c>
      <c r="AI115" s="9">
        <f t="shared" si="37"/>
        <v>100785.08470950692</v>
      </c>
      <c r="AJ115" s="9">
        <f t="shared" si="38"/>
        <v>119275.51732091032</v>
      </c>
      <c r="AK115" s="9">
        <f t="shared" si="40"/>
        <v>709.97331738636967</v>
      </c>
      <c r="AL115" s="9">
        <f t="shared" si="41"/>
        <v>949.04071050755738</v>
      </c>
      <c r="AM115" s="9">
        <f t="shared" si="42"/>
        <v>5679.7865390909574</v>
      </c>
    </row>
    <row r="116" spans="4:39" ht="14.25" customHeight="1" x14ac:dyDescent="0.2">
      <c r="D116" s="1">
        <v>99</v>
      </c>
      <c r="E116" s="6">
        <f t="shared" si="33"/>
        <v>874.68712702000903</v>
      </c>
      <c r="F116" s="6">
        <f t="shared" si="33"/>
        <v>7355.3235681228034</v>
      </c>
      <c r="G116" s="6">
        <f t="shared" si="33"/>
        <v>675.89459815182522</v>
      </c>
      <c r="H116" s="6">
        <v>0.4</v>
      </c>
      <c r="I116" s="6">
        <v>1.5</v>
      </c>
      <c r="J116" s="6">
        <v>1</v>
      </c>
      <c r="K116" s="26">
        <f>M117/M116</f>
        <v>1.0242185404510606</v>
      </c>
      <c r="L116" s="6">
        <f t="shared" si="27"/>
        <v>76535.123614250784</v>
      </c>
      <c r="M116" s="6">
        <f t="shared" si="46"/>
        <v>547857.57349533029</v>
      </c>
      <c r="N116" s="6">
        <f t="shared" si="29"/>
        <v>101384.18972277378</v>
      </c>
      <c r="O116" s="6">
        <f t="shared" si="43"/>
        <v>0.4</v>
      </c>
      <c r="P116" s="6">
        <f t="shared" si="44"/>
        <v>1.5</v>
      </c>
      <c r="Q116" s="6">
        <f t="shared" si="45"/>
        <v>1</v>
      </c>
      <c r="R116" s="6"/>
      <c r="S116" s="38">
        <v>99</v>
      </c>
      <c r="T116" s="6">
        <f>VLOOKUP($S$13,角色设定!$AB$9:$AJ$21,MATCH(E$17,角色设定!$AB$9:$AJ$9,0),0)*Z116*$L$15*E116/Y116/(1+W116*(X116-1))</f>
        <v>55910.398744176709</v>
      </c>
      <c r="U116" s="6">
        <f>VLOOKUP($S$13,角色设定!$AB$9:$AJ$21,MATCH(F$17,角色设定!$AB$9:$AJ$9,0),0)*F116*$L$15/(1+V116/$N$16)</f>
        <v>363235.21810546686</v>
      </c>
      <c r="V116" s="6">
        <f>VLOOKUP($S$13,角色设定!$AB$9:$AJ$21,MATCH(V$17,角色设定!$AB$9:$AJ$9,0),0)*G116*$L$15</f>
        <v>447283.18995341368</v>
      </c>
      <c r="W116" s="6">
        <f>VLOOKUP($S$13,角色设定!$AB$9:$AJ$21,MATCH(W$17,角色设定!$AB$9:$AJ$9,0),0)*H116</f>
        <v>0.4</v>
      </c>
      <c r="X116" s="6">
        <f>VLOOKUP($S$13,角色设定!$AB$9:$AJ$21,MATCH(X$17,角色设定!$AB$9:$AJ$9,0),0)*I116</f>
        <v>1.5</v>
      </c>
      <c r="Y116" s="6">
        <f>VLOOKUP($S$13,角色设定!$AB$9:$AJ$21,MATCH(Y$17,角色设定!$AB$9:$AJ$9,0),0)*J116</f>
        <v>0.9</v>
      </c>
      <c r="Z116" s="6">
        <f>VLOOKUP($S$13,角色设定!$AB$9:$AJ$21,MATCH(Z$17,角色设定!$AB$9:$AJ$9,0),0)</f>
        <v>0.75</v>
      </c>
      <c r="AA116" s="6"/>
      <c r="AB116" s="6"/>
      <c r="AC116" s="6">
        <f>T116*战斗公式!$E$39*(1+W116*(X116-1))*Y116</f>
        <v>1509580.7660927712</v>
      </c>
      <c r="AD116" s="6">
        <f>U116*战斗公式!$E$41*(1+V116*战斗公式!$E$40)</f>
        <v>1987925.2886818389</v>
      </c>
      <c r="AE116" s="22">
        <f t="shared" si="35"/>
        <v>3497506.0547746103</v>
      </c>
      <c r="AF116" s="22">
        <f t="shared" si="39"/>
        <v>166547.90737021947</v>
      </c>
      <c r="AG116" s="22"/>
      <c r="AH116" s="9">
        <f t="shared" si="36"/>
        <v>15654.91164836948</v>
      </c>
      <c r="AI116" s="9">
        <f t="shared" si="37"/>
        <v>101705.86106953073</v>
      </c>
      <c r="AJ116" s="9">
        <f t="shared" si="38"/>
        <v>125239.29318695584</v>
      </c>
      <c r="AK116" s="9">
        <f t="shared" si="40"/>
        <v>745.47198325568934</v>
      </c>
      <c r="AL116" s="9">
        <f t="shared" si="41"/>
        <v>920.77636002381041</v>
      </c>
      <c r="AM116" s="9">
        <f t="shared" si="42"/>
        <v>5963.7758660455147</v>
      </c>
    </row>
    <row r="117" spans="4:39" ht="14.25" customHeight="1" x14ac:dyDescent="0.2">
      <c r="D117" s="1">
        <v>100</v>
      </c>
      <c r="E117" s="6">
        <f t="shared" si="33"/>
        <v>918.42148337100957</v>
      </c>
      <c r="F117" s="6">
        <f t="shared" si="33"/>
        <v>7723.0897465289445</v>
      </c>
      <c r="G117" s="6">
        <f t="shared" si="33"/>
        <v>709.68932805941654</v>
      </c>
      <c r="H117" s="6">
        <v>0.4</v>
      </c>
      <c r="I117" s="6">
        <v>1.5</v>
      </c>
      <c r="J117" s="6">
        <v>1</v>
      </c>
      <c r="K117" s="26"/>
      <c r="L117" s="6">
        <f t="shared" si="27"/>
        <v>80361.87979496333</v>
      </c>
      <c r="M117" s="6">
        <f t="shared" si="46"/>
        <v>561125.88430044684</v>
      </c>
      <c r="N117" s="6">
        <f t="shared" si="29"/>
        <v>106453.39920891248</v>
      </c>
      <c r="O117" s="6">
        <f t="shared" si="43"/>
        <v>0.4</v>
      </c>
      <c r="P117" s="6">
        <f t="shared" si="44"/>
        <v>1.5</v>
      </c>
      <c r="Q117" s="6">
        <f t="shared" si="45"/>
        <v>1</v>
      </c>
      <c r="R117" s="6"/>
      <c r="S117" s="38">
        <v>100</v>
      </c>
      <c r="T117" s="6">
        <f>VLOOKUP($S$13,角色设定!$AB$9:$AJ$21,MATCH(E$17,角色设定!$AB$9:$AJ$9,0),0)*Z117*$L$15*E117/Y117/(1+W117*(X117-1))</f>
        <v>58705.918681385556</v>
      </c>
      <c r="U117" s="6">
        <f>VLOOKUP($S$13,角色设定!$AB$9:$AJ$21,MATCH(F$17,角色设定!$AB$9:$AJ$9,0),0)*F117*$L$15/(1+V117/$N$16)</f>
        <v>366423.46446925215</v>
      </c>
      <c r="V117" s="6">
        <f>VLOOKUP($S$13,角色设定!$AB$9:$AJ$21,MATCH(V$17,角色设定!$AB$9:$AJ$9,0),0)*G117*$L$15</f>
        <v>469647.34945108439</v>
      </c>
      <c r="W117" s="6">
        <f>VLOOKUP($S$13,角色设定!$AB$9:$AJ$21,MATCH(W$17,角色设定!$AB$9:$AJ$9,0),0)*H117</f>
        <v>0.4</v>
      </c>
      <c r="X117" s="6">
        <f>VLOOKUP($S$13,角色设定!$AB$9:$AJ$21,MATCH(X$17,角色设定!$AB$9:$AJ$9,0),0)*I117</f>
        <v>1.5</v>
      </c>
      <c r="Y117" s="6">
        <f>VLOOKUP($S$13,角色设定!$AB$9:$AJ$21,MATCH(Y$17,角色设定!$AB$9:$AJ$9,0),0)*J117</f>
        <v>0.9</v>
      </c>
      <c r="Z117" s="6">
        <f>VLOOKUP($S$13,角色设定!$AB$9:$AJ$21,MATCH(Z$17,角色设定!$AB$9:$AJ$9,0),0)</f>
        <v>0.75</v>
      </c>
      <c r="AA117" s="6"/>
      <c r="AB117" s="6"/>
      <c r="AC117" s="6">
        <f>T117*战斗公式!$E$39*(1+W117*(X117-1))*Y117</f>
        <v>1585059.80439741</v>
      </c>
      <c r="AD117" s="6">
        <f>U117*战斗公式!$E$41*(1+V117*战斗公式!$E$40)</f>
        <v>2087321.5531159309</v>
      </c>
      <c r="AE117" s="22">
        <f t="shared" si="35"/>
        <v>3672381.3575133411</v>
      </c>
      <c r="AF117" s="22">
        <f t="shared" si="39"/>
        <v>174875.3027387308</v>
      </c>
      <c r="AG117" s="22"/>
      <c r="AH117" s="9">
        <f t="shared" si="36"/>
        <v>16437.657230787958</v>
      </c>
      <c r="AI117" s="9">
        <f t="shared" si="37"/>
        <v>102598.57005139062</v>
      </c>
      <c r="AJ117" s="9">
        <f t="shared" si="38"/>
        <v>131501.25784630363</v>
      </c>
      <c r="AK117" s="9">
        <f t="shared" si="40"/>
        <v>782.74558241847808</v>
      </c>
      <c r="AL117" s="9">
        <f t="shared" si="41"/>
        <v>892.70898185989063</v>
      </c>
      <c r="AM117" s="9">
        <f t="shared" si="42"/>
        <v>6261.9646593477955</v>
      </c>
    </row>
    <row r="118" spans="4:39" ht="14.25" customHeight="1" x14ac:dyDescent="0.2">
      <c r="M118" s="6">
        <f>M117/L117</f>
        <v>6.982488285890188</v>
      </c>
      <c r="N118" s="6">
        <f>M117/N117</f>
        <v>5.2710940981720036</v>
      </c>
      <c r="U118" s="6">
        <f>U117/T117</f>
        <v>6.2416783980153863</v>
      </c>
      <c r="V118" s="6">
        <f>U117/V117</f>
        <v>0.78020979975192339</v>
      </c>
      <c r="AI118" s="1">
        <f t="shared" ref="AI118" si="47">M118*$F$5*2</f>
        <v>3.9101934400985057</v>
      </c>
      <c r="AJ118" s="1">
        <f t="shared" ref="AJ118" si="48">N118*$F$5*2</f>
        <v>2.9518126949763221</v>
      </c>
      <c r="AK118" s="9">
        <f t="shared" si="40"/>
        <v>-16437.657230787958</v>
      </c>
      <c r="AL118" s="9">
        <f t="shared" si="41"/>
        <v>-102594.65985795052</v>
      </c>
      <c r="AM118" s="9">
        <f t="shared" si="42"/>
        <v>-131498.30603360865</v>
      </c>
    </row>
    <row r="119" spans="4:39" ht="14.25" customHeight="1" x14ac:dyDescent="0.2">
      <c r="L119" s="6">
        <f>L117/100</f>
        <v>803.61879794963329</v>
      </c>
      <c r="M119" s="6">
        <f>M117/100</f>
        <v>5611.258843004468</v>
      </c>
      <c r="N119" s="6">
        <f t="shared" ref="N119" si="49">N117/100</f>
        <v>1064.5339920891247</v>
      </c>
    </row>
    <row r="121" spans="4:39" ht="14.25" customHeight="1" x14ac:dyDescent="0.2">
      <c r="L121" s="8">
        <f>L119*0.4</f>
        <v>321.44751917985332</v>
      </c>
      <c r="M121" s="8">
        <f>M119*0.4</f>
        <v>2244.5035372017874</v>
      </c>
      <c r="N121" s="8">
        <f>N119*4</f>
        <v>4258.1359683564988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11D5-9AD7-4695-94D9-52154B25E213}">
  <sheetPr codeName="Sheet6"/>
  <dimension ref="A1:AK122"/>
  <sheetViews>
    <sheetView workbookViewId="0">
      <selection activeCell="F6" sqref="F6"/>
    </sheetView>
  </sheetViews>
  <sheetFormatPr defaultRowHeight="14.25" x14ac:dyDescent="0.2"/>
  <cols>
    <col min="1" max="16384" width="9" style="1"/>
  </cols>
  <sheetData>
    <row r="1" spans="1:33" ht="14.25" customHeight="1" x14ac:dyDescent="0.2">
      <c r="A1" s="81" t="s">
        <v>185</v>
      </c>
      <c r="B1" s="82"/>
      <c r="AB1" s="9"/>
    </row>
    <row r="2" spans="1:33" ht="14.25" customHeight="1" x14ac:dyDescent="0.2">
      <c r="A2" s="83"/>
      <c r="B2" s="84"/>
      <c r="E2" s="24"/>
      <c r="AB2" s="9"/>
    </row>
    <row r="3" spans="1:33" ht="14.25" customHeight="1" x14ac:dyDescent="0.2">
      <c r="C3" s="3" t="s">
        <v>184</v>
      </c>
      <c r="D3" s="25" t="s">
        <v>119</v>
      </c>
      <c r="E3" s="3" t="s">
        <v>123</v>
      </c>
      <c r="AB3" s="9"/>
    </row>
    <row r="4" spans="1:33" ht="14.25" customHeight="1" x14ac:dyDescent="0.2">
      <c r="C4" s="1">
        <v>0</v>
      </c>
      <c r="D4" s="1">
        <v>10</v>
      </c>
      <c r="E4" s="4">
        <f>D4/$D$14</f>
        <v>0.5</v>
      </c>
      <c r="AB4" s="9"/>
    </row>
    <row r="5" spans="1:33" s="3" customFormat="1" ht="14.25" customHeight="1" x14ac:dyDescent="0.2">
      <c r="C5" s="1">
        <v>1</v>
      </c>
      <c r="D5" s="1">
        <v>11</v>
      </c>
      <c r="E5" s="4">
        <f t="shared" ref="E5:E14" si="0">D5/$D$14</f>
        <v>0.55000000000000004</v>
      </c>
      <c r="G5" s="1"/>
      <c r="H5" s="1"/>
      <c r="I5" s="1"/>
      <c r="J5" s="1"/>
      <c r="K5" s="1"/>
      <c r="L5" s="1"/>
      <c r="M5" s="1"/>
      <c r="Z5" s="1"/>
      <c r="AA5" s="1"/>
      <c r="AB5" s="9"/>
    </row>
    <row r="6" spans="1:33" ht="14.25" customHeight="1" x14ac:dyDescent="0.2">
      <c r="C6" s="1">
        <v>2</v>
      </c>
      <c r="D6" s="1">
        <v>12</v>
      </c>
      <c r="E6" s="4">
        <f t="shared" si="0"/>
        <v>0.6</v>
      </c>
      <c r="F6" s="20"/>
      <c r="G6" s="20"/>
      <c r="H6" s="20"/>
      <c r="I6" s="20"/>
      <c r="J6" s="20"/>
      <c r="Z6" s="9"/>
    </row>
    <row r="7" spans="1:33" ht="14.25" customHeight="1" x14ac:dyDescent="0.2">
      <c r="C7" s="1">
        <v>3</v>
      </c>
      <c r="D7" s="1">
        <v>13</v>
      </c>
      <c r="E7" s="4">
        <f t="shared" si="0"/>
        <v>0.65</v>
      </c>
      <c r="F7" s="36"/>
      <c r="G7" s="36"/>
      <c r="Z7" s="9"/>
    </row>
    <row r="8" spans="1:33" ht="14.25" customHeight="1" x14ac:dyDescent="0.2">
      <c r="C8" s="1">
        <v>4</v>
      </c>
      <c r="D8" s="1">
        <v>14</v>
      </c>
      <c r="E8" s="4">
        <f t="shared" si="0"/>
        <v>0.7</v>
      </c>
      <c r="F8" s="36"/>
      <c r="G8" s="36"/>
      <c r="Z8" s="9"/>
    </row>
    <row r="9" spans="1:33" ht="14.25" customHeight="1" x14ac:dyDescent="0.2">
      <c r="C9" s="1">
        <v>5</v>
      </c>
      <c r="D9" s="1">
        <v>15</v>
      </c>
      <c r="E9" s="4">
        <f t="shared" si="0"/>
        <v>0.75</v>
      </c>
      <c r="F9" s="36"/>
      <c r="G9" s="36"/>
      <c r="K9" s="6"/>
      <c r="Z9" s="9"/>
    </row>
    <row r="10" spans="1:33" ht="14.25" customHeight="1" x14ac:dyDescent="0.2">
      <c r="C10" s="1">
        <v>6</v>
      </c>
      <c r="D10" s="1">
        <v>16</v>
      </c>
      <c r="E10" s="4">
        <f t="shared" si="0"/>
        <v>0.8</v>
      </c>
      <c r="Z10" s="9"/>
    </row>
    <row r="11" spans="1:33" ht="14.25" customHeight="1" x14ac:dyDescent="0.2">
      <c r="C11" s="1">
        <v>7</v>
      </c>
      <c r="D11" s="1">
        <v>17</v>
      </c>
      <c r="E11" s="4">
        <f t="shared" si="0"/>
        <v>0.85</v>
      </c>
      <c r="L11" s="26"/>
      <c r="Z11" s="9"/>
    </row>
    <row r="12" spans="1:33" ht="14.25" customHeight="1" x14ac:dyDescent="0.2">
      <c r="C12" s="1">
        <v>8</v>
      </c>
      <c r="D12" s="1">
        <v>18</v>
      </c>
      <c r="E12" s="4">
        <f t="shared" si="0"/>
        <v>0.9</v>
      </c>
      <c r="AB12" s="9"/>
    </row>
    <row r="13" spans="1:33" ht="14.25" customHeight="1" x14ac:dyDescent="0.2">
      <c r="C13" s="1">
        <v>9</v>
      </c>
      <c r="D13" s="1">
        <v>19</v>
      </c>
      <c r="E13" s="4">
        <f t="shared" si="0"/>
        <v>0.95</v>
      </c>
      <c r="I13" s="2"/>
      <c r="AB13" s="9"/>
    </row>
    <row r="14" spans="1:33" ht="14.25" customHeight="1" x14ac:dyDescent="0.2">
      <c r="C14" s="1">
        <v>10</v>
      </c>
      <c r="D14" s="32">
        <v>20</v>
      </c>
      <c r="E14" s="4">
        <f t="shared" si="0"/>
        <v>1</v>
      </c>
      <c r="J14" s="2"/>
      <c r="P14" s="3"/>
      <c r="AB14" s="4"/>
    </row>
    <row r="15" spans="1:33" ht="14.25" customHeight="1" x14ac:dyDescent="0.2">
      <c r="E15" s="6"/>
      <c r="L15" s="8"/>
      <c r="M15" s="8"/>
      <c r="AF15" s="9"/>
      <c r="AG15" s="9"/>
    </row>
    <row r="16" spans="1:33" ht="14.25" customHeight="1" x14ac:dyDescent="0.2">
      <c r="C16" s="40" t="s">
        <v>187</v>
      </c>
      <c r="D16" s="41" t="s">
        <v>186</v>
      </c>
      <c r="N16" s="6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6"/>
    </row>
    <row r="17" spans="2:37" ht="14.25" customHeight="1" x14ac:dyDescent="0.2">
      <c r="C17" s="6" t="s">
        <v>167</v>
      </c>
      <c r="D17" s="1">
        <v>0.6</v>
      </c>
      <c r="E17" s="26"/>
      <c r="AC17" s="22"/>
    </row>
    <row r="18" spans="2:37" ht="14.25" customHeight="1" x14ac:dyDescent="0.2">
      <c r="C18" s="6" t="s">
        <v>188</v>
      </c>
      <c r="D18" s="1">
        <v>0.8</v>
      </c>
    </row>
    <row r="19" spans="2:37" ht="14.25" customHeight="1" x14ac:dyDescent="0.2">
      <c r="C19" s="6" t="s">
        <v>189</v>
      </c>
      <c r="D19" s="1">
        <v>1</v>
      </c>
      <c r="E19" s="6"/>
      <c r="F19" s="6"/>
      <c r="G19" s="6"/>
      <c r="H19" s="6"/>
      <c r="I19" s="26"/>
      <c r="J19" s="6"/>
      <c r="K19" s="6"/>
      <c r="L19" s="6"/>
      <c r="M19" s="6"/>
      <c r="N19" s="6"/>
      <c r="O19" s="6"/>
      <c r="P19" s="6"/>
      <c r="Q19" s="38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22"/>
      <c r="AF19" s="9"/>
      <c r="AG19" s="9"/>
      <c r="AH19" s="9"/>
    </row>
    <row r="20" spans="2:37" ht="14.25" customHeight="1" x14ac:dyDescent="0.2">
      <c r="C20" s="6" t="s">
        <v>190</v>
      </c>
      <c r="D20" s="1">
        <v>1.2</v>
      </c>
      <c r="E20" s="6"/>
      <c r="F20" s="6"/>
      <c r="G20" s="6"/>
      <c r="H20" s="6"/>
      <c r="I20" s="26"/>
      <c r="J20" s="6"/>
      <c r="K20" s="6"/>
      <c r="L20" s="6"/>
      <c r="M20" s="6"/>
      <c r="N20" s="6"/>
      <c r="O20" s="6"/>
      <c r="P20" s="6"/>
      <c r="Q20" s="38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22"/>
      <c r="AD20" s="22"/>
      <c r="AE20" s="22"/>
      <c r="AF20" s="9"/>
      <c r="AG20" s="9"/>
      <c r="AH20" s="9"/>
      <c r="AI20" s="9"/>
      <c r="AJ20" s="9"/>
      <c r="AK20" s="9"/>
    </row>
    <row r="21" spans="2:37" ht="14.25" customHeight="1" x14ac:dyDescent="0.2">
      <c r="C21" s="6"/>
      <c r="E21" s="6"/>
      <c r="F21" s="6"/>
      <c r="G21" s="6"/>
      <c r="H21" s="6"/>
      <c r="I21" s="26"/>
      <c r="J21" s="6"/>
      <c r="K21" s="6"/>
      <c r="L21" s="6"/>
      <c r="M21" s="6"/>
      <c r="N21" s="6"/>
      <c r="O21" s="6"/>
      <c r="P21" s="6"/>
      <c r="Q21" s="38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22"/>
      <c r="AD21" s="22"/>
      <c r="AE21" s="22"/>
      <c r="AF21" s="9"/>
      <c r="AG21" s="9"/>
      <c r="AH21" s="9"/>
      <c r="AI21" s="9"/>
      <c r="AJ21" s="9"/>
      <c r="AK21" s="9"/>
    </row>
    <row r="22" spans="2:37" ht="14.25" customHeight="1" x14ac:dyDescent="0.2">
      <c r="B22" s="6"/>
      <c r="E22" s="6"/>
      <c r="F22" s="6"/>
      <c r="G22" s="6"/>
      <c r="H22" s="6"/>
      <c r="I22" s="26"/>
      <c r="J22" s="6"/>
      <c r="K22" s="6"/>
      <c r="L22" s="6"/>
      <c r="M22" s="6"/>
      <c r="N22" s="6"/>
      <c r="O22" s="6"/>
      <c r="P22" s="6"/>
      <c r="Q22" s="38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22"/>
      <c r="AD22" s="22"/>
      <c r="AE22" s="22"/>
      <c r="AF22" s="9"/>
      <c r="AG22" s="9"/>
      <c r="AH22" s="9"/>
      <c r="AI22" s="9"/>
      <c r="AJ22" s="9"/>
      <c r="AK22" s="9"/>
    </row>
    <row r="23" spans="2:37" ht="14.25" customHeight="1" x14ac:dyDescent="0.2">
      <c r="B23" s="6"/>
      <c r="C23" s="6"/>
      <c r="E23" s="6"/>
      <c r="F23" s="6"/>
      <c r="G23" s="6"/>
      <c r="H23" s="6"/>
      <c r="I23" s="26"/>
      <c r="J23" s="6"/>
      <c r="K23" s="6"/>
      <c r="L23" s="6"/>
      <c r="M23" s="6"/>
      <c r="N23" s="6"/>
      <c r="O23" s="6"/>
      <c r="P23" s="6"/>
      <c r="Q23" s="38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22"/>
      <c r="AD23" s="22"/>
      <c r="AE23" s="22"/>
      <c r="AF23" s="9"/>
      <c r="AG23" s="9"/>
      <c r="AH23" s="9"/>
      <c r="AI23" s="9"/>
      <c r="AJ23" s="9"/>
      <c r="AK23" s="9"/>
    </row>
    <row r="24" spans="2:37" ht="14.25" customHeight="1" x14ac:dyDescent="0.2">
      <c r="C24" s="6"/>
      <c r="E24" s="6"/>
      <c r="F24" s="6"/>
      <c r="G24" s="6"/>
      <c r="H24" s="6"/>
      <c r="I24" s="26"/>
      <c r="J24" s="6"/>
      <c r="K24" s="6"/>
      <c r="L24" s="6"/>
      <c r="M24" s="6"/>
      <c r="N24" s="6"/>
      <c r="O24" s="6"/>
      <c r="P24" s="6"/>
      <c r="Q24" s="38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22"/>
      <c r="AD24" s="22"/>
      <c r="AE24" s="22"/>
      <c r="AF24" s="9"/>
      <c r="AG24" s="9"/>
      <c r="AH24" s="9"/>
      <c r="AI24" s="9"/>
      <c r="AJ24" s="9"/>
      <c r="AK24" s="9"/>
    </row>
    <row r="25" spans="2:37" ht="14.25" customHeight="1" x14ac:dyDescent="0.2">
      <c r="E25" s="6"/>
      <c r="F25" s="6"/>
      <c r="G25" s="6"/>
      <c r="H25" s="6"/>
      <c r="I25" s="26"/>
      <c r="J25" s="6"/>
      <c r="K25" s="6"/>
      <c r="L25" s="6"/>
      <c r="M25" s="6"/>
      <c r="N25" s="6"/>
      <c r="O25" s="6"/>
      <c r="P25" s="6"/>
      <c r="Q25" s="38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22"/>
      <c r="AD25" s="22"/>
      <c r="AE25" s="22"/>
      <c r="AF25" s="9"/>
      <c r="AG25" s="9"/>
      <c r="AH25" s="9"/>
      <c r="AI25" s="9"/>
      <c r="AJ25" s="9"/>
      <c r="AK25" s="9"/>
    </row>
    <row r="26" spans="2:37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/>
      <c r="M26" s="6"/>
      <c r="N26" s="6"/>
      <c r="O26" s="6"/>
      <c r="P26" s="6"/>
      <c r="Q26" s="38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22"/>
      <c r="AD26" s="22"/>
      <c r="AE26" s="22"/>
      <c r="AF26" s="9"/>
      <c r="AG26" s="9"/>
      <c r="AH26" s="9"/>
      <c r="AI26" s="9"/>
      <c r="AJ26" s="9"/>
      <c r="AK26" s="9"/>
    </row>
    <row r="27" spans="2:37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/>
      <c r="M27" s="6"/>
      <c r="N27" s="6"/>
      <c r="O27" s="6"/>
      <c r="P27" s="6"/>
      <c r="Q27" s="38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22"/>
      <c r="AD27" s="22"/>
      <c r="AE27" s="22"/>
      <c r="AF27" s="9"/>
      <c r="AG27" s="9"/>
      <c r="AH27" s="9"/>
      <c r="AI27" s="9"/>
      <c r="AJ27" s="9"/>
      <c r="AK27" s="9"/>
    </row>
    <row r="28" spans="2:37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/>
      <c r="M28" s="6"/>
      <c r="N28" s="6"/>
      <c r="O28" s="6"/>
      <c r="P28" s="6"/>
      <c r="Q28" s="38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22"/>
      <c r="AD28" s="22"/>
      <c r="AE28" s="22"/>
      <c r="AF28" s="9"/>
      <c r="AG28" s="9"/>
      <c r="AH28" s="9"/>
      <c r="AI28" s="9"/>
      <c r="AJ28" s="9"/>
      <c r="AK28" s="9"/>
    </row>
    <row r="29" spans="2:37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/>
      <c r="M29" s="6"/>
      <c r="N29" s="6"/>
      <c r="O29" s="6"/>
      <c r="P29" s="6"/>
      <c r="Q29" s="38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22"/>
      <c r="AD29" s="22"/>
      <c r="AE29" s="22"/>
      <c r="AF29" s="9"/>
      <c r="AG29" s="9"/>
      <c r="AH29" s="9"/>
      <c r="AI29" s="9"/>
      <c r="AJ29" s="9"/>
      <c r="AK29" s="9"/>
    </row>
    <row r="30" spans="2:37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/>
      <c r="M30" s="6"/>
      <c r="N30" s="6"/>
      <c r="O30" s="6"/>
      <c r="P30" s="6"/>
      <c r="Q30" s="38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22"/>
      <c r="AD30" s="22"/>
      <c r="AE30" s="22"/>
      <c r="AF30" s="9"/>
      <c r="AG30" s="9"/>
      <c r="AH30" s="9"/>
      <c r="AI30" s="9"/>
      <c r="AJ30" s="9"/>
      <c r="AK30" s="9"/>
    </row>
    <row r="31" spans="2:37" ht="14.25" customHeight="1" x14ac:dyDescent="0.2">
      <c r="B31" s="33"/>
      <c r="C31" s="6"/>
      <c r="E31" s="6"/>
      <c r="F31" s="6"/>
      <c r="G31" s="6"/>
      <c r="H31" s="6"/>
      <c r="I31" s="26"/>
      <c r="J31" s="6"/>
      <c r="K31" s="6"/>
      <c r="L31" s="6"/>
      <c r="M31" s="6"/>
      <c r="N31" s="6"/>
      <c r="O31" s="6"/>
      <c r="P31" s="6"/>
      <c r="Q31" s="38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22"/>
      <c r="AD31" s="22"/>
      <c r="AE31" s="22"/>
      <c r="AF31" s="9"/>
      <c r="AG31" s="9"/>
      <c r="AH31" s="9"/>
      <c r="AI31" s="9"/>
      <c r="AJ31" s="9"/>
      <c r="AK31" s="9"/>
    </row>
    <row r="32" spans="2:37" ht="14.25" customHeight="1" x14ac:dyDescent="0.2">
      <c r="B32" s="6"/>
      <c r="E32" s="6"/>
      <c r="F32" s="6"/>
      <c r="G32" s="6"/>
      <c r="H32" s="6"/>
      <c r="I32" s="26"/>
      <c r="J32" s="6"/>
      <c r="K32" s="6"/>
      <c r="L32" s="6"/>
      <c r="M32" s="6"/>
      <c r="N32" s="6"/>
      <c r="O32" s="6"/>
      <c r="P32" s="6"/>
      <c r="Q32" s="38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22"/>
      <c r="AD32" s="22"/>
      <c r="AE32" s="22"/>
      <c r="AF32" s="9"/>
      <c r="AG32" s="9"/>
      <c r="AH32" s="9"/>
      <c r="AI32" s="9"/>
      <c r="AJ32" s="9"/>
      <c r="AK32" s="9"/>
    </row>
    <row r="33" spans="2:37" ht="14.25" customHeight="1" x14ac:dyDescent="0.2">
      <c r="B33" s="6"/>
      <c r="E33" s="6"/>
      <c r="F33" s="6"/>
      <c r="G33" s="6"/>
      <c r="H33" s="6"/>
      <c r="I33" s="26"/>
      <c r="J33" s="6"/>
      <c r="K33" s="6"/>
      <c r="L33" s="6"/>
      <c r="M33" s="6"/>
      <c r="N33" s="6"/>
      <c r="O33" s="6"/>
      <c r="P33" s="6"/>
      <c r="Q33" s="38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22"/>
      <c r="AD33" s="22"/>
      <c r="AE33" s="22"/>
      <c r="AF33" s="9"/>
      <c r="AG33" s="9"/>
      <c r="AH33" s="9"/>
      <c r="AI33" s="9"/>
      <c r="AJ33" s="9"/>
      <c r="AK33" s="9"/>
    </row>
    <row r="34" spans="2:37" ht="14.25" customHeight="1" x14ac:dyDescent="0.2">
      <c r="E34" s="6"/>
      <c r="F34" s="6"/>
      <c r="G34" s="6"/>
      <c r="H34" s="6"/>
      <c r="I34" s="26"/>
      <c r="J34" s="6"/>
      <c r="K34" s="6"/>
      <c r="L34" s="6"/>
      <c r="M34" s="6"/>
      <c r="N34" s="6"/>
      <c r="O34" s="6"/>
      <c r="P34" s="6"/>
      <c r="Q34" s="38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22"/>
      <c r="AD34" s="22"/>
      <c r="AE34" s="22"/>
      <c r="AF34" s="9"/>
      <c r="AG34" s="9"/>
      <c r="AH34" s="9"/>
      <c r="AI34" s="9"/>
      <c r="AJ34" s="9"/>
      <c r="AK34" s="9"/>
    </row>
    <row r="35" spans="2:37" ht="14.25" customHeight="1" x14ac:dyDescent="0.2">
      <c r="E35" s="6"/>
      <c r="F35" s="6"/>
      <c r="G35" s="6"/>
      <c r="H35" s="6"/>
      <c r="I35" s="26"/>
      <c r="J35" s="6"/>
      <c r="K35" s="6"/>
      <c r="L35" s="6"/>
      <c r="M35" s="6"/>
      <c r="N35" s="6"/>
      <c r="O35" s="6"/>
      <c r="P35" s="6"/>
      <c r="Q35" s="38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22"/>
      <c r="AD35" s="22"/>
      <c r="AE35" s="22"/>
      <c r="AF35" s="9"/>
      <c r="AG35" s="9"/>
      <c r="AH35" s="9"/>
      <c r="AI35" s="9"/>
      <c r="AJ35" s="9"/>
      <c r="AK35" s="9"/>
    </row>
    <row r="36" spans="2:37" ht="14.25" customHeight="1" x14ac:dyDescent="0.2">
      <c r="E36" s="6"/>
      <c r="F36" s="6"/>
      <c r="G36" s="6"/>
      <c r="H36" s="6"/>
      <c r="I36" s="26"/>
      <c r="J36" s="6"/>
      <c r="K36" s="6"/>
      <c r="L36" s="6"/>
      <c r="M36" s="6"/>
      <c r="N36" s="6"/>
      <c r="O36" s="6"/>
      <c r="P36" s="6"/>
      <c r="Q36" s="38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22"/>
      <c r="AD36" s="22"/>
      <c r="AE36" s="22"/>
      <c r="AF36" s="9"/>
      <c r="AG36" s="9"/>
      <c r="AH36" s="9"/>
      <c r="AI36" s="9"/>
      <c r="AJ36" s="9"/>
      <c r="AK36" s="9"/>
    </row>
    <row r="37" spans="2:37" ht="14.25" customHeight="1" x14ac:dyDescent="0.2">
      <c r="E37" s="6"/>
      <c r="F37" s="6"/>
      <c r="G37" s="6"/>
      <c r="H37" s="6"/>
      <c r="I37" s="26"/>
      <c r="J37" s="6"/>
      <c r="K37" s="6"/>
      <c r="L37" s="6"/>
      <c r="M37" s="6"/>
      <c r="N37" s="6"/>
      <c r="O37" s="6"/>
      <c r="P37" s="6"/>
      <c r="Q37" s="38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22"/>
      <c r="AD37" s="22"/>
      <c r="AE37" s="22"/>
      <c r="AF37" s="9"/>
      <c r="AG37" s="9"/>
      <c r="AH37" s="9"/>
      <c r="AI37" s="9"/>
      <c r="AJ37" s="9"/>
      <c r="AK37" s="9"/>
    </row>
    <row r="38" spans="2:37" ht="14.25" customHeight="1" x14ac:dyDescent="0.2">
      <c r="E38" s="6"/>
      <c r="F38" s="6"/>
      <c r="G38" s="6"/>
      <c r="H38" s="6"/>
      <c r="I38" s="26"/>
      <c r="J38" s="6"/>
      <c r="K38" s="6"/>
      <c r="L38" s="6"/>
      <c r="M38" s="6"/>
      <c r="N38" s="6"/>
      <c r="O38" s="6"/>
      <c r="P38" s="6"/>
      <c r="Q38" s="38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22"/>
      <c r="AD38" s="22"/>
      <c r="AE38" s="22"/>
      <c r="AF38" s="9"/>
      <c r="AG38" s="9"/>
      <c r="AH38" s="9"/>
      <c r="AI38" s="9"/>
      <c r="AJ38" s="9"/>
      <c r="AK38" s="9"/>
    </row>
    <row r="39" spans="2:37" ht="14.25" customHeight="1" x14ac:dyDescent="0.2">
      <c r="E39" s="6"/>
      <c r="F39" s="6"/>
      <c r="G39" s="6"/>
      <c r="H39" s="6"/>
      <c r="I39" s="26"/>
      <c r="J39" s="6"/>
      <c r="K39" s="6"/>
      <c r="L39" s="6"/>
      <c r="M39" s="6"/>
      <c r="N39" s="6"/>
      <c r="O39" s="6"/>
      <c r="P39" s="6"/>
      <c r="Q39" s="38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22"/>
      <c r="AD39" s="22"/>
      <c r="AE39" s="22"/>
      <c r="AF39" s="9"/>
      <c r="AG39" s="9"/>
      <c r="AH39" s="9"/>
      <c r="AI39" s="9"/>
      <c r="AJ39" s="9"/>
      <c r="AK39" s="9"/>
    </row>
    <row r="40" spans="2:37" ht="14.25" customHeight="1" x14ac:dyDescent="0.2">
      <c r="E40" s="6"/>
      <c r="F40" s="6"/>
      <c r="G40" s="6"/>
      <c r="H40" s="6"/>
      <c r="I40" s="26"/>
      <c r="J40" s="6"/>
      <c r="K40" s="6"/>
      <c r="L40" s="6"/>
      <c r="M40" s="6"/>
      <c r="N40" s="6"/>
      <c r="O40" s="6"/>
      <c r="P40" s="6"/>
      <c r="Q40" s="38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22"/>
      <c r="AD40" s="22"/>
      <c r="AE40" s="22"/>
      <c r="AF40" s="9"/>
      <c r="AG40" s="9"/>
      <c r="AH40" s="9"/>
      <c r="AI40" s="9"/>
      <c r="AJ40" s="9"/>
      <c r="AK40" s="9"/>
    </row>
    <row r="41" spans="2:37" ht="14.25" customHeight="1" x14ac:dyDescent="0.2">
      <c r="E41" s="6"/>
      <c r="F41" s="6"/>
      <c r="G41" s="6"/>
      <c r="H41" s="6"/>
      <c r="I41" s="26"/>
      <c r="J41" s="6"/>
      <c r="K41" s="6"/>
      <c r="L41" s="6"/>
      <c r="M41" s="6"/>
      <c r="N41" s="6"/>
      <c r="O41" s="6"/>
      <c r="P41" s="6"/>
      <c r="Q41" s="38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22"/>
      <c r="AD41" s="22"/>
      <c r="AE41" s="22"/>
      <c r="AF41" s="9"/>
      <c r="AG41" s="9"/>
      <c r="AH41" s="9"/>
      <c r="AI41" s="9"/>
      <c r="AJ41" s="9"/>
      <c r="AK41" s="9"/>
    </row>
    <row r="42" spans="2:37" ht="14.25" customHeight="1" x14ac:dyDescent="0.2">
      <c r="E42" s="6"/>
      <c r="F42" s="6"/>
      <c r="G42" s="6"/>
      <c r="H42" s="6"/>
      <c r="I42" s="26"/>
      <c r="J42" s="6"/>
      <c r="K42" s="6"/>
      <c r="L42" s="6"/>
      <c r="M42" s="6"/>
      <c r="N42" s="6"/>
      <c r="O42" s="6"/>
      <c r="P42" s="6"/>
      <c r="Q42" s="38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22"/>
      <c r="AD42" s="22"/>
      <c r="AE42" s="22"/>
      <c r="AF42" s="9"/>
      <c r="AG42" s="9"/>
      <c r="AH42" s="9"/>
      <c r="AI42" s="9"/>
      <c r="AJ42" s="9"/>
      <c r="AK42" s="9"/>
    </row>
    <row r="43" spans="2:37" ht="14.25" customHeight="1" x14ac:dyDescent="0.2">
      <c r="E43" s="6"/>
      <c r="F43" s="6"/>
      <c r="G43" s="6"/>
      <c r="H43" s="6"/>
      <c r="I43" s="26"/>
      <c r="J43" s="6"/>
      <c r="K43" s="6"/>
      <c r="L43" s="6"/>
      <c r="M43" s="6"/>
      <c r="N43" s="6"/>
      <c r="O43" s="6"/>
      <c r="P43" s="6"/>
      <c r="Q43" s="38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22"/>
      <c r="AD43" s="22"/>
      <c r="AE43" s="22"/>
      <c r="AF43" s="9"/>
      <c r="AG43" s="9"/>
      <c r="AH43" s="9"/>
      <c r="AI43" s="9"/>
      <c r="AJ43" s="9"/>
      <c r="AK43" s="9"/>
    </row>
    <row r="44" spans="2:37" ht="14.25" customHeight="1" x14ac:dyDescent="0.2">
      <c r="E44" s="6"/>
      <c r="F44" s="6"/>
      <c r="G44" s="6"/>
      <c r="H44" s="6"/>
      <c r="I44" s="26"/>
      <c r="J44" s="6"/>
      <c r="K44" s="6"/>
      <c r="L44" s="6"/>
      <c r="M44" s="6"/>
      <c r="N44" s="6"/>
      <c r="O44" s="6"/>
      <c r="P44" s="6"/>
      <c r="Q44" s="38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22"/>
      <c r="AD44" s="22"/>
      <c r="AE44" s="22"/>
      <c r="AF44" s="9"/>
      <c r="AG44" s="9"/>
      <c r="AH44" s="9"/>
      <c r="AI44" s="9"/>
      <c r="AJ44" s="9"/>
      <c r="AK44" s="9"/>
    </row>
    <row r="45" spans="2:37" ht="14.25" customHeight="1" x14ac:dyDescent="0.2">
      <c r="E45" s="6"/>
      <c r="F45" s="6"/>
      <c r="G45" s="6"/>
      <c r="H45" s="6"/>
      <c r="I45" s="26"/>
      <c r="J45" s="6"/>
      <c r="K45" s="6"/>
      <c r="L45" s="6"/>
      <c r="M45" s="6"/>
      <c r="N45" s="6"/>
      <c r="O45" s="6"/>
      <c r="P45" s="6"/>
      <c r="Q45" s="38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22"/>
      <c r="AD45" s="22"/>
      <c r="AE45" s="22"/>
      <c r="AF45" s="9"/>
      <c r="AG45" s="9"/>
      <c r="AH45" s="9"/>
      <c r="AI45" s="9"/>
      <c r="AJ45" s="9"/>
      <c r="AK45" s="9"/>
    </row>
    <row r="46" spans="2:37" ht="14.25" customHeight="1" x14ac:dyDescent="0.2">
      <c r="E46" s="6"/>
      <c r="F46" s="6"/>
      <c r="G46" s="6"/>
      <c r="H46" s="6"/>
      <c r="I46" s="26"/>
      <c r="J46" s="6"/>
      <c r="K46" s="6"/>
      <c r="L46" s="6"/>
      <c r="M46" s="6"/>
      <c r="N46" s="6"/>
      <c r="O46" s="6"/>
      <c r="P46" s="6"/>
      <c r="Q46" s="38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22"/>
      <c r="AD46" s="22"/>
      <c r="AE46" s="22"/>
      <c r="AF46" s="9"/>
      <c r="AG46" s="9"/>
      <c r="AH46" s="9"/>
      <c r="AI46" s="9"/>
      <c r="AJ46" s="9"/>
      <c r="AK46" s="9"/>
    </row>
    <row r="47" spans="2:37" ht="14.25" customHeight="1" x14ac:dyDescent="0.2">
      <c r="E47" s="6"/>
      <c r="F47" s="6"/>
      <c r="G47" s="6"/>
      <c r="H47" s="6"/>
      <c r="I47" s="26"/>
      <c r="J47" s="6"/>
      <c r="K47" s="6"/>
      <c r="L47" s="6"/>
      <c r="M47" s="6"/>
      <c r="N47" s="6"/>
      <c r="O47" s="6"/>
      <c r="P47" s="6"/>
      <c r="Q47" s="38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22"/>
      <c r="AD47" s="22"/>
      <c r="AE47" s="22"/>
      <c r="AF47" s="9"/>
      <c r="AG47" s="9"/>
      <c r="AH47" s="9"/>
      <c r="AI47" s="9"/>
      <c r="AJ47" s="9"/>
      <c r="AK47" s="9"/>
    </row>
    <row r="48" spans="2:37" ht="14.25" customHeight="1" x14ac:dyDescent="0.2">
      <c r="E48" s="6"/>
      <c r="F48" s="6"/>
      <c r="G48" s="6"/>
      <c r="H48" s="6"/>
      <c r="I48" s="26"/>
      <c r="J48" s="6"/>
      <c r="K48" s="6"/>
      <c r="L48" s="6"/>
      <c r="M48" s="6"/>
      <c r="N48" s="6"/>
      <c r="O48" s="6"/>
      <c r="P48" s="6"/>
      <c r="Q48" s="38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22"/>
      <c r="AD48" s="22"/>
      <c r="AE48" s="22"/>
      <c r="AF48" s="9"/>
      <c r="AG48" s="9"/>
      <c r="AH48" s="9"/>
      <c r="AI48" s="9"/>
      <c r="AJ48" s="9"/>
      <c r="AK48" s="9"/>
    </row>
    <row r="49" spans="5:37" ht="14.25" customHeight="1" x14ac:dyDescent="0.2">
      <c r="E49" s="6"/>
      <c r="F49" s="6"/>
      <c r="G49" s="6"/>
      <c r="H49" s="6"/>
      <c r="I49" s="26"/>
      <c r="J49" s="6"/>
      <c r="K49" s="6"/>
      <c r="L49" s="6"/>
      <c r="M49" s="6"/>
      <c r="N49" s="6"/>
      <c r="O49" s="6"/>
      <c r="P49" s="6"/>
      <c r="Q49" s="38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22"/>
      <c r="AD49" s="22"/>
      <c r="AE49" s="22"/>
      <c r="AF49" s="9"/>
      <c r="AG49" s="9"/>
      <c r="AH49" s="9"/>
      <c r="AI49" s="9"/>
      <c r="AJ49" s="9"/>
      <c r="AK49" s="9"/>
    </row>
    <row r="50" spans="5:37" ht="14.25" customHeight="1" x14ac:dyDescent="0.2">
      <c r="E50" s="6"/>
      <c r="F50" s="6"/>
      <c r="G50" s="6"/>
      <c r="H50" s="6"/>
      <c r="I50" s="26"/>
      <c r="J50" s="6"/>
      <c r="K50" s="6"/>
      <c r="L50" s="6"/>
      <c r="M50" s="6"/>
      <c r="N50" s="6"/>
      <c r="O50" s="6"/>
      <c r="P50" s="6"/>
      <c r="Q50" s="38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22"/>
      <c r="AD50" s="22"/>
      <c r="AE50" s="22"/>
      <c r="AF50" s="9"/>
      <c r="AG50" s="9"/>
      <c r="AH50" s="9"/>
      <c r="AI50" s="9"/>
      <c r="AJ50" s="9"/>
      <c r="AK50" s="9"/>
    </row>
    <row r="51" spans="5:37" ht="14.25" customHeight="1" x14ac:dyDescent="0.2">
      <c r="E51" s="6"/>
      <c r="F51" s="6"/>
      <c r="G51" s="6"/>
      <c r="H51" s="6"/>
      <c r="I51" s="26"/>
      <c r="J51" s="6"/>
      <c r="K51" s="6"/>
      <c r="L51" s="6"/>
      <c r="M51" s="6"/>
      <c r="N51" s="6"/>
      <c r="O51" s="6"/>
      <c r="P51" s="6"/>
      <c r="Q51" s="38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22"/>
      <c r="AD51" s="22"/>
      <c r="AE51" s="22"/>
      <c r="AF51" s="9"/>
      <c r="AG51" s="9"/>
      <c r="AH51" s="9"/>
      <c r="AI51" s="9"/>
      <c r="AJ51" s="9"/>
      <c r="AK51" s="9"/>
    </row>
    <row r="52" spans="5:37" ht="14.25" customHeight="1" x14ac:dyDescent="0.2">
      <c r="E52" s="6"/>
      <c r="F52" s="6"/>
      <c r="G52" s="6"/>
      <c r="H52" s="6"/>
      <c r="I52" s="26"/>
      <c r="J52" s="6"/>
      <c r="K52" s="6"/>
      <c r="L52" s="6"/>
      <c r="M52" s="6"/>
      <c r="N52" s="6"/>
      <c r="O52" s="6"/>
      <c r="P52" s="6"/>
      <c r="Q52" s="38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22"/>
      <c r="AD52" s="22"/>
      <c r="AE52" s="22"/>
      <c r="AF52" s="9"/>
      <c r="AG52" s="9"/>
      <c r="AH52" s="9"/>
      <c r="AI52" s="9"/>
      <c r="AJ52" s="9"/>
      <c r="AK52" s="9"/>
    </row>
    <row r="53" spans="5:37" ht="14.25" customHeight="1" x14ac:dyDescent="0.2">
      <c r="E53" s="6"/>
      <c r="F53" s="6"/>
      <c r="G53" s="6"/>
      <c r="H53" s="6"/>
      <c r="I53" s="26"/>
      <c r="J53" s="6"/>
      <c r="K53" s="6"/>
      <c r="L53" s="6"/>
      <c r="M53" s="6"/>
      <c r="N53" s="6"/>
      <c r="O53" s="6"/>
      <c r="P53" s="6"/>
      <c r="Q53" s="38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22"/>
      <c r="AD53" s="22"/>
      <c r="AE53" s="22"/>
      <c r="AF53" s="9"/>
      <c r="AG53" s="9"/>
      <c r="AH53" s="9"/>
      <c r="AI53" s="9"/>
      <c r="AJ53" s="9"/>
      <c r="AK53" s="9"/>
    </row>
    <row r="54" spans="5:37" ht="14.25" customHeight="1" x14ac:dyDescent="0.2">
      <c r="E54" s="6"/>
      <c r="F54" s="6"/>
      <c r="G54" s="6"/>
      <c r="H54" s="6"/>
      <c r="I54" s="26"/>
      <c r="J54" s="6"/>
      <c r="K54" s="6"/>
      <c r="L54" s="6"/>
      <c r="M54" s="6"/>
      <c r="N54" s="6"/>
      <c r="O54" s="6"/>
      <c r="P54" s="6"/>
      <c r="Q54" s="38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22"/>
      <c r="AD54" s="22"/>
      <c r="AE54" s="22"/>
      <c r="AF54" s="9"/>
      <c r="AG54" s="9"/>
      <c r="AH54" s="9"/>
      <c r="AI54" s="9"/>
      <c r="AJ54" s="9"/>
      <c r="AK54" s="9"/>
    </row>
    <row r="55" spans="5:37" ht="14.25" customHeight="1" x14ac:dyDescent="0.2">
      <c r="E55" s="6"/>
      <c r="F55" s="6"/>
      <c r="G55" s="6"/>
      <c r="H55" s="6"/>
      <c r="I55" s="26"/>
      <c r="J55" s="6"/>
      <c r="K55" s="6"/>
      <c r="L55" s="6"/>
      <c r="M55" s="6"/>
      <c r="N55" s="6"/>
      <c r="O55" s="6"/>
      <c r="P55" s="6"/>
      <c r="Q55" s="38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2"/>
      <c r="AD55" s="22"/>
      <c r="AE55" s="22"/>
      <c r="AF55" s="9"/>
      <c r="AG55" s="9"/>
      <c r="AH55" s="9"/>
      <c r="AI55" s="9"/>
      <c r="AJ55" s="9"/>
      <c r="AK55" s="9"/>
    </row>
    <row r="56" spans="5:37" ht="14.25" customHeight="1" x14ac:dyDescent="0.2">
      <c r="E56" s="6"/>
      <c r="F56" s="6"/>
      <c r="G56" s="6"/>
      <c r="H56" s="6"/>
      <c r="I56" s="26"/>
      <c r="J56" s="6"/>
      <c r="K56" s="6"/>
      <c r="L56" s="6"/>
      <c r="M56" s="6"/>
      <c r="N56" s="6"/>
      <c r="O56" s="6"/>
      <c r="P56" s="6"/>
      <c r="Q56" s="38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22"/>
      <c r="AD56" s="22"/>
      <c r="AE56" s="22"/>
      <c r="AF56" s="9"/>
      <c r="AG56" s="9"/>
      <c r="AH56" s="9"/>
      <c r="AI56" s="9"/>
      <c r="AJ56" s="9"/>
      <c r="AK56" s="9"/>
    </row>
    <row r="57" spans="5:37" ht="14.25" customHeight="1" x14ac:dyDescent="0.2">
      <c r="E57" s="6"/>
      <c r="F57" s="6"/>
      <c r="G57" s="6"/>
      <c r="H57" s="6"/>
      <c r="I57" s="26"/>
      <c r="J57" s="6"/>
      <c r="K57" s="6"/>
      <c r="L57" s="6"/>
      <c r="M57" s="6"/>
      <c r="N57" s="6"/>
      <c r="O57" s="6"/>
      <c r="P57" s="6"/>
      <c r="Q57" s="38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22"/>
      <c r="AD57" s="22"/>
      <c r="AE57" s="22"/>
      <c r="AF57" s="9"/>
      <c r="AG57" s="9"/>
      <c r="AH57" s="9"/>
      <c r="AI57" s="9"/>
      <c r="AJ57" s="9"/>
      <c r="AK57" s="9"/>
    </row>
    <row r="58" spans="5:37" ht="14.25" customHeight="1" x14ac:dyDescent="0.2">
      <c r="E58" s="6"/>
      <c r="F58" s="6"/>
      <c r="G58" s="6"/>
      <c r="H58" s="6"/>
      <c r="I58" s="26"/>
      <c r="J58" s="6"/>
      <c r="K58" s="6"/>
      <c r="L58" s="6"/>
      <c r="M58" s="6"/>
      <c r="N58" s="6"/>
      <c r="O58" s="6"/>
      <c r="P58" s="6"/>
      <c r="Q58" s="38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22"/>
      <c r="AD58" s="22"/>
      <c r="AE58" s="22"/>
      <c r="AF58" s="9"/>
      <c r="AG58" s="9"/>
      <c r="AH58" s="9"/>
      <c r="AI58" s="9"/>
      <c r="AJ58" s="9"/>
      <c r="AK58" s="9"/>
    </row>
    <row r="59" spans="5:37" ht="14.25" customHeight="1" x14ac:dyDescent="0.2">
      <c r="E59" s="6"/>
      <c r="F59" s="6"/>
      <c r="G59" s="6"/>
      <c r="H59" s="6"/>
      <c r="I59" s="26"/>
      <c r="J59" s="6"/>
      <c r="K59" s="6"/>
      <c r="L59" s="6"/>
      <c r="M59" s="6"/>
      <c r="N59" s="6"/>
      <c r="O59" s="6"/>
      <c r="P59" s="6"/>
      <c r="Q59" s="38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22"/>
      <c r="AD59" s="22"/>
      <c r="AE59" s="22"/>
      <c r="AF59" s="9"/>
      <c r="AG59" s="9"/>
      <c r="AH59" s="9"/>
      <c r="AI59" s="9"/>
      <c r="AJ59" s="9"/>
      <c r="AK59" s="9"/>
    </row>
    <row r="60" spans="5:37" ht="14.25" customHeight="1" x14ac:dyDescent="0.2">
      <c r="E60" s="6"/>
      <c r="F60" s="6"/>
      <c r="G60" s="6"/>
      <c r="H60" s="6"/>
      <c r="I60" s="26"/>
      <c r="J60" s="6"/>
      <c r="K60" s="6"/>
      <c r="L60" s="6"/>
      <c r="M60" s="6"/>
      <c r="N60" s="6"/>
      <c r="O60" s="6"/>
      <c r="P60" s="6"/>
      <c r="Q60" s="38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22"/>
      <c r="AD60" s="22"/>
      <c r="AE60" s="22"/>
      <c r="AF60" s="9"/>
      <c r="AG60" s="9"/>
      <c r="AH60" s="9"/>
      <c r="AI60" s="9"/>
      <c r="AJ60" s="9"/>
      <c r="AK60" s="9"/>
    </row>
    <row r="61" spans="5:37" ht="14.25" customHeight="1" x14ac:dyDescent="0.2">
      <c r="E61" s="6"/>
      <c r="F61" s="6"/>
      <c r="G61" s="6"/>
      <c r="H61" s="6"/>
      <c r="I61" s="26"/>
      <c r="J61" s="6"/>
      <c r="K61" s="6"/>
      <c r="L61" s="6"/>
      <c r="M61" s="6"/>
      <c r="N61" s="6"/>
      <c r="O61" s="6"/>
      <c r="P61" s="6"/>
      <c r="Q61" s="38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22"/>
      <c r="AD61" s="22"/>
      <c r="AE61" s="22"/>
      <c r="AF61" s="9"/>
      <c r="AG61" s="9"/>
      <c r="AH61" s="9"/>
      <c r="AI61" s="9"/>
      <c r="AJ61" s="9"/>
      <c r="AK61" s="9"/>
    </row>
    <row r="62" spans="5:37" ht="14.25" customHeight="1" x14ac:dyDescent="0.2">
      <c r="E62" s="6"/>
      <c r="F62" s="6"/>
      <c r="G62" s="6"/>
      <c r="H62" s="6"/>
      <c r="I62" s="26"/>
      <c r="J62" s="6"/>
      <c r="K62" s="6"/>
      <c r="L62" s="6"/>
      <c r="M62" s="6"/>
      <c r="N62" s="6"/>
      <c r="O62" s="6"/>
      <c r="P62" s="6"/>
      <c r="Q62" s="38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22"/>
      <c r="AD62" s="22"/>
      <c r="AE62" s="22"/>
      <c r="AF62" s="9"/>
      <c r="AG62" s="9"/>
      <c r="AH62" s="9"/>
      <c r="AI62" s="9"/>
      <c r="AJ62" s="9"/>
      <c r="AK62" s="9"/>
    </row>
    <row r="63" spans="5:37" ht="14.25" customHeight="1" x14ac:dyDescent="0.2">
      <c r="E63" s="6"/>
      <c r="F63" s="6"/>
      <c r="G63" s="6"/>
      <c r="H63" s="6"/>
      <c r="I63" s="26"/>
      <c r="J63" s="6"/>
      <c r="K63" s="6"/>
      <c r="L63" s="6"/>
      <c r="M63" s="6"/>
      <c r="N63" s="6"/>
      <c r="O63" s="6"/>
      <c r="P63" s="6"/>
      <c r="Q63" s="38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22"/>
      <c r="AD63" s="22"/>
      <c r="AE63" s="22"/>
      <c r="AF63" s="9"/>
      <c r="AG63" s="9"/>
      <c r="AH63" s="9"/>
      <c r="AI63" s="9"/>
      <c r="AJ63" s="9"/>
      <c r="AK63" s="9"/>
    </row>
    <row r="64" spans="5:37" ht="14.25" customHeight="1" x14ac:dyDescent="0.2">
      <c r="E64" s="6"/>
      <c r="F64" s="6"/>
      <c r="G64" s="6"/>
      <c r="H64" s="6"/>
      <c r="I64" s="26"/>
      <c r="J64" s="6"/>
      <c r="K64" s="6"/>
      <c r="L64" s="6"/>
      <c r="M64" s="6"/>
      <c r="N64" s="6"/>
      <c r="O64" s="6"/>
      <c r="P64" s="6"/>
      <c r="Q64" s="38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22"/>
      <c r="AD64" s="22"/>
      <c r="AE64" s="22"/>
      <c r="AF64" s="9"/>
      <c r="AG64" s="9"/>
      <c r="AH64" s="9"/>
      <c r="AI64" s="9"/>
      <c r="AJ64" s="9"/>
      <c r="AK64" s="9"/>
    </row>
    <row r="65" spans="5:37" ht="14.25" customHeight="1" x14ac:dyDescent="0.2">
      <c r="E65" s="6"/>
      <c r="F65" s="6"/>
      <c r="G65" s="6"/>
      <c r="H65" s="6"/>
      <c r="I65" s="26"/>
      <c r="J65" s="6"/>
      <c r="K65" s="6"/>
      <c r="L65" s="6"/>
      <c r="M65" s="6"/>
      <c r="N65" s="6"/>
      <c r="O65" s="6"/>
      <c r="P65" s="6"/>
      <c r="Q65" s="38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22"/>
      <c r="AD65" s="22"/>
      <c r="AE65" s="22"/>
      <c r="AF65" s="9"/>
      <c r="AG65" s="9"/>
      <c r="AH65" s="9"/>
      <c r="AI65" s="9"/>
      <c r="AJ65" s="9"/>
      <c r="AK65" s="9"/>
    </row>
    <row r="66" spans="5:37" ht="14.25" customHeight="1" x14ac:dyDescent="0.2">
      <c r="E66" s="6"/>
      <c r="F66" s="6"/>
      <c r="G66" s="6"/>
      <c r="H66" s="6"/>
      <c r="I66" s="26"/>
      <c r="J66" s="6"/>
      <c r="K66" s="6"/>
      <c r="L66" s="6"/>
      <c r="M66" s="6"/>
      <c r="N66" s="6"/>
      <c r="O66" s="6"/>
      <c r="P66" s="6"/>
      <c r="Q66" s="38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22"/>
      <c r="AD66" s="22"/>
      <c r="AE66" s="22"/>
      <c r="AF66" s="9"/>
      <c r="AG66" s="9"/>
      <c r="AH66" s="9"/>
      <c r="AI66" s="9"/>
      <c r="AJ66" s="9"/>
      <c r="AK66" s="9"/>
    </row>
    <row r="67" spans="5:37" ht="14.25" customHeight="1" x14ac:dyDescent="0.2">
      <c r="E67" s="6"/>
      <c r="F67" s="6"/>
      <c r="G67" s="6"/>
      <c r="H67" s="6"/>
      <c r="I67" s="26"/>
      <c r="J67" s="6"/>
      <c r="K67" s="6"/>
      <c r="L67" s="6"/>
      <c r="M67" s="6"/>
      <c r="N67" s="6"/>
      <c r="O67" s="6"/>
      <c r="P67" s="6"/>
      <c r="Q67" s="38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22"/>
      <c r="AD67" s="22"/>
      <c r="AE67" s="22"/>
      <c r="AF67" s="9"/>
      <c r="AG67" s="9"/>
      <c r="AH67" s="9"/>
      <c r="AI67" s="9"/>
      <c r="AJ67" s="9"/>
      <c r="AK67" s="9"/>
    </row>
    <row r="68" spans="5:37" ht="14.25" customHeight="1" x14ac:dyDescent="0.2">
      <c r="E68" s="6"/>
      <c r="F68" s="6"/>
      <c r="G68" s="6"/>
      <c r="H68" s="6"/>
      <c r="I68" s="26"/>
      <c r="J68" s="6"/>
      <c r="K68" s="6"/>
      <c r="L68" s="6"/>
      <c r="M68" s="6"/>
      <c r="N68" s="6"/>
      <c r="O68" s="6"/>
      <c r="P68" s="6"/>
      <c r="Q68" s="38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22"/>
      <c r="AD68" s="22"/>
      <c r="AE68" s="22"/>
      <c r="AF68" s="9"/>
      <c r="AG68" s="9"/>
      <c r="AH68" s="9"/>
      <c r="AI68" s="9"/>
      <c r="AJ68" s="9"/>
      <c r="AK68" s="9"/>
    </row>
    <row r="69" spans="5:37" ht="14.25" customHeight="1" x14ac:dyDescent="0.2">
      <c r="E69" s="6"/>
      <c r="F69" s="6"/>
      <c r="G69" s="6"/>
      <c r="H69" s="6"/>
      <c r="I69" s="26"/>
      <c r="J69" s="6"/>
      <c r="K69" s="6"/>
      <c r="L69" s="6"/>
      <c r="M69" s="6"/>
      <c r="N69" s="6"/>
      <c r="O69" s="6"/>
      <c r="P69" s="6"/>
      <c r="Q69" s="38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22"/>
      <c r="AD69" s="22"/>
      <c r="AE69" s="22"/>
      <c r="AF69" s="9"/>
      <c r="AG69" s="9"/>
      <c r="AH69" s="9"/>
      <c r="AI69" s="9"/>
      <c r="AJ69" s="9"/>
      <c r="AK69" s="9"/>
    </row>
    <row r="70" spans="5:37" ht="14.25" customHeight="1" x14ac:dyDescent="0.2">
      <c r="E70" s="6"/>
      <c r="F70" s="6"/>
      <c r="G70" s="6"/>
      <c r="H70" s="6"/>
      <c r="I70" s="26"/>
      <c r="J70" s="6"/>
      <c r="K70" s="6"/>
      <c r="L70" s="6"/>
      <c r="M70" s="6"/>
      <c r="N70" s="6"/>
      <c r="O70" s="6"/>
      <c r="P70" s="6"/>
      <c r="Q70" s="38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22"/>
      <c r="AD70" s="22"/>
      <c r="AE70" s="22"/>
      <c r="AF70" s="9"/>
      <c r="AG70" s="9"/>
      <c r="AH70" s="9"/>
      <c r="AI70" s="9"/>
      <c r="AJ70" s="9"/>
      <c r="AK70" s="9"/>
    </row>
    <row r="71" spans="5:37" ht="14.25" customHeight="1" x14ac:dyDescent="0.2">
      <c r="E71" s="6"/>
      <c r="F71" s="6"/>
      <c r="G71" s="6"/>
      <c r="H71" s="6"/>
      <c r="I71" s="26"/>
      <c r="J71" s="6"/>
      <c r="K71" s="6"/>
      <c r="L71" s="6"/>
      <c r="M71" s="6"/>
      <c r="N71" s="6"/>
      <c r="O71" s="6"/>
      <c r="P71" s="6"/>
      <c r="Q71" s="38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22"/>
      <c r="AD71" s="22"/>
      <c r="AE71" s="22"/>
      <c r="AF71" s="9"/>
      <c r="AG71" s="9"/>
      <c r="AH71" s="9"/>
      <c r="AI71" s="9"/>
      <c r="AJ71" s="9"/>
      <c r="AK71" s="9"/>
    </row>
    <row r="72" spans="5:37" ht="14.25" customHeight="1" x14ac:dyDescent="0.2">
      <c r="E72" s="6"/>
      <c r="F72" s="6"/>
      <c r="G72" s="6"/>
      <c r="H72" s="6"/>
      <c r="I72" s="26"/>
      <c r="J72" s="6"/>
      <c r="K72" s="6"/>
      <c r="L72" s="6"/>
      <c r="M72" s="6"/>
      <c r="N72" s="6"/>
      <c r="O72" s="6"/>
      <c r="P72" s="6"/>
      <c r="Q72" s="38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22"/>
      <c r="AD72" s="22"/>
      <c r="AE72" s="22"/>
      <c r="AF72" s="9"/>
      <c r="AG72" s="9"/>
      <c r="AH72" s="9"/>
      <c r="AI72" s="9"/>
      <c r="AJ72" s="9"/>
      <c r="AK72" s="9"/>
    </row>
    <row r="73" spans="5:37" ht="14.25" customHeight="1" x14ac:dyDescent="0.2">
      <c r="E73" s="6"/>
      <c r="F73" s="6"/>
      <c r="G73" s="6"/>
      <c r="H73" s="6"/>
      <c r="I73" s="26"/>
      <c r="J73" s="6"/>
      <c r="K73" s="6"/>
      <c r="L73" s="6"/>
      <c r="M73" s="6"/>
      <c r="N73" s="6"/>
      <c r="O73" s="6"/>
      <c r="P73" s="6"/>
      <c r="Q73" s="38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22"/>
      <c r="AD73" s="22"/>
      <c r="AE73" s="22"/>
      <c r="AF73" s="9"/>
      <c r="AG73" s="9"/>
      <c r="AH73" s="9"/>
      <c r="AI73" s="9"/>
      <c r="AJ73" s="9"/>
      <c r="AK73" s="9"/>
    </row>
    <row r="74" spans="5:37" ht="14.25" customHeight="1" x14ac:dyDescent="0.2">
      <c r="E74" s="6"/>
      <c r="F74" s="6"/>
      <c r="G74" s="6"/>
      <c r="H74" s="6"/>
      <c r="I74" s="26"/>
      <c r="J74" s="6"/>
      <c r="K74" s="6"/>
      <c r="L74" s="6"/>
      <c r="M74" s="6"/>
      <c r="N74" s="6"/>
      <c r="O74" s="6"/>
      <c r="P74" s="6"/>
      <c r="Q74" s="38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22"/>
      <c r="AD74" s="22"/>
      <c r="AE74" s="22"/>
      <c r="AF74" s="9"/>
      <c r="AG74" s="9"/>
      <c r="AH74" s="9"/>
      <c r="AI74" s="9"/>
      <c r="AJ74" s="9"/>
      <c r="AK74" s="9"/>
    </row>
    <row r="75" spans="5:37" ht="14.25" customHeight="1" x14ac:dyDescent="0.2">
      <c r="E75" s="6"/>
      <c r="F75" s="6"/>
      <c r="G75" s="6"/>
      <c r="H75" s="6"/>
      <c r="I75" s="26"/>
      <c r="J75" s="6"/>
      <c r="K75" s="6"/>
      <c r="L75" s="6"/>
      <c r="M75" s="6"/>
      <c r="N75" s="6"/>
      <c r="O75" s="6"/>
      <c r="P75" s="6"/>
      <c r="Q75" s="38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22"/>
      <c r="AD75" s="22"/>
      <c r="AE75" s="22"/>
      <c r="AF75" s="9"/>
      <c r="AG75" s="9"/>
      <c r="AH75" s="9"/>
      <c r="AI75" s="9"/>
      <c r="AJ75" s="9"/>
      <c r="AK75" s="9"/>
    </row>
    <row r="76" spans="5:37" ht="14.25" customHeight="1" x14ac:dyDescent="0.2">
      <c r="E76" s="6"/>
      <c r="F76" s="6"/>
      <c r="G76" s="6"/>
      <c r="H76" s="6"/>
      <c r="I76" s="26"/>
      <c r="J76" s="6"/>
      <c r="K76" s="6"/>
      <c r="L76" s="6"/>
      <c r="M76" s="6"/>
      <c r="N76" s="6"/>
      <c r="O76" s="6"/>
      <c r="P76" s="6"/>
      <c r="Q76" s="38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22"/>
      <c r="AD76" s="22"/>
      <c r="AE76" s="22"/>
      <c r="AF76" s="9"/>
      <c r="AG76" s="9"/>
      <c r="AH76" s="9"/>
      <c r="AI76" s="9"/>
      <c r="AJ76" s="9"/>
      <c r="AK76" s="9"/>
    </row>
    <row r="77" spans="5:37" ht="14.25" customHeight="1" x14ac:dyDescent="0.2">
      <c r="E77" s="6"/>
      <c r="F77" s="6"/>
      <c r="G77" s="6"/>
      <c r="H77" s="6"/>
      <c r="I77" s="26"/>
      <c r="J77" s="6"/>
      <c r="K77" s="6"/>
      <c r="L77" s="6"/>
      <c r="M77" s="6"/>
      <c r="N77" s="6"/>
      <c r="O77" s="6"/>
      <c r="P77" s="6"/>
      <c r="Q77" s="38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22"/>
      <c r="AD77" s="22"/>
      <c r="AE77" s="22"/>
      <c r="AF77" s="9"/>
      <c r="AG77" s="9"/>
      <c r="AH77" s="9"/>
      <c r="AI77" s="9"/>
      <c r="AJ77" s="9"/>
      <c r="AK77" s="9"/>
    </row>
    <row r="78" spans="5:37" ht="14.25" customHeight="1" x14ac:dyDescent="0.2">
      <c r="E78" s="6"/>
      <c r="F78" s="6"/>
      <c r="G78" s="6"/>
      <c r="H78" s="6"/>
      <c r="I78" s="26"/>
      <c r="J78" s="6"/>
      <c r="K78" s="6"/>
      <c r="L78" s="6"/>
      <c r="M78" s="6"/>
      <c r="N78" s="6"/>
      <c r="O78" s="6"/>
      <c r="P78" s="6"/>
      <c r="Q78" s="38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22"/>
      <c r="AD78" s="22"/>
      <c r="AE78" s="22"/>
      <c r="AF78" s="9"/>
      <c r="AG78" s="9"/>
      <c r="AH78" s="9"/>
      <c r="AI78" s="9"/>
      <c r="AJ78" s="9"/>
      <c r="AK78" s="9"/>
    </row>
    <row r="79" spans="5:37" ht="14.25" customHeight="1" x14ac:dyDescent="0.2">
      <c r="E79" s="6"/>
      <c r="F79" s="6"/>
      <c r="G79" s="6"/>
      <c r="H79" s="6"/>
      <c r="I79" s="26"/>
      <c r="J79" s="6"/>
      <c r="K79" s="6"/>
      <c r="L79" s="6"/>
      <c r="M79" s="6"/>
      <c r="N79" s="6"/>
      <c r="O79" s="6"/>
      <c r="P79" s="6"/>
      <c r="Q79" s="38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22"/>
      <c r="AD79" s="22"/>
      <c r="AE79" s="22"/>
      <c r="AF79" s="9"/>
      <c r="AG79" s="9"/>
      <c r="AH79" s="9"/>
      <c r="AI79" s="9"/>
      <c r="AJ79" s="9"/>
      <c r="AK79" s="9"/>
    </row>
    <row r="80" spans="5:37" ht="14.25" customHeight="1" x14ac:dyDescent="0.2">
      <c r="E80" s="6"/>
      <c r="F80" s="6"/>
      <c r="G80" s="6"/>
      <c r="H80" s="6"/>
      <c r="I80" s="26"/>
      <c r="J80" s="6"/>
      <c r="K80" s="6"/>
      <c r="L80" s="6"/>
      <c r="M80" s="6"/>
      <c r="N80" s="6"/>
      <c r="O80" s="6"/>
      <c r="P80" s="6"/>
      <c r="Q80" s="38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22"/>
      <c r="AD80" s="22"/>
      <c r="AE80" s="22"/>
      <c r="AF80" s="9"/>
      <c r="AG80" s="9"/>
      <c r="AH80" s="9"/>
      <c r="AI80" s="9"/>
      <c r="AJ80" s="9"/>
      <c r="AK80" s="9"/>
    </row>
    <row r="81" spans="5:37" ht="14.25" customHeight="1" x14ac:dyDescent="0.2">
      <c r="E81" s="6"/>
      <c r="F81" s="6"/>
      <c r="G81" s="6"/>
      <c r="H81" s="6"/>
      <c r="I81" s="26"/>
      <c r="J81" s="6"/>
      <c r="K81" s="6"/>
      <c r="L81" s="6"/>
      <c r="M81" s="6"/>
      <c r="N81" s="6"/>
      <c r="O81" s="6"/>
      <c r="P81" s="6"/>
      <c r="Q81" s="38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22"/>
      <c r="AD81" s="22"/>
      <c r="AE81" s="22"/>
      <c r="AF81" s="9"/>
      <c r="AG81" s="9"/>
      <c r="AH81" s="9"/>
      <c r="AI81" s="9"/>
      <c r="AJ81" s="9"/>
      <c r="AK81" s="9"/>
    </row>
    <row r="82" spans="5:37" ht="14.25" customHeight="1" x14ac:dyDescent="0.2">
      <c r="E82" s="6"/>
      <c r="F82" s="6"/>
      <c r="G82" s="6"/>
      <c r="H82" s="6"/>
      <c r="I82" s="26"/>
      <c r="J82" s="6"/>
      <c r="K82" s="6"/>
      <c r="L82" s="6"/>
      <c r="M82" s="6"/>
      <c r="N82" s="6"/>
      <c r="O82" s="6"/>
      <c r="P82" s="6"/>
      <c r="Q82" s="38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22"/>
      <c r="AD82" s="22"/>
      <c r="AE82" s="22"/>
      <c r="AF82" s="9"/>
      <c r="AG82" s="9"/>
      <c r="AH82" s="9"/>
      <c r="AI82" s="9"/>
      <c r="AJ82" s="9"/>
      <c r="AK82" s="9"/>
    </row>
    <row r="83" spans="5:37" ht="14.25" customHeight="1" x14ac:dyDescent="0.2">
      <c r="E83" s="6"/>
      <c r="F83" s="6"/>
      <c r="G83" s="6"/>
      <c r="H83" s="6"/>
      <c r="I83" s="26"/>
      <c r="J83" s="6"/>
      <c r="K83" s="6"/>
      <c r="L83" s="6"/>
      <c r="M83" s="6"/>
      <c r="N83" s="6"/>
      <c r="O83" s="6"/>
      <c r="P83" s="6"/>
      <c r="Q83" s="38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22"/>
      <c r="AD83" s="22"/>
      <c r="AE83" s="22"/>
      <c r="AF83" s="9"/>
      <c r="AG83" s="9"/>
      <c r="AH83" s="9"/>
      <c r="AI83" s="9"/>
      <c r="AJ83" s="9"/>
      <c r="AK83" s="9"/>
    </row>
    <row r="84" spans="5:37" ht="14.25" customHeight="1" x14ac:dyDescent="0.2">
      <c r="E84" s="6"/>
      <c r="F84" s="6"/>
      <c r="G84" s="6"/>
      <c r="H84" s="6"/>
      <c r="I84" s="26"/>
      <c r="J84" s="6"/>
      <c r="K84" s="6"/>
      <c r="L84" s="6"/>
      <c r="M84" s="6"/>
      <c r="N84" s="6"/>
      <c r="O84" s="6"/>
      <c r="P84" s="6"/>
      <c r="Q84" s="38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22"/>
      <c r="AD84" s="22"/>
      <c r="AE84" s="22"/>
      <c r="AF84" s="9"/>
      <c r="AG84" s="9"/>
      <c r="AH84" s="9"/>
      <c r="AI84" s="9"/>
      <c r="AJ84" s="9"/>
      <c r="AK84" s="9"/>
    </row>
    <row r="85" spans="5:37" ht="14.25" customHeight="1" x14ac:dyDescent="0.2">
      <c r="E85" s="6"/>
      <c r="F85" s="6"/>
      <c r="G85" s="6"/>
      <c r="H85" s="6"/>
      <c r="I85" s="26"/>
      <c r="J85" s="6"/>
      <c r="K85" s="6"/>
      <c r="L85" s="6"/>
      <c r="M85" s="6"/>
      <c r="N85" s="6"/>
      <c r="O85" s="6"/>
      <c r="P85" s="6"/>
      <c r="Q85" s="38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22"/>
      <c r="AD85" s="22"/>
      <c r="AE85" s="22"/>
      <c r="AF85" s="9"/>
      <c r="AG85" s="9"/>
      <c r="AH85" s="9"/>
      <c r="AI85" s="9"/>
      <c r="AJ85" s="9"/>
      <c r="AK85" s="9"/>
    </row>
    <row r="86" spans="5:37" ht="14.25" customHeight="1" x14ac:dyDescent="0.2">
      <c r="E86" s="6"/>
      <c r="F86" s="6"/>
      <c r="G86" s="6"/>
      <c r="H86" s="6"/>
      <c r="I86" s="26"/>
      <c r="J86" s="6"/>
      <c r="K86" s="6"/>
      <c r="L86" s="6"/>
      <c r="M86" s="6"/>
      <c r="N86" s="6"/>
      <c r="O86" s="6"/>
      <c r="P86" s="6"/>
      <c r="Q86" s="38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22"/>
      <c r="AD86" s="22"/>
      <c r="AE86" s="22"/>
      <c r="AF86" s="9"/>
      <c r="AG86" s="9"/>
      <c r="AH86" s="9"/>
      <c r="AI86" s="9"/>
      <c r="AJ86" s="9"/>
      <c r="AK86" s="9"/>
    </row>
    <row r="87" spans="5:37" ht="14.25" customHeight="1" x14ac:dyDescent="0.2">
      <c r="E87" s="6"/>
      <c r="F87" s="6"/>
      <c r="G87" s="6"/>
      <c r="H87" s="6"/>
      <c r="I87" s="26"/>
      <c r="J87" s="6"/>
      <c r="K87" s="6"/>
      <c r="L87" s="6"/>
      <c r="M87" s="6"/>
      <c r="N87" s="6"/>
      <c r="O87" s="6"/>
      <c r="P87" s="6"/>
      <c r="Q87" s="38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22"/>
      <c r="AD87" s="22"/>
      <c r="AE87" s="22"/>
      <c r="AF87" s="9"/>
      <c r="AG87" s="9"/>
      <c r="AH87" s="9"/>
      <c r="AI87" s="9"/>
      <c r="AJ87" s="9"/>
      <c r="AK87" s="9"/>
    </row>
    <row r="88" spans="5:37" ht="14.25" customHeight="1" x14ac:dyDescent="0.2">
      <c r="E88" s="6"/>
      <c r="F88" s="6"/>
      <c r="G88" s="6"/>
      <c r="H88" s="6"/>
      <c r="I88" s="26"/>
      <c r="J88" s="6"/>
      <c r="K88" s="6"/>
      <c r="L88" s="6"/>
      <c r="M88" s="6"/>
      <c r="N88" s="6"/>
      <c r="O88" s="6"/>
      <c r="P88" s="6"/>
      <c r="Q88" s="38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22"/>
      <c r="AD88" s="22"/>
      <c r="AE88" s="22"/>
      <c r="AF88" s="9"/>
      <c r="AG88" s="9"/>
      <c r="AH88" s="9"/>
      <c r="AI88" s="9"/>
      <c r="AJ88" s="9"/>
      <c r="AK88" s="9"/>
    </row>
    <row r="89" spans="5:37" ht="14.25" customHeight="1" x14ac:dyDescent="0.2">
      <c r="E89" s="6"/>
      <c r="F89" s="6"/>
      <c r="G89" s="6"/>
      <c r="H89" s="6"/>
      <c r="I89" s="26"/>
      <c r="J89" s="6"/>
      <c r="K89" s="6"/>
      <c r="L89" s="6"/>
      <c r="M89" s="6"/>
      <c r="N89" s="6"/>
      <c r="O89" s="6"/>
      <c r="P89" s="6"/>
      <c r="Q89" s="38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22"/>
      <c r="AD89" s="22"/>
      <c r="AE89" s="22"/>
      <c r="AF89" s="9"/>
      <c r="AG89" s="9"/>
      <c r="AH89" s="9"/>
      <c r="AI89" s="9"/>
      <c r="AJ89" s="9"/>
      <c r="AK89" s="9"/>
    </row>
    <row r="90" spans="5:37" ht="14.25" customHeight="1" x14ac:dyDescent="0.2">
      <c r="E90" s="6"/>
      <c r="F90" s="6"/>
      <c r="G90" s="6"/>
      <c r="H90" s="6"/>
      <c r="I90" s="26"/>
      <c r="J90" s="6"/>
      <c r="K90" s="6"/>
      <c r="L90" s="6"/>
      <c r="M90" s="6"/>
      <c r="N90" s="6"/>
      <c r="O90" s="6"/>
      <c r="P90" s="6"/>
      <c r="Q90" s="38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22"/>
      <c r="AD90" s="22"/>
      <c r="AE90" s="22"/>
      <c r="AF90" s="9"/>
      <c r="AG90" s="9"/>
      <c r="AH90" s="9"/>
      <c r="AI90" s="9"/>
      <c r="AJ90" s="9"/>
      <c r="AK90" s="9"/>
    </row>
    <row r="91" spans="5:37" ht="14.25" customHeight="1" x14ac:dyDescent="0.2">
      <c r="E91" s="6"/>
      <c r="F91" s="6"/>
      <c r="G91" s="6"/>
      <c r="H91" s="6"/>
      <c r="I91" s="26"/>
      <c r="J91" s="6"/>
      <c r="K91" s="6"/>
      <c r="L91" s="6"/>
      <c r="M91" s="6"/>
      <c r="N91" s="6"/>
      <c r="O91" s="6"/>
      <c r="P91" s="6"/>
      <c r="Q91" s="38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22"/>
      <c r="AD91" s="22"/>
      <c r="AE91" s="22"/>
      <c r="AF91" s="9"/>
      <c r="AG91" s="9"/>
      <c r="AH91" s="9"/>
      <c r="AI91" s="9"/>
      <c r="AJ91" s="9"/>
      <c r="AK91" s="9"/>
    </row>
    <row r="92" spans="5:37" ht="14.25" customHeight="1" x14ac:dyDescent="0.2">
      <c r="E92" s="6"/>
      <c r="F92" s="6"/>
      <c r="G92" s="6"/>
      <c r="H92" s="6"/>
      <c r="I92" s="26"/>
      <c r="J92" s="6"/>
      <c r="K92" s="6"/>
      <c r="L92" s="6"/>
      <c r="M92" s="6"/>
      <c r="N92" s="6"/>
      <c r="O92" s="6"/>
      <c r="P92" s="6"/>
      <c r="Q92" s="38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22"/>
      <c r="AD92" s="22"/>
      <c r="AE92" s="22"/>
      <c r="AF92" s="9"/>
      <c r="AG92" s="9"/>
      <c r="AH92" s="9"/>
      <c r="AI92" s="9"/>
      <c r="AJ92" s="9"/>
      <c r="AK92" s="9"/>
    </row>
    <row r="93" spans="5:37" ht="14.25" customHeight="1" x14ac:dyDescent="0.2">
      <c r="E93" s="6"/>
      <c r="F93" s="6"/>
      <c r="G93" s="6"/>
      <c r="H93" s="6"/>
      <c r="I93" s="26"/>
      <c r="J93" s="6"/>
      <c r="K93" s="6"/>
      <c r="L93" s="6"/>
      <c r="M93" s="6"/>
      <c r="N93" s="6"/>
      <c r="O93" s="6"/>
      <c r="P93" s="6"/>
      <c r="Q93" s="38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22"/>
      <c r="AD93" s="22"/>
      <c r="AE93" s="22"/>
      <c r="AF93" s="9"/>
      <c r="AG93" s="9"/>
      <c r="AH93" s="9"/>
      <c r="AI93" s="9"/>
      <c r="AJ93" s="9"/>
      <c r="AK93" s="9"/>
    </row>
    <row r="94" spans="5:37" ht="14.25" customHeight="1" x14ac:dyDescent="0.2">
      <c r="E94" s="6"/>
      <c r="F94" s="6"/>
      <c r="G94" s="6"/>
      <c r="H94" s="6"/>
      <c r="I94" s="26"/>
      <c r="J94" s="6"/>
      <c r="K94" s="6"/>
      <c r="L94" s="6"/>
      <c r="M94" s="6"/>
      <c r="N94" s="6"/>
      <c r="O94" s="6"/>
      <c r="P94" s="6"/>
      <c r="Q94" s="38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22"/>
      <c r="AD94" s="22"/>
      <c r="AE94" s="22"/>
      <c r="AF94" s="9"/>
      <c r="AG94" s="9"/>
      <c r="AH94" s="9"/>
      <c r="AI94" s="9"/>
      <c r="AJ94" s="9"/>
      <c r="AK94" s="9"/>
    </row>
    <row r="95" spans="5:37" ht="14.25" customHeight="1" x14ac:dyDescent="0.2">
      <c r="E95" s="6"/>
      <c r="F95" s="6"/>
      <c r="G95" s="6"/>
      <c r="H95" s="6"/>
      <c r="I95" s="26"/>
      <c r="J95" s="6"/>
      <c r="K95" s="6"/>
      <c r="L95" s="6"/>
      <c r="M95" s="6"/>
      <c r="N95" s="6"/>
      <c r="O95" s="6"/>
      <c r="P95" s="6"/>
      <c r="Q95" s="38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22"/>
      <c r="AD95" s="22"/>
      <c r="AE95" s="22"/>
      <c r="AF95" s="9"/>
      <c r="AG95" s="9"/>
      <c r="AH95" s="9"/>
      <c r="AI95" s="9"/>
      <c r="AJ95" s="9"/>
      <c r="AK95" s="9"/>
    </row>
    <row r="96" spans="5:37" ht="14.25" customHeight="1" x14ac:dyDescent="0.2">
      <c r="E96" s="6"/>
      <c r="F96" s="6"/>
      <c r="G96" s="6"/>
      <c r="H96" s="6"/>
      <c r="I96" s="26"/>
      <c r="J96" s="6"/>
      <c r="K96" s="6"/>
      <c r="L96" s="6"/>
      <c r="M96" s="6"/>
      <c r="N96" s="6"/>
      <c r="O96" s="6"/>
      <c r="P96" s="6"/>
      <c r="Q96" s="38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22"/>
      <c r="AD96" s="22"/>
      <c r="AE96" s="22"/>
      <c r="AF96" s="9"/>
      <c r="AG96" s="9"/>
      <c r="AH96" s="9"/>
      <c r="AI96" s="9"/>
      <c r="AJ96" s="9"/>
      <c r="AK96" s="9"/>
    </row>
    <row r="97" spans="5:37" ht="14.25" customHeight="1" x14ac:dyDescent="0.2">
      <c r="E97" s="6"/>
      <c r="F97" s="6"/>
      <c r="G97" s="6"/>
      <c r="H97" s="6"/>
      <c r="I97" s="26"/>
      <c r="J97" s="6"/>
      <c r="K97" s="6"/>
      <c r="L97" s="6"/>
      <c r="M97" s="6"/>
      <c r="N97" s="6"/>
      <c r="O97" s="6"/>
      <c r="P97" s="6"/>
      <c r="Q97" s="38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22"/>
      <c r="AD97" s="22"/>
      <c r="AE97" s="22"/>
      <c r="AF97" s="9"/>
      <c r="AG97" s="9"/>
      <c r="AH97" s="9"/>
      <c r="AI97" s="9"/>
      <c r="AJ97" s="9"/>
      <c r="AK97" s="9"/>
    </row>
    <row r="98" spans="5:37" ht="14.25" customHeight="1" x14ac:dyDescent="0.2">
      <c r="E98" s="6"/>
      <c r="F98" s="6"/>
      <c r="G98" s="6"/>
      <c r="H98" s="6"/>
      <c r="I98" s="26"/>
      <c r="J98" s="6"/>
      <c r="K98" s="6"/>
      <c r="L98" s="6"/>
      <c r="M98" s="6"/>
      <c r="N98" s="6"/>
      <c r="O98" s="6"/>
      <c r="P98" s="6"/>
      <c r="Q98" s="38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22"/>
      <c r="AD98" s="22"/>
      <c r="AE98" s="22"/>
      <c r="AF98" s="9"/>
      <c r="AG98" s="9"/>
      <c r="AH98" s="9"/>
      <c r="AI98" s="9"/>
      <c r="AJ98" s="9"/>
      <c r="AK98" s="9"/>
    </row>
    <row r="99" spans="5:37" ht="14.25" customHeight="1" x14ac:dyDescent="0.2">
      <c r="E99" s="6"/>
      <c r="F99" s="6"/>
      <c r="G99" s="6"/>
      <c r="H99" s="6"/>
      <c r="I99" s="26"/>
      <c r="J99" s="6"/>
      <c r="K99" s="6"/>
      <c r="L99" s="6"/>
      <c r="M99" s="6"/>
      <c r="N99" s="6"/>
      <c r="O99" s="6"/>
      <c r="P99" s="6"/>
      <c r="Q99" s="38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22"/>
      <c r="AD99" s="22"/>
      <c r="AE99" s="22"/>
      <c r="AF99" s="9"/>
      <c r="AG99" s="9"/>
      <c r="AH99" s="9"/>
      <c r="AI99" s="9"/>
      <c r="AJ99" s="9"/>
      <c r="AK99" s="9"/>
    </row>
    <row r="100" spans="5:37" ht="14.25" customHeight="1" x14ac:dyDescent="0.2">
      <c r="E100" s="6"/>
      <c r="F100" s="6"/>
      <c r="G100" s="6"/>
      <c r="H100" s="6"/>
      <c r="I100" s="26"/>
      <c r="J100" s="6"/>
      <c r="K100" s="6"/>
      <c r="L100" s="6"/>
      <c r="M100" s="6"/>
      <c r="N100" s="6"/>
      <c r="O100" s="6"/>
      <c r="P100" s="6"/>
      <c r="Q100" s="38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22"/>
      <c r="AD100" s="22"/>
      <c r="AE100" s="22"/>
      <c r="AF100" s="9"/>
      <c r="AG100" s="9"/>
      <c r="AH100" s="9"/>
      <c r="AI100" s="9"/>
      <c r="AJ100" s="9"/>
      <c r="AK100" s="9"/>
    </row>
    <row r="101" spans="5:37" ht="14.25" customHeight="1" x14ac:dyDescent="0.2">
      <c r="E101" s="6"/>
      <c r="F101" s="6"/>
      <c r="G101" s="6"/>
      <c r="H101" s="6"/>
      <c r="I101" s="26"/>
      <c r="J101" s="6"/>
      <c r="K101" s="6"/>
      <c r="L101" s="6"/>
      <c r="M101" s="6"/>
      <c r="N101" s="6"/>
      <c r="O101" s="6"/>
      <c r="P101" s="6"/>
      <c r="Q101" s="38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22"/>
      <c r="AD101" s="22"/>
      <c r="AE101" s="22"/>
      <c r="AF101" s="9"/>
      <c r="AG101" s="9"/>
      <c r="AH101" s="9"/>
      <c r="AI101" s="9"/>
      <c r="AJ101" s="9"/>
      <c r="AK101" s="9"/>
    </row>
    <row r="102" spans="5:37" ht="14.25" customHeight="1" x14ac:dyDescent="0.2">
      <c r="E102" s="6"/>
      <c r="F102" s="6"/>
      <c r="G102" s="6"/>
      <c r="H102" s="6"/>
      <c r="I102" s="26"/>
      <c r="J102" s="6"/>
      <c r="K102" s="6"/>
      <c r="L102" s="6"/>
      <c r="M102" s="6"/>
      <c r="N102" s="6"/>
      <c r="O102" s="6"/>
      <c r="P102" s="6"/>
      <c r="Q102" s="38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22"/>
      <c r="AD102" s="22"/>
      <c r="AE102" s="22"/>
      <c r="AF102" s="9"/>
      <c r="AG102" s="9"/>
      <c r="AH102" s="9"/>
      <c r="AI102" s="9"/>
      <c r="AJ102" s="9"/>
      <c r="AK102" s="9"/>
    </row>
    <row r="103" spans="5:37" ht="14.25" customHeight="1" x14ac:dyDescent="0.2">
      <c r="E103" s="6"/>
      <c r="F103" s="6"/>
      <c r="G103" s="6"/>
      <c r="H103" s="6"/>
      <c r="I103" s="26"/>
      <c r="J103" s="6"/>
      <c r="K103" s="6"/>
      <c r="L103" s="6"/>
      <c r="M103" s="6"/>
      <c r="N103" s="6"/>
      <c r="O103" s="6"/>
      <c r="P103" s="6"/>
      <c r="Q103" s="38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22"/>
      <c r="AD103" s="22"/>
      <c r="AE103" s="22"/>
      <c r="AF103" s="9"/>
      <c r="AG103" s="9"/>
      <c r="AH103" s="9"/>
      <c r="AI103" s="9"/>
      <c r="AJ103" s="9"/>
      <c r="AK103" s="9"/>
    </row>
    <row r="104" spans="5:37" ht="14.25" customHeight="1" x14ac:dyDescent="0.2">
      <c r="E104" s="6"/>
      <c r="F104" s="6"/>
      <c r="G104" s="6"/>
      <c r="H104" s="6"/>
      <c r="I104" s="26"/>
      <c r="J104" s="6"/>
      <c r="K104" s="6"/>
      <c r="L104" s="6"/>
      <c r="M104" s="6"/>
      <c r="N104" s="6"/>
      <c r="O104" s="6"/>
      <c r="P104" s="6"/>
      <c r="Q104" s="38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22"/>
      <c r="AD104" s="22"/>
      <c r="AE104" s="22"/>
      <c r="AF104" s="9"/>
      <c r="AG104" s="9"/>
      <c r="AH104" s="9"/>
      <c r="AI104" s="9"/>
      <c r="AJ104" s="9"/>
      <c r="AK104" s="9"/>
    </row>
    <row r="105" spans="5:37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22"/>
      <c r="AD105" s="22"/>
      <c r="AE105" s="22"/>
      <c r="AF105" s="9"/>
      <c r="AG105" s="9"/>
      <c r="AH105" s="9"/>
      <c r="AI105" s="9"/>
      <c r="AJ105" s="9"/>
      <c r="AK105" s="9"/>
    </row>
    <row r="106" spans="5:37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22"/>
      <c r="AD106" s="22"/>
      <c r="AE106" s="22"/>
      <c r="AF106" s="9"/>
      <c r="AG106" s="9"/>
      <c r="AH106" s="9"/>
      <c r="AI106" s="9"/>
      <c r="AJ106" s="9"/>
      <c r="AK106" s="9"/>
    </row>
    <row r="107" spans="5:37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22"/>
      <c r="AD107" s="22"/>
      <c r="AE107" s="22"/>
      <c r="AF107" s="9"/>
      <c r="AG107" s="9"/>
      <c r="AH107" s="9"/>
      <c r="AI107" s="9"/>
      <c r="AJ107" s="9"/>
      <c r="AK107" s="9"/>
    </row>
    <row r="108" spans="5:37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22"/>
      <c r="AD108" s="22"/>
      <c r="AE108" s="22"/>
      <c r="AF108" s="9"/>
      <c r="AG108" s="9"/>
      <c r="AH108" s="9"/>
      <c r="AI108" s="9"/>
      <c r="AJ108" s="9"/>
      <c r="AK108" s="9"/>
    </row>
    <row r="109" spans="5:37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22"/>
      <c r="AD109" s="22"/>
      <c r="AE109" s="22"/>
      <c r="AF109" s="9"/>
      <c r="AG109" s="9"/>
      <c r="AH109" s="9"/>
      <c r="AI109" s="9"/>
      <c r="AJ109" s="9"/>
      <c r="AK109" s="9"/>
    </row>
    <row r="110" spans="5:37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22"/>
      <c r="AD110" s="22"/>
      <c r="AE110" s="22"/>
      <c r="AF110" s="9"/>
      <c r="AG110" s="9"/>
      <c r="AH110" s="9"/>
      <c r="AI110" s="9"/>
      <c r="AJ110" s="9"/>
      <c r="AK110" s="9"/>
    </row>
    <row r="111" spans="5:37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22"/>
      <c r="AD111" s="22"/>
      <c r="AE111" s="22"/>
      <c r="AF111" s="9"/>
      <c r="AG111" s="9"/>
      <c r="AH111" s="9"/>
      <c r="AI111" s="9"/>
      <c r="AJ111" s="9"/>
      <c r="AK111" s="9"/>
    </row>
    <row r="112" spans="5:37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22"/>
      <c r="AD112" s="22"/>
      <c r="AE112" s="22"/>
      <c r="AF112" s="9"/>
      <c r="AG112" s="9"/>
      <c r="AH112" s="9"/>
      <c r="AI112" s="9"/>
      <c r="AJ112" s="9"/>
      <c r="AK112" s="9"/>
    </row>
    <row r="113" spans="5:37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22"/>
      <c r="AD113" s="22"/>
      <c r="AE113" s="22"/>
      <c r="AF113" s="9"/>
      <c r="AG113" s="9"/>
      <c r="AH113" s="9"/>
      <c r="AI113" s="9"/>
      <c r="AJ113" s="9"/>
      <c r="AK113" s="9"/>
    </row>
    <row r="114" spans="5:37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22"/>
      <c r="AD114" s="22"/>
      <c r="AE114" s="22"/>
      <c r="AF114" s="9"/>
      <c r="AG114" s="9"/>
      <c r="AH114" s="9"/>
      <c r="AI114" s="9"/>
      <c r="AJ114" s="9"/>
      <c r="AK114" s="9"/>
    </row>
    <row r="115" spans="5:37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22"/>
      <c r="AD115" s="22"/>
      <c r="AE115" s="22"/>
      <c r="AF115" s="9"/>
      <c r="AG115" s="9"/>
      <c r="AH115" s="9"/>
      <c r="AI115" s="9"/>
      <c r="AJ115" s="9"/>
      <c r="AK115" s="9"/>
    </row>
    <row r="116" spans="5:37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22"/>
      <c r="AD116" s="22"/>
      <c r="AE116" s="22"/>
      <c r="AF116" s="9"/>
      <c r="AG116" s="9"/>
      <c r="AH116" s="9"/>
      <c r="AI116" s="9"/>
      <c r="AJ116" s="9"/>
      <c r="AK116" s="9"/>
    </row>
    <row r="117" spans="5:37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22"/>
      <c r="AD117" s="22"/>
      <c r="AE117" s="22"/>
      <c r="AF117" s="9"/>
      <c r="AG117" s="9"/>
      <c r="AH117" s="9"/>
      <c r="AI117" s="9"/>
      <c r="AJ117" s="9"/>
      <c r="AK117" s="9"/>
    </row>
    <row r="118" spans="5:37" ht="14.25" customHeight="1" x14ac:dyDescent="0.2">
      <c r="E118" s="6"/>
      <c r="F118" s="6"/>
      <c r="G118" s="6"/>
      <c r="H118" s="6"/>
      <c r="I118" s="26"/>
      <c r="J118" s="6"/>
      <c r="K118" s="6"/>
      <c r="L118" s="6"/>
      <c r="M118" s="6"/>
      <c r="N118" s="6"/>
      <c r="O118" s="6"/>
      <c r="P118" s="6"/>
      <c r="Q118" s="38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22"/>
      <c r="AD118" s="22"/>
      <c r="AE118" s="22"/>
      <c r="AF118" s="9"/>
      <c r="AG118" s="9"/>
      <c r="AH118" s="9"/>
      <c r="AI118" s="9"/>
      <c r="AJ118" s="9"/>
      <c r="AK118" s="9"/>
    </row>
    <row r="119" spans="5:37" ht="14.25" customHeight="1" x14ac:dyDescent="0.2">
      <c r="K119" s="6"/>
      <c r="L119" s="6"/>
      <c r="S119" s="6"/>
      <c r="T119" s="6"/>
      <c r="AI119" s="9"/>
      <c r="AJ119" s="9"/>
      <c r="AK119" s="9"/>
    </row>
    <row r="120" spans="5:37" ht="14.25" customHeight="1" x14ac:dyDescent="0.2">
      <c r="J120" s="6"/>
      <c r="K120" s="6"/>
      <c r="L120" s="6"/>
    </row>
    <row r="122" spans="5:37" ht="14.25" customHeight="1" x14ac:dyDescent="0.2">
      <c r="J122" s="8"/>
      <c r="K122" s="8"/>
      <c r="L122" s="8"/>
    </row>
  </sheetData>
  <mergeCells count="1">
    <mergeCell ref="A1:B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F3326-E073-4513-9274-014D6B3A96E0}">
  <sheetPr codeName="Sheet7"/>
  <dimension ref="A1:AL121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5" sqref="I5"/>
    </sheetView>
  </sheetViews>
  <sheetFormatPr defaultRowHeight="14.25" x14ac:dyDescent="0.2"/>
  <cols>
    <col min="1" max="20" width="9" style="1"/>
    <col min="21" max="21" width="5.625" style="1" customWidth="1"/>
    <col min="22" max="16384" width="9" style="1"/>
  </cols>
  <sheetData>
    <row r="1" spans="1:34" ht="14.25" customHeight="1" x14ac:dyDescent="0.2">
      <c r="A1" s="81" t="s">
        <v>182</v>
      </c>
      <c r="B1" s="82"/>
      <c r="M1" s="3" t="s">
        <v>157</v>
      </c>
      <c r="N1" s="1" t="s">
        <v>258</v>
      </c>
      <c r="AC1" s="9"/>
    </row>
    <row r="2" spans="1:34" ht="14.25" customHeight="1" x14ac:dyDescent="0.2">
      <c r="A2" s="83"/>
      <c r="B2" s="84"/>
      <c r="M2" s="3" t="s">
        <v>187</v>
      </c>
      <c r="N2" s="1" t="s">
        <v>195</v>
      </c>
      <c r="O2" s="2" t="s">
        <v>200</v>
      </c>
      <c r="Y2" s="20">
        <f>角色设定!J26</f>
        <v>0.4</v>
      </c>
      <c r="Z2" s="20">
        <f>角色设定!K26</f>
        <v>1.5</v>
      </c>
      <c r="AC2" s="9"/>
    </row>
    <row r="3" spans="1:34" ht="14.25" customHeight="1" x14ac:dyDescent="0.2">
      <c r="C3" s="3" t="s">
        <v>192</v>
      </c>
      <c r="D3" s="2" t="s">
        <v>198</v>
      </c>
      <c r="L3" s="3" t="s">
        <v>193</v>
      </c>
      <c r="M3" s="3" t="s">
        <v>184</v>
      </c>
      <c r="N3" s="1">
        <v>10</v>
      </c>
      <c r="O3" s="100" t="str">
        <f>N2</f>
        <v>SSR</v>
      </c>
      <c r="P3" s="101"/>
      <c r="Q3" s="101"/>
      <c r="R3" s="101"/>
      <c r="S3" s="101"/>
      <c r="T3" s="37"/>
      <c r="U3" s="37"/>
      <c r="V3" s="100" t="s">
        <v>196</v>
      </c>
      <c r="W3" s="101"/>
      <c r="X3" s="101"/>
      <c r="Y3" s="101"/>
      <c r="Z3" s="101"/>
      <c r="AA3" s="101"/>
      <c r="AB3" s="102"/>
      <c r="AC3" s="9"/>
    </row>
    <row r="4" spans="1:34" s="3" customFormat="1" ht="14.25" customHeight="1" x14ac:dyDescent="0.2">
      <c r="D4" s="3" t="s">
        <v>157</v>
      </c>
      <c r="E4" s="3" t="s">
        <v>151</v>
      </c>
      <c r="F4" s="3" t="s">
        <v>153</v>
      </c>
      <c r="G4" s="3" t="s">
        <v>154</v>
      </c>
      <c r="H4" s="3" t="s">
        <v>145</v>
      </c>
      <c r="I4" s="3" t="s">
        <v>148</v>
      </c>
      <c r="J4" s="3" t="s">
        <v>175</v>
      </c>
      <c r="K4" s="1"/>
      <c r="L4" s="6">
        <f>MIN(L5:L104)</f>
        <v>0.2184587439305386</v>
      </c>
      <c r="M4" s="3" t="s">
        <v>194</v>
      </c>
      <c r="N4" s="3" t="s">
        <v>173</v>
      </c>
      <c r="O4" s="3" t="s">
        <v>174</v>
      </c>
      <c r="P4" s="3" t="s">
        <v>145</v>
      </c>
      <c r="Q4" s="3" t="s">
        <v>146</v>
      </c>
      <c r="R4" s="3" t="s">
        <v>147</v>
      </c>
      <c r="S4" s="3" t="s">
        <v>148</v>
      </c>
      <c r="T4" s="3" t="s">
        <v>88</v>
      </c>
      <c r="U4" s="3" t="s">
        <v>197</v>
      </c>
      <c r="V4" s="3" t="s">
        <v>173</v>
      </c>
      <c r="W4" s="3" t="s">
        <v>174</v>
      </c>
      <c r="X4" s="3" t="s">
        <v>145</v>
      </c>
      <c r="Y4" s="25" t="s">
        <v>146</v>
      </c>
      <c r="Z4" s="25" t="s">
        <v>147</v>
      </c>
      <c r="AA4" s="3" t="s">
        <v>148</v>
      </c>
      <c r="AB4" s="3" t="s">
        <v>175</v>
      </c>
      <c r="AC4" s="9"/>
    </row>
    <row r="5" spans="1:34" ht="14.25" customHeight="1" x14ac:dyDescent="0.2">
      <c r="D5" s="32" t="s">
        <v>258</v>
      </c>
      <c r="E5" s="1" t="str">
        <f>VLOOKUP($D5,角色设定!$AB:$AJ,MATCH(E$4,角色设定!$AB$9:$AJ$9,0),0)</f>
        <v>承伤</v>
      </c>
      <c r="F5" s="6">
        <f>VLOOKUP($D5,角色设定!$AB:$AJ,MATCH(F$4,角色设定!$AB$9:$AJ$9,0),0)*IF($E5=F$4,角色成长!$F$5,角色成长!$H$5)</f>
        <v>0.24545454545454548</v>
      </c>
      <c r="G5" s="6">
        <f>VLOOKUP($D5,角色设定!$AB:$AJ,MATCH(G$4,角色设定!$AB$9:$AJ$9,0),0)*IF($E5=G$4,角色成长!$F$5,角色成长!$H$5)</f>
        <v>0.50450450450450457</v>
      </c>
      <c r="H5" s="6">
        <f>VLOOKUP($D5,角色设定!$AB:$AJ,MATCH(H$4,角色设定!$AB$9:$AJ$9,0),0)</f>
        <v>4.4117647058823524</v>
      </c>
      <c r="I5" s="1">
        <f>VLOOKUP($D5,角色设定!$AB:$AJ,MATCH(I$4,角色设定!$AB$9:$AJ$9,0),0)</f>
        <v>0.9</v>
      </c>
      <c r="J5" s="1">
        <f>VLOOKUP($D5,角色设定!$AB:$AJ,MATCH(J$4,角色设定!$AB$9:$AJ$9,0),0)</f>
        <v>0.75</v>
      </c>
      <c r="L5" s="6">
        <f>O5/P5</f>
        <v>1.1994645247657296</v>
      </c>
      <c r="M5" s="1">
        <v>1</v>
      </c>
      <c r="N5" s="6">
        <f>VLOOKUP($N$2,角色品星!$C$16:$D$20,2,0)*VLOOKUP($N$3,角色品星!$C$3:$E$14,3,0)*V5</f>
        <v>187.5</v>
      </c>
      <c r="O5" s="6">
        <f>VLOOKUP($N$2,角色品星!$C$16:$D$20,2,0)*VLOOKUP($N$3,角色品星!$C$3:$E$14,3,0)*W5</f>
        <v>4497.9919678714859</v>
      </c>
      <c r="P5" s="6">
        <f>VLOOKUP($N$2,角色品星!$C$16:$D$20,2,0)*VLOOKUP($N$3,角色品星!$C$3:$E$14,3,0)*X5</f>
        <v>3749.9999999999995</v>
      </c>
      <c r="Q5" s="24">
        <f>Y5</f>
        <v>0.05</v>
      </c>
      <c r="R5" s="24">
        <f t="shared" ref="R5:S5" si="0">Z5</f>
        <v>1.5</v>
      </c>
      <c r="S5" s="24">
        <f t="shared" si="0"/>
        <v>0.9</v>
      </c>
      <c r="T5" s="42">
        <f>N5*(1+Q5*(R5-1))*S5*战斗公式!$E$39+(P5*战斗公式!$E$40+1)*O5*战斗公式!$E$41</f>
        <v>8990.8854166666661</v>
      </c>
      <c r="U5" s="42">
        <f>T6-T5</f>
        <v>449.54427083333576</v>
      </c>
      <c r="V5" s="6">
        <f>VLOOKUP($N$1,$D$4:$J$15,MATCH(F$4,$D$4:$J$4,0),0)*角色成长!E18*角色成长!$L$15*AB5/AA5/(1+$Y$2*($Z$2-1))</f>
        <v>187.5</v>
      </c>
      <c r="W5" s="6">
        <f>VLOOKUP($N$1,$D$4:$J$15,MATCH(G$4,$D$4:$J$4,0),0)*角色成长!F18*角色成长!$L$15/(1+X5/角色成长!$N$16)</f>
        <v>4497.9919678714859</v>
      </c>
      <c r="X5" s="6">
        <f>VLOOKUP($N$1,$D$4:$J$15,MATCH(H$4,$D$4:$J$4,0),0)*角色成长!G18*角色成长!$L$15</f>
        <v>3749.9999999999995</v>
      </c>
      <c r="Y5" s="1">
        <v>0.05</v>
      </c>
      <c r="Z5" s="1">
        <v>1.5</v>
      </c>
      <c r="AA5" s="1">
        <f>VLOOKUP($N$1,$D$4:$J$15,MATCH(I$4,$D$4:$J$4,0),0)*角色成长!J18</f>
        <v>0.9</v>
      </c>
      <c r="AB5" s="1">
        <f t="shared" ref="AB5:AB36" si="1">VLOOKUP($N$1,$D$4:$J$15,MATCH(J$4,$D$4:$J$4,0),0)</f>
        <v>0.75</v>
      </c>
    </row>
    <row r="6" spans="1:34" ht="14.25" customHeight="1" x14ac:dyDescent="0.2">
      <c r="D6" s="32" t="s">
        <v>259</v>
      </c>
      <c r="E6" s="1" t="str">
        <f>VLOOKUP($D6,角色设定!$AB:$AJ,MATCH(E$4,角色设定!$AB$9:$AJ$9,0),0)</f>
        <v>承伤</v>
      </c>
      <c r="F6" s="6">
        <f>VLOOKUP($D6,角色设定!$AB:$AJ,MATCH(F$4,角色设定!$AB$9:$AJ$9,0),0)*IF($E6=F$4,角色成长!$F$5,角色成长!$H$5)</f>
        <v>0.27272727272727276</v>
      </c>
      <c r="G6" s="6">
        <f>VLOOKUP($D6,角色设定!$AB:$AJ,MATCH(G$4,角色设定!$AB$9:$AJ$9,0),0)*IF($E6=G$4,角色成长!$F$5,角色成长!$H$5)</f>
        <v>0.45405405405405413</v>
      </c>
      <c r="H6" s="6">
        <f>VLOOKUP($D6,角色设定!$AB:$AJ,MATCH(H$4,角色设定!$AB$9:$AJ$9,0),0)</f>
        <v>3.5294117647058822</v>
      </c>
      <c r="I6" s="1">
        <f>VLOOKUP($D6,角色设定!$AB:$AJ,MATCH(I$4,角色设定!$AB$9:$AJ$9,0),0)</f>
        <v>0.9</v>
      </c>
      <c r="J6" s="1">
        <f>VLOOKUP($D6,角色设定!$AB:$AJ,MATCH(J$4,角色设定!$AB$9:$AJ$9,0),0)</f>
        <v>0.75</v>
      </c>
      <c r="L6" s="6">
        <f t="shared" ref="L6:L69" si="2">O6/P6</f>
        <v>1.1973007282688586</v>
      </c>
      <c r="M6" s="1">
        <v>2</v>
      </c>
      <c r="N6" s="6">
        <f>VLOOKUP($N$2,角色品星!$C$16:$D$20,2,0)*VLOOKUP($N$3,角色品星!$C$3:$E$14,3,0)*V6</f>
        <v>196.87500000000006</v>
      </c>
      <c r="O6" s="6">
        <f>VLOOKUP($N$2,角色品星!$C$16:$D$20,2,0)*VLOOKUP($N$3,角色品星!$C$3:$E$14,3,0)*W6</f>
        <v>4714.3716175586305</v>
      </c>
      <c r="P6" s="6">
        <f>VLOOKUP($N$2,角色品星!$C$16:$D$20,2,0)*VLOOKUP($N$3,角色品星!$C$3:$E$14,3,0)*X6</f>
        <v>3937.4999999999995</v>
      </c>
      <c r="Q6" s="24">
        <f t="shared" ref="Q6:Q69" si="3">Y6</f>
        <v>0.05</v>
      </c>
      <c r="R6" s="24">
        <f t="shared" ref="R6:R69" si="4">Z6</f>
        <v>1.5</v>
      </c>
      <c r="S6" s="24">
        <f t="shared" ref="S6:S69" si="5">AA6</f>
        <v>0.9</v>
      </c>
      <c r="T6" s="42">
        <f>N6*(1+Q6*(R6-1))*S6*战斗公式!$E$39+(P6*战斗公式!$E$40+1)*O6*战斗公式!$E$41</f>
        <v>9440.4296875000018</v>
      </c>
      <c r="U6" s="42">
        <f t="shared" ref="U6:U69" si="6">T7-T6</f>
        <v>472.02148437499818</v>
      </c>
      <c r="V6" s="6">
        <f>VLOOKUP($N$1,$D$4:$J$15,MATCH(F$4,$D$4:$J$4,0),0)*角色成长!E19*角色成长!$L$15*AB6/AA6/(1+$Y$2*($Z$2-1))</f>
        <v>196.87500000000006</v>
      </c>
      <c r="W6" s="6">
        <f>VLOOKUP($N$1,$D$4:$J$15,MATCH(G$4,$D$4:$J$4,0),0)*角色成长!F19*角色成长!$L$15/(1+X6/角色成长!$N$16)</f>
        <v>4714.3716175586305</v>
      </c>
      <c r="X6" s="6">
        <f>VLOOKUP($N$1,$D$4:$J$15,MATCH(H$4,$D$4:$J$4,0),0)*角色成长!G19*角色成长!$L$15</f>
        <v>3937.4999999999995</v>
      </c>
      <c r="Y6" s="1">
        <v>0.05</v>
      </c>
      <c r="Z6" s="1">
        <v>1.5</v>
      </c>
      <c r="AA6" s="1">
        <f>VLOOKUP($N$1,$D$4:$J$15,MATCH(I$4,$D$4:$J$4,0),0)*角色成长!J19</f>
        <v>0.9</v>
      </c>
      <c r="AB6" s="1">
        <f t="shared" si="1"/>
        <v>0.75</v>
      </c>
    </row>
    <row r="7" spans="1:34" ht="14.25" customHeight="1" x14ac:dyDescent="0.2">
      <c r="D7" s="32" t="s">
        <v>260</v>
      </c>
      <c r="E7" s="1" t="str">
        <f>VLOOKUP($D7,角色设定!$AB:$AJ,MATCH(E$4,角色设定!$AB$9:$AJ$9,0),0)</f>
        <v>伤害</v>
      </c>
      <c r="F7" s="6">
        <f>VLOOKUP($D7,角色设定!$AB:$AJ,MATCH(F$4,角色设定!$AB$9:$AJ$9,0),0)*IF($E7=F$4,角色成长!$F$5,角色成长!$H$5)</f>
        <v>0.21000000000000002</v>
      </c>
      <c r="G7" s="6">
        <f>VLOOKUP($D7,角色设定!$AB:$AJ,MATCH(G$4,角色设定!$AB$9:$AJ$9,0),0)*IF($E7=G$4,角色成长!$F$5,角色成长!$H$5)</f>
        <v>0.58968058968058967</v>
      </c>
      <c r="H7" s="6">
        <f>VLOOKUP($D7,角色设定!$AB:$AJ,MATCH(H$4,角色设定!$AB$9:$AJ$9,0),0)</f>
        <v>4.0588235294117645</v>
      </c>
      <c r="I7" s="1">
        <f>VLOOKUP($D7,角色设定!$AB:$AJ,MATCH(I$4,角色设定!$AB$9:$AJ$9,0),0)</f>
        <v>0.95</v>
      </c>
      <c r="J7" s="1">
        <f>VLOOKUP($D7,角色设定!$AB:$AJ,MATCH(J$4,角色设定!$AB$9:$AJ$9,0),0)</f>
        <v>0.751</v>
      </c>
      <c r="L7" s="6">
        <f t="shared" si="2"/>
        <v>1.1950371281764016</v>
      </c>
      <c r="M7" s="1">
        <v>3</v>
      </c>
      <c r="N7" s="6">
        <f>VLOOKUP($N$2,角色品星!$C$16:$D$20,2,0)*VLOOKUP($N$3,角色品星!$C$3:$E$14,3,0)*V7</f>
        <v>206.71875000000003</v>
      </c>
      <c r="O7" s="6">
        <f>VLOOKUP($N$2,角色品星!$C$16:$D$20,2,0)*VLOOKUP($N$3,角色品星!$C$3:$E$14,3,0)*W7</f>
        <v>4940.7316268043105</v>
      </c>
      <c r="P7" s="6">
        <f>VLOOKUP($N$2,角色品星!$C$16:$D$20,2,0)*VLOOKUP($N$3,角色品星!$C$3:$E$14,3,0)*X7</f>
        <v>4134.375</v>
      </c>
      <c r="Q7" s="24">
        <f t="shared" si="3"/>
        <v>0.05</v>
      </c>
      <c r="R7" s="24">
        <f t="shared" si="4"/>
        <v>1.5</v>
      </c>
      <c r="S7" s="24">
        <f t="shared" si="5"/>
        <v>0.9</v>
      </c>
      <c r="T7" s="42">
        <f>N7*(1+Q7*(R7-1))*S7*战斗公式!$E$39+(P7*战斗公式!$E$40+1)*O7*战斗公式!$E$41</f>
        <v>9912.451171875</v>
      </c>
      <c r="U7" s="42">
        <f t="shared" si="6"/>
        <v>495.62255859375182</v>
      </c>
      <c r="V7" s="6">
        <f>VLOOKUP($N$1,$D$4:$J$15,MATCH(F$4,$D$4:$J$4,0),0)*角色成长!E20*角色成长!$L$15*AB7/AA7/(1+$Y$2*($Z$2-1))</f>
        <v>206.71875000000003</v>
      </c>
      <c r="W7" s="6">
        <f>VLOOKUP($N$1,$D$4:$J$15,MATCH(G$4,$D$4:$J$4,0),0)*角色成长!F20*角色成长!$L$15/(1+X7/角色成长!$N$16)</f>
        <v>4940.7316268043105</v>
      </c>
      <c r="X7" s="6">
        <f>VLOOKUP($N$1,$D$4:$J$15,MATCH(H$4,$D$4:$J$4,0),0)*角色成长!G20*角色成长!$L$15</f>
        <v>4134.375</v>
      </c>
      <c r="Y7" s="1">
        <v>0.05</v>
      </c>
      <c r="Z7" s="1">
        <v>1.5</v>
      </c>
      <c r="AA7" s="1">
        <f>VLOOKUP($N$1,$D$4:$J$15,MATCH(I$4,$D$4:$J$4,0),0)*角色成长!J20</f>
        <v>0.9</v>
      </c>
      <c r="AB7" s="1">
        <f t="shared" si="1"/>
        <v>0.75</v>
      </c>
    </row>
    <row r="8" spans="1:34" ht="14.25" customHeight="1" x14ac:dyDescent="0.2">
      <c r="D8" s="32" t="s">
        <v>261</v>
      </c>
      <c r="E8" s="1" t="str">
        <f>VLOOKUP($D8,角色设定!$AB:$AJ,MATCH(E$4,角色设定!$AB$9:$AJ$9,0),0)</f>
        <v>伤害</v>
      </c>
      <c r="F8" s="6">
        <f>VLOOKUP($D8,角色设定!$AB:$AJ,MATCH(F$4,角色设定!$AB$9:$AJ$9,0),0)*IF($E8=F$4,角色成长!$F$5,角色成长!$H$5)</f>
        <v>0.22909090909090912</v>
      </c>
      <c r="G8" s="6">
        <f>VLOOKUP($D8,角色设定!$AB:$AJ,MATCH(G$4,角色设定!$AB$9:$AJ$9,0),0)*IF($E8=G$4,角色成长!$F$5,角色成长!$H$5)</f>
        <v>0.54054054054054057</v>
      </c>
      <c r="H8" s="6">
        <f>VLOOKUP($D8,角色设定!$AB:$AJ,MATCH(H$4,角色设定!$AB$9:$AJ$9,0),0)</f>
        <v>3.9705882352941173</v>
      </c>
      <c r="I8" s="1">
        <f>VLOOKUP($D8,角色设定!$AB:$AJ,MATCH(I$4,角色设定!$AB$9:$AJ$9,0),0)</f>
        <v>0.95</v>
      </c>
      <c r="J8" s="1">
        <f>VLOOKUP($D8,角色设定!$AB:$AJ,MATCH(J$4,角色设定!$AB$9:$AJ$9,0),0)</f>
        <v>0.751</v>
      </c>
      <c r="K8" s="6"/>
      <c r="L8" s="6">
        <f t="shared" si="2"/>
        <v>1.1926695415193926</v>
      </c>
      <c r="M8" s="1">
        <v>4</v>
      </c>
      <c r="N8" s="6">
        <f>VLOOKUP($N$2,角色品星!$C$16:$D$20,2,0)*VLOOKUP($N$3,角色品星!$C$3:$E$14,3,0)*V8</f>
        <v>217.05468750000006</v>
      </c>
      <c r="O8" s="6">
        <f>VLOOKUP($N$2,角色品星!$C$16:$D$20,2,0)*VLOOKUP($N$3,角色品星!$C$3:$E$14,3,0)*W8</f>
        <v>5177.4902925052011</v>
      </c>
      <c r="P8" s="6">
        <f>VLOOKUP($N$2,角色品星!$C$16:$D$20,2,0)*VLOOKUP($N$3,角色品星!$C$3:$E$14,3,0)*X8</f>
        <v>4341.09375</v>
      </c>
      <c r="Q8" s="24">
        <f t="shared" si="3"/>
        <v>0.05</v>
      </c>
      <c r="R8" s="24">
        <f t="shared" si="4"/>
        <v>1.5</v>
      </c>
      <c r="S8" s="24">
        <f t="shared" si="5"/>
        <v>0.9</v>
      </c>
      <c r="T8" s="42">
        <f>N8*(1+Q8*(R8-1))*S8*战斗公式!$E$39+(P8*战斗公式!$E$40+1)*O8*战斗公式!$E$41</f>
        <v>10408.073730468752</v>
      </c>
      <c r="U8" s="42">
        <f t="shared" si="6"/>
        <v>520.40368652343568</v>
      </c>
      <c r="V8" s="6">
        <f>VLOOKUP($N$1,$D$4:$J$15,MATCH(F$4,$D$4:$J$4,0),0)*角色成长!E21*角色成长!$L$15*AB8/AA8/(1+$Y$2*($Z$2-1))</f>
        <v>217.05468750000006</v>
      </c>
      <c r="W8" s="6">
        <f>VLOOKUP($N$1,$D$4:$J$15,MATCH(G$4,$D$4:$J$4,0),0)*角色成长!F21*角色成长!$L$15/(1+X8/角色成长!$N$16)</f>
        <v>5177.4902925052011</v>
      </c>
      <c r="X8" s="6">
        <f>VLOOKUP($N$1,$D$4:$J$15,MATCH(H$4,$D$4:$J$4,0),0)*角色成长!G21*角色成长!$L$15</f>
        <v>4341.09375</v>
      </c>
      <c r="Y8" s="1">
        <v>0.05</v>
      </c>
      <c r="Z8" s="1">
        <v>1.5</v>
      </c>
      <c r="AA8" s="1">
        <f>VLOOKUP($N$1,$D$4:$J$15,MATCH(I$4,$D$4:$J$4,0),0)*角色成长!J21</f>
        <v>0.9</v>
      </c>
      <c r="AB8" s="1">
        <f t="shared" si="1"/>
        <v>0.75</v>
      </c>
    </row>
    <row r="9" spans="1:34" ht="14.25" customHeight="1" x14ac:dyDescent="0.2">
      <c r="D9" s="32" t="s">
        <v>262</v>
      </c>
      <c r="E9" s="1" t="str">
        <f>VLOOKUP($D9,角色设定!$AB:$AJ,MATCH(E$4,角色设定!$AB$9:$AJ$9,0),0)</f>
        <v>伤害</v>
      </c>
      <c r="F9" s="6">
        <f>VLOOKUP($D9,角色设定!$AB:$AJ,MATCH(F$4,角色设定!$AB$9:$AJ$9,0),0)*IF($E9=F$4,角色成长!$F$5,角色成长!$H$5)</f>
        <v>0.40090909090909094</v>
      </c>
      <c r="G9" s="6">
        <f>VLOOKUP($D9,角色设定!$AB:$AJ,MATCH(G$4,角色设定!$AB$9:$AJ$9,0),0)*IF($E9=G$4,角色成长!$F$5,角色成长!$H$5)</f>
        <v>0.24710424710424711</v>
      </c>
      <c r="H9" s="6">
        <f>VLOOKUP($D9,角色设定!$AB:$AJ,MATCH(H$4,角色设定!$AB$9:$AJ$9,0),0)</f>
        <v>0.88235294117647056</v>
      </c>
      <c r="I9" s="1">
        <f>VLOOKUP($D9,角色设定!$AB:$AJ,MATCH(I$4,角色设定!$AB$9:$AJ$9,0),0)</f>
        <v>1</v>
      </c>
      <c r="J9" s="1">
        <f>VLOOKUP($D9,角色设定!$AB:$AJ,MATCH(J$4,角色设定!$AB$9:$AJ$9,0),0)</f>
        <v>0.8</v>
      </c>
      <c r="L9" s="6">
        <f t="shared" si="2"/>
        <v>1.1901936511321409</v>
      </c>
      <c r="M9" s="1">
        <v>5</v>
      </c>
      <c r="N9" s="6">
        <f>VLOOKUP($N$2,角色品星!$C$16:$D$20,2,0)*VLOOKUP($N$3,角色品星!$C$3:$E$14,3,0)*V9</f>
        <v>227.90742187499998</v>
      </c>
      <c r="O9" s="6">
        <f>VLOOKUP($N$2,角色品星!$C$16:$D$20,2,0)*VLOOKUP($N$3,角色品星!$C$3:$E$14,3,0)*W9</f>
        <v>5425.0793312303867</v>
      </c>
      <c r="P9" s="6">
        <f>VLOOKUP($N$2,角色品星!$C$16:$D$20,2,0)*VLOOKUP($N$3,角色品星!$C$3:$E$14,3,0)*X9</f>
        <v>4558.1484374999991</v>
      </c>
      <c r="Q9" s="24">
        <f t="shared" si="3"/>
        <v>0.05</v>
      </c>
      <c r="R9" s="24">
        <f t="shared" si="4"/>
        <v>1.5</v>
      </c>
      <c r="S9" s="24">
        <f t="shared" si="5"/>
        <v>0.9</v>
      </c>
      <c r="T9" s="42">
        <f>N9*(1+Q9*(R9-1))*S9*战斗公式!$E$39+(P9*战斗公式!$E$40+1)*O9*战斗公式!$E$41</f>
        <v>10928.477416992188</v>
      </c>
      <c r="U9" s="42">
        <f t="shared" si="6"/>
        <v>546.42387084961229</v>
      </c>
      <c r="V9" s="6">
        <f>VLOOKUP($N$1,$D$4:$J$15,MATCH(F$4,$D$4:$J$4,0),0)*角色成长!E22*角色成长!$L$15*AB9/AA9/(1+$Y$2*($Z$2-1))</f>
        <v>227.90742187499998</v>
      </c>
      <c r="W9" s="6">
        <f>VLOOKUP($N$1,$D$4:$J$15,MATCH(G$4,$D$4:$J$4,0),0)*角色成长!F22*角色成长!$L$15/(1+X9/角色成长!$N$16)</f>
        <v>5425.0793312303867</v>
      </c>
      <c r="X9" s="6">
        <f>VLOOKUP($N$1,$D$4:$J$15,MATCH(H$4,$D$4:$J$4,0),0)*角色成长!G22*角色成长!$L$15</f>
        <v>4558.1484374999991</v>
      </c>
      <c r="Y9" s="1">
        <v>0.05</v>
      </c>
      <c r="Z9" s="1">
        <v>1.5</v>
      </c>
      <c r="AA9" s="1">
        <f>VLOOKUP($N$1,$D$4:$J$15,MATCH(I$4,$D$4:$J$4,0),0)*角色成长!J22</f>
        <v>0.9</v>
      </c>
      <c r="AB9" s="1">
        <f t="shared" si="1"/>
        <v>0.75</v>
      </c>
    </row>
    <row r="10" spans="1:34" ht="14.25" customHeight="1" x14ac:dyDescent="0.2">
      <c r="D10" s="32" t="s">
        <v>263</v>
      </c>
      <c r="E10" s="1" t="str">
        <f>VLOOKUP($D10,角色设定!$AB:$AJ,MATCH(E$4,角色设定!$AB$9:$AJ$9,0),0)</f>
        <v>伤害</v>
      </c>
      <c r="F10" s="6">
        <f>VLOOKUP($D10,角色设定!$AB:$AJ,MATCH(F$4,角色设定!$AB$9:$AJ$9,0),0)*IF($E10=F$4,角色成长!$F$5,角色成长!$H$5)</f>
        <v>0.38181818181818189</v>
      </c>
      <c r="G10" s="6">
        <f>VLOOKUP($D10,角色设定!$AB:$AJ,MATCH(G$4,角色设定!$AB$9:$AJ$9,0),0)*IF($E10=G$4,角色成长!$F$5,角色成长!$H$5)</f>
        <v>0.25945945945945947</v>
      </c>
      <c r="H10" s="6">
        <f>VLOOKUP($D10,角色设定!$AB:$AJ,MATCH(H$4,角色设定!$AB$9:$AJ$9,0),0)</f>
        <v>1.3235294117647058</v>
      </c>
      <c r="I10" s="1">
        <f>VLOOKUP($D10,角色设定!$AB:$AJ,MATCH(I$4,角色设定!$AB$9:$AJ$9,0),0)</f>
        <v>1</v>
      </c>
      <c r="J10" s="1">
        <f>VLOOKUP($D10,角色设定!$AB:$AJ,MATCH(J$4,角色设定!$AB$9:$AJ$9,0),0)</f>
        <v>0.8</v>
      </c>
      <c r="L10" s="6">
        <f t="shared" si="2"/>
        <v>1.1876050054928247</v>
      </c>
      <c r="M10" s="1">
        <v>6</v>
      </c>
      <c r="N10" s="6">
        <f>VLOOKUP($N$2,角色品星!$C$16:$D$20,2,0)*VLOOKUP($N$3,角色品星!$C$3:$E$14,3,0)*V10</f>
        <v>239.30279296875005</v>
      </c>
      <c r="O10" s="6">
        <f>VLOOKUP($N$2,角色品星!$C$16:$D$20,2,0)*VLOOKUP($N$3,角色品星!$C$3:$E$14,3,0)*W10</f>
        <v>5683.9438951620132</v>
      </c>
      <c r="P10" s="6">
        <f>VLOOKUP($N$2,角色品星!$C$16:$D$20,2,0)*VLOOKUP($N$3,角色品星!$C$3:$E$14,3,0)*X10</f>
        <v>4786.0558593750002</v>
      </c>
      <c r="Q10" s="24">
        <f t="shared" si="3"/>
        <v>0.05</v>
      </c>
      <c r="R10" s="24">
        <f t="shared" si="4"/>
        <v>1.5</v>
      </c>
      <c r="S10" s="24">
        <f t="shared" si="5"/>
        <v>0.9</v>
      </c>
      <c r="T10" s="42">
        <f>N10*(1+Q10*(R10-1))*S10*战斗公式!$E$39+(P10*战斗公式!$E$40+1)*O10*战斗公式!$E$41</f>
        <v>11474.9012878418</v>
      </c>
      <c r="U10" s="42">
        <f t="shared" si="6"/>
        <v>573.74506439208562</v>
      </c>
      <c r="V10" s="6">
        <f>VLOOKUP($N$1,$D$4:$J$15,MATCH(F$4,$D$4:$J$4,0),0)*角色成长!E23*角色成长!$L$15*AB10/AA10/(1+$Y$2*($Z$2-1))</f>
        <v>239.30279296875005</v>
      </c>
      <c r="W10" s="6">
        <f>VLOOKUP($N$1,$D$4:$J$15,MATCH(G$4,$D$4:$J$4,0),0)*角色成长!F23*角色成长!$L$15/(1+X10/角色成长!$N$16)</f>
        <v>5683.9438951620132</v>
      </c>
      <c r="X10" s="6">
        <f>VLOOKUP($N$1,$D$4:$J$15,MATCH(H$4,$D$4:$J$4,0),0)*角色成长!G23*角色成长!$L$15</f>
        <v>4786.0558593750002</v>
      </c>
      <c r="Y10" s="1">
        <v>0.05</v>
      </c>
      <c r="Z10" s="1">
        <v>1.5</v>
      </c>
      <c r="AA10" s="1">
        <f>VLOOKUP($N$1,$D$4:$J$15,MATCH(I$4,$D$4:$J$4,0),0)*角色成长!J23</f>
        <v>0.9</v>
      </c>
      <c r="AB10" s="1">
        <f t="shared" si="1"/>
        <v>0.75</v>
      </c>
    </row>
    <row r="11" spans="1:34" ht="14.25" customHeight="1" x14ac:dyDescent="0.2">
      <c r="D11" s="32" t="s">
        <v>264</v>
      </c>
      <c r="E11" s="1" t="str">
        <f>VLOOKUP($D11,角色设定!$AB:$AJ,MATCH(E$4,角色设定!$AB$9:$AJ$9,0),0)</f>
        <v>伤害</v>
      </c>
      <c r="F11" s="6">
        <f>VLOOKUP($D11,角色设定!$AB:$AJ,MATCH(F$4,角色设定!$AB$9:$AJ$9,0),0)*IF($E11=F$4,角色成长!$F$5,角色成长!$H$5)</f>
        <v>0.36654545454545456</v>
      </c>
      <c r="G11" s="6">
        <f>VLOOKUP($D11,角色设定!$AB:$AJ,MATCH(G$4,角色设定!$AB$9:$AJ$9,0),0)*IF($E11=G$4,角色成长!$F$5,角色成长!$H$5)</f>
        <v>0.27027027027027034</v>
      </c>
      <c r="H11" s="6">
        <f>VLOOKUP($D11,角色设定!$AB:$AJ,MATCH(H$4,角色设定!$AB$9:$AJ$9,0),0)</f>
        <v>0.88235294117647056</v>
      </c>
      <c r="I11" s="1">
        <f>VLOOKUP($D11,角色设定!$AB:$AJ,MATCH(I$4,角色设定!$AB$9:$AJ$9,0),0)</f>
        <v>1.1000000000000001</v>
      </c>
      <c r="J11" s="1">
        <f>VLOOKUP($D11,角色设定!$AB:$AJ,MATCH(J$4,角色设定!$AB$9:$AJ$9,0),0)</f>
        <v>0.80500000000000005</v>
      </c>
      <c r="L11" s="6">
        <f t="shared" si="2"/>
        <v>1.1848990190681665</v>
      </c>
      <c r="M11" s="1">
        <v>7</v>
      </c>
      <c r="N11" s="6">
        <f>VLOOKUP($N$2,角色品星!$C$16:$D$20,2,0)*VLOOKUP($N$3,角色品星!$C$3:$E$14,3,0)*V11</f>
        <v>251.26793261718751</v>
      </c>
      <c r="O11" s="6">
        <f>VLOOKUP($N$2,角色品星!$C$16:$D$20,2,0)*VLOOKUP($N$3,角色品星!$C$3:$E$14,3,0)*W11</f>
        <v>5954.5425376278308</v>
      </c>
      <c r="P11" s="6">
        <f>VLOOKUP($N$2,角色品星!$C$16:$D$20,2,0)*VLOOKUP($N$3,角色品星!$C$3:$E$14,3,0)*X11</f>
        <v>5025.3586523437489</v>
      </c>
      <c r="Q11" s="24">
        <f t="shared" si="3"/>
        <v>0.05</v>
      </c>
      <c r="R11" s="24">
        <f t="shared" si="4"/>
        <v>1.5</v>
      </c>
      <c r="S11" s="24">
        <f t="shared" si="5"/>
        <v>0.9</v>
      </c>
      <c r="T11" s="42">
        <f>N11*(1+Q11*(R11-1))*S11*战斗公式!$E$39+(P11*战斗公式!$E$40+1)*O11*战斗公式!$E$41</f>
        <v>12048.646352233885</v>
      </c>
      <c r="U11" s="42">
        <f t="shared" si="6"/>
        <v>602.43231761169955</v>
      </c>
      <c r="V11" s="6">
        <f>VLOOKUP($N$1,$D$4:$J$15,MATCH(F$4,$D$4:$J$4,0),0)*角色成长!E24*角色成长!$L$15*AB11/AA11/(1+$Y$2*($Z$2-1))</f>
        <v>251.26793261718751</v>
      </c>
      <c r="W11" s="6">
        <f>VLOOKUP($N$1,$D$4:$J$15,MATCH(G$4,$D$4:$J$4,0),0)*角色成长!F24*角色成长!$L$15/(1+X11/角色成长!$N$16)</f>
        <v>5954.5425376278308</v>
      </c>
      <c r="X11" s="6">
        <f>VLOOKUP($N$1,$D$4:$J$15,MATCH(H$4,$D$4:$J$4,0),0)*角色成长!G24*角色成长!$L$15</f>
        <v>5025.3586523437489</v>
      </c>
      <c r="Y11" s="1">
        <v>0.05</v>
      </c>
      <c r="Z11" s="1">
        <v>1.5</v>
      </c>
      <c r="AA11" s="1">
        <f>VLOOKUP($N$1,$D$4:$J$15,MATCH(I$4,$D$4:$J$4,0),0)*角色成长!J24</f>
        <v>0.9</v>
      </c>
      <c r="AB11" s="1">
        <f t="shared" si="1"/>
        <v>0.75</v>
      </c>
      <c r="AC11" s="9"/>
    </row>
    <row r="12" spans="1:34" ht="14.25" customHeight="1" x14ac:dyDescent="0.2">
      <c r="D12" s="32" t="s">
        <v>265</v>
      </c>
      <c r="E12" s="1" t="str">
        <f>VLOOKUP($D12,角色设定!$AB:$AJ,MATCH(E$4,角色设定!$AB$9:$AJ$9,0),0)</f>
        <v>伤害</v>
      </c>
      <c r="F12" s="6">
        <f>VLOOKUP($D12,角色设定!$AB:$AJ,MATCH(F$4,角色设定!$AB$9:$AJ$9,0),0)*IF($E12=F$4,角色成长!$F$5,角色成长!$H$5)</f>
        <v>0.37418181818181823</v>
      </c>
      <c r="G12" s="6">
        <f>VLOOKUP($D12,角色设定!$AB:$AJ,MATCH(G$4,角色设定!$AB$9:$AJ$9,0),0)*IF($E12=G$4,角色成长!$F$5,角色成长!$H$5)</f>
        <v>0.26475455046883617</v>
      </c>
      <c r="H12" s="6">
        <f>VLOOKUP($D12,角色设定!$AB:$AJ,MATCH(H$4,角色设定!$AB$9:$AJ$9,0),0)</f>
        <v>1.0588235294117647</v>
      </c>
      <c r="I12" s="1">
        <f>VLOOKUP($D12,角色设定!$AB:$AJ,MATCH(I$4,角色设定!$AB$9:$AJ$9,0),0)</f>
        <v>1.1000000000000001</v>
      </c>
      <c r="J12" s="1">
        <f>VLOOKUP($D12,角色设定!$AB:$AJ,MATCH(J$4,角色设定!$AB$9:$AJ$9,0),0)</f>
        <v>0.80500000000000005</v>
      </c>
      <c r="L12" s="6">
        <f t="shared" si="2"/>
        <v>1.1820709732184915</v>
      </c>
      <c r="M12" s="1">
        <v>8</v>
      </c>
      <c r="N12" s="6">
        <f>VLOOKUP($N$2,角色品星!$C$16:$D$20,2,0)*VLOOKUP($N$3,角色品星!$C$3:$E$14,3,0)*V12</f>
        <v>263.83132924804698</v>
      </c>
      <c r="O12" s="6">
        <f>VLOOKUP($N$2,角色品星!$C$16:$D$20,2,0)*VLOOKUP($N$3,角色品星!$C$3:$E$14,3,0)*W12</f>
        <v>6237.3471225953399</v>
      </c>
      <c r="P12" s="6">
        <f>VLOOKUP($N$2,角色品星!$C$16:$D$20,2,0)*VLOOKUP($N$3,角色品星!$C$3:$E$14,3,0)*X12</f>
        <v>5276.6265849609372</v>
      </c>
      <c r="Q12" s="24">
        <f t="shared" si="3"/>
        <v>0.05</v>
      </c>
      <c r="R12" s="24">
        <f t="shared" si="4"/>
        <v>1.5</v>
      </c>
      <c r="S12" s="24">
        <f t="shared" si="5"/>
        <v>0.9</v>
      </c>
      <c r="T12" s="42">
        <f>N12*(1+Q12*(R12-1))*S12*战斗公式!$E$39+(P12*战斗公式!$E$40+1)*O12*战斗公式!$E$41</f>
        <v>12651.078669845585</v>
      </c>
      <c r="U12" s="42">
        <f t="shared" si="6"/>
        <v>632.55393349227415</v>
      </c>
      <c r="V12" s="6">
        <f>VLOOKUP($N$1,$D$4:$J$15,MATCH(F$4,$D$4:$J$4,0),0)*角色成长!E25*角色成长!$L$15*AB12/AA12/(1+$Y$2*($Z$2-1))</f>
        <v>263.83132924804698</v>
      </c>
      <c r="W12" s="6">
        <f>VLOOKUP($N$1,$D$4:$J$15,MATCH(G$4,$D$4:$J$4,0),0)*角色成长!F25*角色成长!$L$15/(1+X12/角色成长!$N$16)</f>
        <v>6237.3471225953399</v>
      </c>
      <c r="X12" s="6">
        <f>VLOOKUP($N$1,$D$4:$J$15,MATCH(H$4,$D$4:$J$4,0),0)*角色成长!G25*角色成长!$L$15</f>
        <v>5276.6265849609372</v>
      </c>
      <c r="Y12" s="1">
        <v>0.05</v>
      </c>
      <c r="Z12" s="1">
        <v>1.5</v>
      </c>
      <c r="AA12" s="1">
        <f>VLOOKUP($N$1,$D$4:$J$15,MATCH(I$4,$D$4:$J$4,0),0)*角色成长!J25</f>
        <v>0.9</v>
      </c>
      <c r="AB12" s="1">
        <f t="shared" si="1"/>
        <v>0.75</v>
      </c>
      <c r="AC12" s="9"/>
    </row>
    <row r="13" spans="1:34" ht="14.25" customHeight="1" x14ac:dyDescent="0.2">
      <c r="C13" s="3"/>
      <c r="D13" s="32" t="s">
        <v>266</v>
      </c>
      <c r="E13" s="1" t="str">
        <f>VLOOKUP($D13,角色设定!$AB:$AJ,MATCH(E$4,角色设定!$AB$9:$AJ$9,0),0)</f>
        <v>伤害</v>
      </c>
      <c r="F13" s="6">
        <f>VLOOKUP($D13,角色设定!$AB:$AJ,MATCH(F$4,角色设定!$AB$9:$AJ$9,0),0)*IF($E13=F$4,角色成长!$F$5,角色成长!$H$5)</f>
        <v>0.3589090909090909</v>
      </c>
      <c r="G13" s="6">
        <f>VLOOKUP($D13,角色设定!$AB:$AJ,MATCH(G$4,角色设定!$AB$9:$AJ$9,0),0)*IF($E13=G$4,角色成长!$F$5,角色成长!$H$5)</f>
        <v>0.27602070155261654</v>
      </c>
      <c r="H13" s="6">
        <f>VLOOKUP($D13,角色设定!$AB:$AJ,MATCH(H$4,角色设定!$AB$9:$AJ$9,0),0)</f>
        <v>1.2352941176470587</v>
      </c>
      <c r="I13" s="1">
        <f>VLOOKUP($D13,角色设定!$AB:$AJ,MATCH(I$4,角色设定!$AB$9:$AJ$9,0),0)</f>
        <v>1.2</v>
      </c>
      <c r="J13" s="1">
        <f>VLOOKUP($D13,角色设定!$AB:$AJ,MATCH(J$4,角色设定!$AB$9:$AJ$9,0),0)</f>
        <v>0.77400000000000002</v>
      </c>
      <c r="L13" s="6">
        <f t="shared" si="2"/>
        <v>1.1791160177228153</v>
      </c>
      <c r="M13" s="1">
        <v>9</v>
      </c>
      <c r="N13" s="6">
        <f>VLOOKUP($N$2,角色品星!$C$16:$D$20,2,0)*VLOOKUP($N$3,角色品星!$C$3:$E$14,3,0)*V13</f>
        <v>277.02289571044923</v>
      </c>
      <c r="O13" s="6">
        <f>VLOOKUP($N$2,角色品星!$C$16:$D$20,2,0)*VLOOKUP($N$3,角色品星!$C$3:$E$14,3,0)*W13</f>
        <v>6532.8426721629512</v>
      </c>
      <c r="P13" s="6">
        <f>VLOOKUP($N$2,角色品星!$C$16:$D$20,2,0)*VLOOKUP($N$3,角色品星!$C$3:$E$14,3,0)*X13</f>
        <v>5540.4579142089833</v>
      </c>
      <c r="Q13" s="24">
        <f t="shared" si="3"/>
        <v>0.05</v>
      </c>
      <c r="R13" s="24">
        <f t="shared" si="4"/>
        <v>1.5</v>
      </c>
      <c r="S13" s="24">
        <f t="shared" si="5"/>
        <v>0.9</v>
      </c>
      <c r="T13" s="42">
        <f>N13*(1+Q13*(R13-1))*S13*战斗公式!$E$39+(P13*战斗公式!$E$40+1)*O13*战斗公式!$E$41</f>
        <v>13283.632603337859</v>
      </c>
      <c r="U13" s="42">
        <f t="shared" si="6"/>
        <v>664.18163016689505</v>
      </c>
      <c r="V13" s="6">
        <f>VLOOKUP($N$1,$D$4:$J$15,MATCH(F$4,$D$4:$J$4,0),0)*角色成长!E26*角色成长!$L$15*AB13/AA13/(1+$Y$2*($Z$2-1))</f>
        <v>277.02289571044923</v>
      </c>
      <c r="W13" s="6">
        <f>VLOOKUP($N$1,$D$4:$J$15,MATCH(G$4,$D$4:$J$4,0),0)*角色成长!F26*角色成长!$L$15/(1+X13/角色成长!$N$16)</f>
        <v>6532.8426721629512</v>
      </c>
      <c r="X13" s="6">
        <f>VLOOKUP($N$1,$D$4:$J$15,MATCH(H$4,$D$4:$J$4,0),0)*角色成长!G26*角色成长!$L$15</f>
        <v>5540.4579142089833</v>
      </c>
      <c r="Y13" s="1">
        <v>0.05</v>
      </c>
      <c r="Z13" s="1">
        <v>1.5</v>
      </c>
      <c r="AA13" s="1">
        <f>VLOOKUP($N$1,$D$4:$J$15,MATCH(I$4,$D$4:$J$4,0),0)*角色成长!J26</f>
        <v>0.9</v>
      </c>
      <c r="AB13" s="1">
        <f t="shared" si="1"/>
        <v>0.75</v>
      </c>
      <c r="AC13" s="4"/>
    </row>
    <row r="14" spans="1:34" ht="14.25" customHeight="1" x14ac:dyDescent="0.2">
      <c r="D14" s="32" t="s">
        <v>267</v>
      </c>
      <c r="E14" s="1" t="str">
        <f>VLOOKUP($D14,角色设定!$AB:$AJ,MATCH(E$4,角色设定!$AB$9:$AJ$9,0),0)</f>
        <v>伤害</v>
      </c>
      <c r="F14" s="6">
        <f>VLOOKUP($D14,角色设定!$AB:$AJ,MATCH(F$4,角色设定!$AB$9:$AJ$9,0),0)*IF($E14=F$4,角色成长!$F$5,角色成长!$H$5)</f>
        <v>0.34363636363636368</v>
      </c>
      <c r="G14" s="6">
        <f>VLOOKUP($D14,角色设定!$AB:$AJ,MATCH(G$4,角色设定!$AB$9:$AJ$9,0),0)*IF($E14=G$4,角色成长!$F$5,角色成长!$H$5)</f>
        <v>0.28828828828828829</v>
      </c>
      <c r="H14" s="6">
        <f>VLOOKUP($D14,角色设定!$AB:$AJ,MATCH(H$4,角色设定!$AB$9:$AJ$9,0),0)</f>
        <v>1.7647058823529411</v>
      </c>
      <c r="I14" s="1">
        <f>VLOOKUP($D14,角色设定!$AB:$AJ,MATCH(I$4,角色设定!$AB$9:$AJ$9,0),0)</f>
        <v>1.2</v>
      </c>
      <c r="J14" s="1">
        <f>VLOOKUP($D14,角色设定!$AB:$AJ,MATCH(J$4,角色设定!$AB$9:$AJ$9,0),0)</f>
        <v>0.77400000000000002</v>
      </c>
      <c r="L14" s="6">
        <f t="shared" si="2"/>
        <v>1.1760291729868786</v>
      </c>
      <c r="M14" s="1">
        <v>10</v>
      </c>
      <c r="N14" s="6">
        <f>VLOOKUP($N$2,角色品星!$C$16:$D$20,2,0)*VLOOKUP($N$3,角色品星!$C$3:$E$14,3,0)*V14</f>
        <v>290.87404049597171</v>
      </c>
      <c r="O14" s="6">
        <f>VLOOKUP($N$2,角色品星!$C$16:$D$20,2,0)*VLOOKUP($N$3,角色品星!$C$3:$E$14,3,0)*W14</f>
        <v>6841.5271457565877</v>
      </c>
      <c r="P14" s="6">
        <f>VLOOKUP($N$2,角色品星!$C$16:$D$20,2,0)*VLOOKUP($N$3,角色品星!$C$3:$E$14,3,0)*X14</f>
        <v>5817.4808099194333</v>
      </c>
      <c r="Q14" s="24">
        <f t="shared" si="3"/>
        <v>0.05</v>
      </c>
      <c r="R14" s="24">
        <f t="shared" si="4"/>
        <v>1.5</v>
      </c>
      <c r="S14" s="24">
        <f t="shared" si="5"/>
        <v>0.9</v>
      </c>
      <c r="T14" s="42">
        <f>N14*(1+Q14*(R14-1))*S14*战斗公式!$E$39+(P14*战斗公式!$E$40+1)*O14*战斗公式!$E$41</f>
        <v>13947.814233504754</v>
      </c>
      <c r="U14" s="42">
        <f t="shared" si="6"/>
        <v>697.3907116752398</v>
      </c>
      <c r="V14" s="6">
        <f>VLOOKUP($N$1,$D$4:$J$15,MATCH(F$4,$D$4:$J$4,0),0)*角色成长!E27*角色成长!$L$15*AB14/AA14/(1+$Y$2*($Z$2-1))</f>
        <v>290.87404049597171</v>
      </c>
      <c r="W14" s="6">
        <f>VLOOKUP($N$1,$D$4:$J$15,MATCH(G$4,$D$4:$J$4,0),0)*角色成长!F27*角色成长!$L$15/(1+X14/角色成长!$N$16)</f>
        <v>6841.5271457565877</v>
      </c>
      <c r="X14" s="6">
        <f>VLOOKUP($N$1,$D$4:$J$15,MATCH(H$4,$D$4:$J$4,0),0)*角色成长!G27*角色成长!$L$15</f>
        <v>5817.4808099194333</v>
      </c>
      <c r="Y14" s="1">
        <v>0.05</v>
      </c>
      <c r="Z14" s="1">
        <v>1.5</v>
      </c>
      <c r="AA14" s="1">
        <f>VLOOKUP($N$1,$D$4:$J$15,MATCH(I$4,$D$4:$J$4,0),0)*角色成长!J27</f>
        <v>0.9</v>
      </c>
      <c r="AB14" s="1">
        <f t="shared" si="1"/>
        <v>0.75</v>
      </c>
      <c r="AG14" s="9"/>
      <c r="AH14" s="9"/>
    </row>
    <row r="15" spans="1:34" ht="14.25" customHeight="1" x14ac:dyDescent="0.2">
      <c r="C15" s="6"/>
      <c r="D15" s="32" t="s">
        <v>268</v>
      </c>
      <c r="E15" s="1" t="str">
        <f>VLOOKUP($D15,角色设定!$AB:$AJ,MATCH(E$4,角色设定!$AB$9:$AJ$9,0),0)</f>
        <v>无</v>
      </c>
      <c r="F15" s="6">
        <f>VLOOKUP($D15,角色设定!$AB:$AJ,MATCH(F$4,角色设定!$AB$9:$AJ$9,0),0)*IF($E15=F$4,角色成长!$F$5,角色成长!$H$5)</f>
        <v>0.19636363636363641</v>
      </c>
      <c r="G15" s="6">
        <f>VLOOKUP($D15,角色设定!$AB:$AJ,MATCH(G$4,角色设定!$AB$9:$AJ$9,0),0)*IF($E15=G$4,角色成长!$F$5,角色成长!$H$5)</f>
        <v>0.3603603603603604</v>
      </c>
      <c r="H15" s="6">
        <f>VLOOKUP($D15,角色设定!$AB:$AJ,MATCH(H$4,角色设定!$AB$9:$AJ$9,0),0)</f>
        <v>1.4117647058823528</v>
      </c>
      <c r="I15" s="1">
        <f>VLOOKUP($D15,角色设定!$AB:$AJ,MATCH(I$4,角色设定!$AB$9:$AJ$9,0),0)</f>
        <v>0.9</v>
      </c>
      <c r="J15" s="1">
        <f>VLOOKUP($D15,角色设定!$AB:$AJ,MATCH(J$4,角色设定!$AB$9:$AJ$9,0),0)</f>
        <v>0.79800000000000004</v>
      </c>
      <c r="L15" s="6">
        <f t="shared" si="2"/>
        <v>1.1728053330001964</v>
      </c>
      <c r="M15" s="1">
        <v>11</v>
      </c>
      <c r="N15" s="6">
        <f>VLOOKUP($N$2,角色品星!$C$16:$D$20,2,0)*VLOOKUP($N$3,角色品星!$C$3:$E$14,3,0)*V15</f>
        <v>305.41774252077033</v>
      </c>
      <c r="O15" s="6">
        <f>VLOOKUP($N$2,角色品星!$C$16:$D$20,2,0)*VLOOKUP($N$3,角色品星!$C$3:$E$14,3,0)*W15</f>
        <v>7163.9111444248056</v>
      </c>
      <c r="P15" s="6">
        <f>VLOOKUP($N$2,角色品星!$C$16:$D$20,2,0)*VLOOKUP($N$3,角色品星!$C$3:$E$14,3,0)*X15</f>
        <v>6108.354850415406</v>
      </c>
      <c r="Q15" s="24">
        <f t="shared" si="3"/>
        <v>0.05</v>
      </c>
      <c r="R15" s="24">
        <f t="shared" si="4"/>
        <v>1.5</v>
      </c>
      <c r="S15" s="24">
        <f t="shared" si="5"/>
        <v>0.9</v>
      </c>
      <c r="T15" s="42">
        <f>N15*(1+Q15*(R15-1))*S15*战斗公式!$E$39+(P15*战斗公式!$E$40+1)*O15*战斗公式!$E$41</f>
        <v>14645.204945179994</v>
      </c>
      <c r="U15" s="42">
        <f t="shared" si="6"/>
        <v>732.26024725900061</v>
      </c>
      <c r="V15" s="6">
        <f>VLOOKUP($N$1,$D$4:$J$15,MATCH(F$4,$D$4:$J$4,0),0)*角色成长!E28*角色成长!$L$15*AB15/AA15/(1+$Y$2*($Z$2-1))</f>
        <v>305.41774252077033</v>
      </c>
      <c r="W15" s="6">
        <f>VLOOKUP($N$1,$D$4:$J$15,MATCH(G$4,$D$4:$J$4,0),0)*角色成长!F28*角色成长!$L$15/(1+X15/角色成长!$N$16)</f>
        <v>7163.9111444248056</v>
      </c>
      <c r="X15" s="6">
        <f>VLOOKUP($N$1,$D$4:$J$15,MATCH(H$4,$D$4:$J$4,0),0)*角色成长!G28*角色成长!$L$15</f>
        <v>6108.354850415406</v>
      </c>
      <c r="Y15" s="1">
        <v>0.05</v>
      </c>
      <c r="Z15" s="1">
        <v>1.5</v>
      </c>
      <c r="AA15" s="1">
        <f>VLOOKUP($N$1,$D$4:$J$15,MATCH(I$4,$D$4:$J$4,0),0)*角色成长!J28</f>
        <v>0.9</v>
      </c>
      <c r="AB15" s="1">
        <f t="shared" si="1"/>
        <v>0.75</v>
      </c>
    </row>
    <row r="16" spans="1:34" ht="14.25" customHeight="1" x14ac:dyDescent="0.2">
      <c r="C16" s="6"/>
      <c r="E16" s="26"/>
      <c r="F16" s="26"/>
      <c r="G16" s="26"/>
      <c r="L16" s="6">
        <f t="shared" si="2"/>
        <v>1.1694392691111599</v>
      </c>
      <c r="M16" s="1">
        <v>12</v>
      </c>
      <c r="N16" s="6">
        <f>VLOOKUP($N$2,角色品星!$C$16:$D$20,2,0)*VLOOKUP($N$3,角色品星!$C$3:$E$14,3,0)*V16</f>
        <v>320.68862964680886</v>
      </c>
      <c r="O16" s="6">
        <f>VLOOKUP($N$2,角色品星!$C$16:$D$20,2,0)*VLOOKUP($N$3,角色品星!$C$3:$E$14,3,0)*W16</f>
        <v>7500.5175333284706</v>
      </c>
      <c r="P16" s="6">
        <f>VLOOKUP($N$2,角色品星!$C$16:$D$20,2,0)*VLOOKUP($N$3,角色品星!$C$3:$E$14,3,0)*X16</f>
        <v>6413.7725929361759</v>
      </c>
      <c r="Q16" s="24">
        <f t="shared" si="3"/>
        <v>0.05</v>
      </c>
      <c r="R16" s="24">
        <f t="shared" si="4"/>
        <v>1.5</v>
      </c>
      <c r="S16" s="24">
        <f t="shared" si="5"/>
        <v>0.9</v>
      </c>
      <c r="T16" s="42">
        <f>N16*(1+Q16*(R16-1))*S16*战斗公式!$E$39+(P16*战斗公式!$E$40+1)*O16*战斗公式!$E$41</f>
        <v>15377.465192438995</v>
      </c>
      <c r="U16" s="42">
        <f t="shared" si="6"/>
        <v>768.873259621947</v>
      </c>
      <c r="V16" s="6">
        <f>VLOOKUP($N$1,$D$4:$J$15,MATCH(F$4,$D$4:$J$4,0),0)*角色成长!E29*角色成长!$L$15*AB16/AA16/(1+$Y$2*($Z$2-1))</f>
        <v>320.68862964680886</v>
      </c>
      <c r="W16" s="6">
        <f>VLOOKUP($N$1,$D$4:$J$15,MATCH(G$4,$D$4:$J$4,0),0)*角色成长!F29*角色成长!$L$15/(1+X16/角色成长!$N$16)</f>
        <v>7500.5175333284706</v>
      </c>
      <c r="X16" s="6">
        <f>VLOOKUP($N$1,$D$4:$J$15,MATCH(H$4,$D$4:$J$4,0),0)*角色成长!G29*角色成长!$L$15</f>
        <v>6413.7725929361759</v>
      </c>
      <c r="Y16" s="1">
        <v>0.05</v>
      </c>
      <c r="Z16" s="1">
        <v>1.5</v>
      </c>
      <c r="AA16" s="1">
        <f>VLOOKUP($N$1,$D$4:$J$15,MATCH(I$4,$D$4:$J$4,0),0)*角色成长!J29</f>
        <v>0.9</v>
      </c>
      <c r="AB16" s="1">
        <f t="shared" si="1"/>
        <v>0.75</v>
      </c>
      <c r="AD16" s="22"/>
    </row>
    <row r="17" spans="2:38" ht="14.25" customHeight="1" x14ac:dyDescent="0.2">
      <c r="C17" s="6"/>
      <c r="L17" s="6">
        <f t="shared" si="2"/>
        <v>1.16592563469196</v>
      </c>
      <c r="M17" s="1">
        <v>13</v>
      </c>
      <c r="N17" s="6">
        <f>VLOOKUP($N$2,角色品星!$C$16:$D$20,2,0)*VLOOKUP($N$3,角色品星!$C$3:$E$14,3,0)*V17</f>
        <v>336.72306112914924</v>
      </c>
      <c r="O17" s="6">
        <f>VLOOKUP($N$2,角色品星!$C$16:$D$20,2,0)*VLOOKUP($N$3,角色品星!$C$3:$E$14,3,0)*W17</f>
        <v>7851.8809752484585</v>
      </c>
      <c r="P17" s="6">
        <f>VLOOKUP($N$2,角色品星!$C$16:$D$20,2,0)*VLOOKUP($N$3,角色品星!$C$3:$E$14,3,0)*X17</f>
        <v>6734.4612225829842</v>
      </c>
      <c r="Q17" s="24">
        <f t="shared" si="3"/>
        <v>0.05</v>
      </c>
      <c r="R17" s="24">
        <f t="shared" si="4"/>
        <v>1.5</v>
      </c>
      <c r="S17" s="24">
        <f t="shared" si="5"/>
        <v>0.9</v>
      </c>
      <c r="T17" s="42">
        <f>N17*(1+Q17*(R17-1))*S17*战斗公式!$E$39+(P17*战斗公式!$E$40+1)*O17*战斗公式!$E$41</f>
        <v>16146.338452060942</v>
      </c>
      <c r="U17" s="42">
        <f t="shared" si="6"/>
        <v>807.31692260304953</v>
      </c>
      <c r="V17" s="6">
        <f>VLOOKUP($N$1,$D$4:$J$15,MATCH(F$4,$D$4:$J$4,0),0)*角色成长!E30*角色成长!$L$15*AB17/AA17/(1+$Y$2*($Z$2-1))</f>
        <v>336.72306112914924</v>
      </c>
      <c r="W17" s="6">
        <f>VLOOKUP($N$1,$D$4:$J$15,MATCH(G$4,$D$4:$J$4,0),0)*角色成长!F30*角色成长!$L$15/(1+X17/角色成长!$N$16)</f>
        <v>7851.8809752484585</v>
      </c>
      <c r="X17" s="6">
        <f>VLOOKUP($N$1,$D$4:$J$15,MATCH(H$4,$D$4:$J$4,0),0)*角色成长!G30*角色成长!$L$15</f>
        <v>6734.4612225829842</v>
      </c>
      <c r="Y17" s="1">
        <v>0.05</v>
      </c>
      <c r="Z17" s="1">
        <v>1.5</v>
      </c>
      <c r="AA17" s="1">
        <f>VLOOKUP($N$1,$D$4:$J$15,MATCH(I$4,$D$4:$J$4,0),0)*角色成长!J30</f>
        <v>0.9</v>
      </c>
      <c r="AB17" s="1">
        <f t="shared" si="1"/>
        <v>0.75</v>
      </c>
    </row>
    <row r="18" spans="2:38" ht="14.25" customHeight="1" x14ac:dyDescent="0.2">
      <c r="C18" s="6"/>
      <c r="E18" s="6"/>
      <c r="F18" s="6"/>
      <c r="G18" s="6"/>
      <c r="H18" s="6"/>
      <c r="I18" s="26"/>
      <c r="J18" s="6"/>
      <c r="K18" s="6"/>
      <c r="L18" s="6">
        <f t="shared" si="2"/>
        <v>1.1622589707674986</v>
      </c>
      <c r="M18" s="1">
        <v>14</v>
      </c>
      <c r="N18" s="6">
        <f>VLOOKUP($N$2,角色品星!$C$16:$D$20,2,0)*VLOOKUP($N$3,角色品星!$C$3:$E$14,3,0)*V18</f>
        <v>353.55921418560678</v>
      </c>
      <c r="O18" s="6">
        <f>VLOOKUP($N$2,角色品星!$C$16:$D$20,2,0)*VLOOKUP($N$3,角色品星!$C$3:$E$14,3,0)*W18</f>
        <v>8218.5473676945785</v>
      </c>
      <c r="P18" s="6">
        <f>VLOOKUP($N$2,角色品星!$C$16:$D$20,2,0)*VLOOKUP($N$3,角色品星!$C$3:$E$14,3,0)*X18</f>
        <v>7071.1842837121349</v>
      </c>
      <c r="Q18" s="24">
        <f t="shared" si="3"/>
        <v>0.05</v>
      </c>
      <c r="R18" s="24">
        <f t="shared" si="4"/>
        <v>1.5</v>
      </c>
      <c r="S18" s="24">
        <f t="shared" si="5"/>
        <v>0.9</v>
      </c>
      <c r="T18" s="42">
        <f>N18*(1+Q18*(R18-1))*S18*战斗公式!$E$39+(P18*战斗公式!$E$40+1)*O18*战斗公式!$E$41</f>
        <v>16953.655374663991</v>
      </c>
      <c r="U18" s="42">
        <f t="shared" si="6"/>
        <v>847.68276873319701</v>
      </c>
      <c r="V18" s="6">
        <f>VLOOKUP($N$1,$D$4:$J$15,MATCH(F$4,$D$4:$J$4,0),0)*角色成长!E31*角色成长!$L$15*AB18/AA18/(1+$Y$2*($Z$2-1))</f>
        <v>353.55921418560678</v>
      </c>
      <c r="W18" s="6">
        <f>VLOOKUP($N$1,$D$4:$J$15,MATCH(G$4,$D$4:$J$4,0),0)*角色成长!F31*角色成长!$L$15/(1+X18/角色成长!$N$16)</f>
        <v>8218.5473676945785</v>
      </c>
      <c r="X18" s="6">
        <f>VLOOKUP($N$1,$D$4:$J$15,MATCH(H$4,$D$4:$J$4,0),0)*角色成长!G31*角色成长!$L$15</f>
        <v>7071.1842837121349</v>
      </c>
      <c r="Y18" s="1">
        <v>0.05</v>
      </c>
      <c r="Z18" s="1">
        <v>1.5</v>
      </c>
      <c r="AA18" s="1">
        <f>VLOOKUP($N$1,$D$4:$J$15,MATCH(I$4,$D$4:$J$4,0),0)*角色成长!J31</f>
        <v>0.9</v>
      </c>
      <c r="AB18" s="1">
        <f t="shared" si="1"/>
        <v>0.75</v>
      </c>
      <c r="AC18" s="6"/>
      <c r="AD18" s="22"/>
      <c r="AG18" s="9"/>
      <c r="AH18" s="9"/>
      <c r="AI18" s="9"/>
    </row>
    <row r="19" spans="2:38" ht="14.25" customHeight="1" x14ac:dyDescent="0.2">
      <c r="C19" s="6"/>
      <c r="E19" s="6"/>
      <c r="F19" s="6"/>
      <c r="G19" s="6"/>
      <c r="H19" s="6"/>
      <c r="I19" s="26"/>
      <c r="J19" s="6"/>
      <c r="K19" s="6"/>
      <c r="L19" s="6">
        <f t="shared" si="2"/>
        <v>1.1584337126844506</v>
      </c>
      <c r="M19" s="1">
        <v>15</v>
      </c>
      <c r="N19" s="6">
        <f>VLOOKUP($N$2,角色品星!$C$16:$D$20,2,0)*VLOOKUP($N$3,角色品星!$C$3:$E$14,3,0)*V19</f>
        <v>371.23717489488706</v>
      </c>
      <c r="O19" s="6">
        <f>VLOOKUP($N$2,角色品星!$C$16:$D$20,2,0)*VLOOKUP($N$3,角色品星!$C$3:$E$14,3,0)*W19</f>
        <v>8601.0731759994123</v>
      </c>
      <c r="P19" s="6">
        <f>VLOOKUP($N$2,角色品星!$C$16:$D$20,2,0)*VLOOKUP($N$3,角色品星!$C$3:$E$14,3,0)*X19</f>
        <v>7424.743497897739</v>
      </c>
      <c r="Q19" s="24">
        <f t="shared" si="3"/>
        <v>0.05</v>
      </c>
      <c r="R19" s="24">
        <f t="shared" si="4"/>
        <v>1.5</v>
      </c>
      <c r="S19" s="24">
        <f t="shared" si="5"/>
        <v>0.9</v>
      </c>
      <c r="T19" s="42">
        <f>N19*(1+Q19*(R19-1))*S19*战斗公式!$E$39+(P19*战斗公式!$E$40+1)*O19*战斗公式!$E$41</f>
        <v>17801.338143397188</v>
      </c>
      <c r="U19" s="42">
        <f t="shared" si="6"/>
        <v>890.06690716986486</v>
      </c>
      <c r="V19" s="6">
        <f>VLOOKUP($N$1,$D$4:$J$15,MATCH(F$4,$D$4:$J$4,0),0)*角色成长!E32*角色成长!$L$15*AB19/AA19/(1+$Y$2*($Z$2-1))</f>
        <v>371.23717489488706</v>
      </c>
      <c r="W19" s="6">
        <f>VLOOKUP($N$1,$D$4:$J$15,MATCH(G$4,$D$4:$J$4,0),0)*角色成长!F32*角色成长!$L$15/(1+X19/角色成长!$N$16)</f>
        <v>8601.0731759994123</v>
      </c>
      <c r="X19" s="6">
        <f>VLOOKUP($N$1,$D$4:$J$15,MATCH(H$4,$D$4:$J$4,0),0)*角色成长!G32*角色成长!$L$15</f>
        <v>7424.743497897739</v>
      </c>
      <c r="Y19" s="1">
        <v>0.05</v>
      </c>
      <c r="Z19" s="1">
        <v>1.5</v>
      </c>
      <c r="AA19" s="1">
        <f>VLOOKUP($N$1,$D$4:$J$15,MATCH(I$4,$D$4:$J$4,0),0)*角色成长!J32</f>
        <v>0.9</v>
      </c>
      <c r="AB19" s="1">
        <f t="shared" si="1"/>
        <v>0.75</v>
      </c>
      <c r="AC19" s="6"/>
      <c r="AD19" s="22"/>
      <c r="AE19" s="22"/>
      <c r="AF19" s="22"/>
      <c r="AG19" s="9"/>
      <c r="AH19" s="9"/>
      <c r="AI19" s="9"/>
      <c r="AJ19" s="9"/>
      <c r="AK19" s="9"/>
      <c r="AL19" s="9"/>
    </row>
    <row r="20" spans="2:38" ht="14.25" customHeight="1" x14ac:dyDescent="0.2">
      <c r="C20" s="6"/>
      <c r="E20" s="6"/>
      <c r="F20" s="6"/>
      <c r="G20" s="6"/>
      <c r="H20" s="6"/>
      <c r="I20" s="26"/>
      <c r="J20" s="6"/>
      <c r="K20" s="6"/>
      <c r="L20" s="6">
        <f t="shared" si="2"/>
        <v>1.1544441978981301</v>
      </c>
      <c r="M20" s="1">
        <v>16</v>
      </c>
      <c r="N20" s="6">
        <f>VLOOKUP($N$2,角色品星!$C$16:$D$20,2,0)*VLOOKUP($N$3,角色品星!$C$3:$E$14,3,0)*V20</f>
        <v>389.79903363963155</v>
      </c>
      <c r="O20" s="6">
        <f>VLOOKUP($N$2,角色品星!$C$16:$D$20,2,0)*VLOOKUP($N$3,角色品星!$C$3:$E$14,3,0)*W20</f>
        <v>9000.024654631412</v>
      </c>
      <c r="P20" s="6">
        <f>VLOOKUP($N$2,角色品星!$C$16:$D$20,2,0)*VLOOKUP($N$3,角色品星!$C$3:$E$14,3,0)*X20</f>
        <v>7795.9806727926289</v>
      </c>
      <c r="Q20" s="24">
        <f t="shared" si="3"/>
        <v>0.05</v>
      </c>
      <c r="R20" s="24">
        <f t="shared" si="4"/>
        <v>1.5</v>
      </c>
      <c r="S20" s="24">
        <f t="shared" si="5"/>
        <v>0.9</v>
      </c>
      <c r="T20" s="42">
        <f>N20*(1+Q20*(R20-1))*S20*战斗公式!$E$39+(P20*战斗公式!$E$40+1)*O20*战斗公式!$E$41</f>
        <v>18691.405050567053</v>
      </c>
      <c r="U20" s="42">
        <f t="shared" si="6"/>
        <v>934.57025252834865</v>
      </c>
      <c r="V20" s="6">
        <f>VLOOKUP($N$1,$D$4:$J$15,MATCH(F$4,$D$4:$J$4,0),0)*角色成长!E33*角色成长!$L$15*AB20/AA20/(1+$Y$2*($Z$2-1))</f>
        <v>389.79903363963155</v>
      </c>
      <c r="W20" s="6">
        <f>VLOOKUP($N$1,$D$4:$J$15,MATCH(G$4,$D$4:$J$4,0),0)*角色成长!F33*角色成长!$L$15/(1+X20/角色成长!$N$16)</f>
        <v>9000.024654631412</v>
      </c>
      <c r="X20" s="6">
        <f>VLOOKUP($N$1,$D$4:$J$15,MATCH(H$4,$D$4:$J$4,0),0)*角色成长!G33*角色成长!$L$15</f>
        <v>7795.9806727926289</v>
      </c>
      <c r="Y20" s="1">
        <v>0.05</v>
      </c>
      <c r="Z20" s="1">
        <v>1.5</v>
      </c>
      <c r="AA20" s="1">
        <f>VLOOKUP($N$1,$D$4:$J$15,MATCH(I$4,$D$4:$J$4,0),0)*角色成长!J33</f>
        <v>0.9</v>
      </c>
      <c r="AB20" s="1">
        <f t="shared" si="1"/>
        <v>0.75</v>
      </c>
      <c r="AC20" s="6"/>
      <c r="AD20" s="22"/>
      <c r="AE20" s="22"/>
      <c r="AF20" s="22"/>
      <c r="AG20" s="9"/>
      <c r="AH20" s="9"/>
      <c r="AI20" s="9"/>
      <c r="AJ20" s="9"/>
      <c r="AK20" s="9"/>
      <c r="AL20" s="9"/>
    </row>
    <row r="21" spans="2:38" ht="14.25" customHeight="1" x14ac:dyDescent="0.2">
      <c r="B21" s="6"/>
      <c r="E21" s="6"/>
      <c r="F21" s="6"/>
      <c r="G21" s="6"/>
      <c r="H21" s="6"/>
      <c r="I21" s="26"/>
      <c r="J21" s="6"/>
      <c r="K21" s="6"/>
      <c r="L21" s="6">
        <f t="shared" si="2"/>
        <v>1.1502846749557192</v>
      </c>
      <c r="M21" s="1">
        <v>17</v>
      </c>
      <c r="N21" s="6">
        <f>VLOOKUP($N$2,角色品星!$C$16:$D$20,2,0)*VLOOKUP($N$3,角色品星!$C$3:$E$14,3,0)*V21</f>
        <v>409.28898532161298</v>
      </c>
      <c r="O21" s="6">
        <f>VLOOKUP($N$2,角色品星!$C$16:$D$20,2,0)*VLOOKUP($N$3,角色品星!$C$3:$E$14,3,0)*W21</f>
        <v>9415.9769488725542</v>
      </c>
      <c r="P21" s="6">
        <f>VLOOKUP($N$2,角色品星!$C$16:$D$20,2,0)*VLOOKUP($N$3,角色品星!$C$3:$E$14,3,0)*X21</f>
        <v>8185.7797064322604</v>
      </c>
      <c r="Q21" s="24">
        <f t="shared" si="3"/>
        <v>0.05</v>
      </c>
      <c r="R21" s="24">
        <f t="shared" si="4"/>
        <v>1.5</v>
      </c>
      <c r="S21" s="24">
        <f t="shared" si="5"/>
        <v>0.9</v>
      </c>
      <c r="T21" s="42">
        <f>N21*(1+Q21*(R21-1))*S21*战斗公式!$E$39+(P21*战斗公式!$E$40+1)*O21*战斗公式!$E$41</f>
        <v>19625.975303095402</v>
      </c>
      <c r="U21" s="42">
        <f t="shared" si="6"/>
        <v>981.29876515477372</v>
      </c>
      <c r="V21" s="6">
        <f>VLOOKUP($N$1,$D$4:$J$15,MATCH(F$4,$D$4:$J$4,0),0)*角色成长!E34*角色成长!$L$15*AB21/AA21/(1+$Y$2*($Z$2-1))</f>
        <v>409.28898532161298</v>
      </c>
      <c r="W21" s="6">
        <f>VLOOKUP($N$1,$D$4:$J$15,MATCH(G$4,$D$4:$J$4,0),0)*角色成长!F34*角色成长!$L$15/(1+X21/角色成长!$N$16)</f>
        <v>9415.9769488725542</v>
      </c>
      <c r="X21" s="6">
        <f>VLOOKUP($N$1,$D$4:$J$15,MATCH(H$4,$D$4:$J$4,0),0)*角色成长!G34*角色成长!$L$15</f>
        <v>8185.7797064322604</v>
      </c>
      <c r="Y21" s="1">
        <v>0.05</v>
      </c>
      <c r="Z21" s="1">
        <v>1.5</v>
      </c>
      <c r="AA21" s="1">
        <f>VLOOKUP($N$1,$D$4:$J$15,MATCH(I$4,$D$4:$J$4,0),0)*角色成长!J34</f>
        <v>0.9</v>
      </c>
      <c r="AB21" s="1">
        <f t="shared" si="1"/>
        <v>0.75</v>
      </c>
      <c r="AC21" s="6"/>
      <c r="AD21" s="22"/>
      <c r="AE21" s="22"/>
      <c r="AF21" s="22"/>
      <c r="AG21" s="9"/>
      <c r="AH21" s="9"/>
      <c r="AI21" s="9"/>
      <c r="AJ21" s="9"/>
      <c r="AK21" s="9"/>
      <c r="AL21" s="9"/>
    </row>
    <row r="22" spans="2:38" ht="14.25" customHeight="1" x14ac:dyDescent="0.2">
      <c r="B22" s="6"/>
      <c r="C22" s="6"/>
      <c r="E22" s="6"/>
      <c r="F22" s="6"/>
      <c r="G22" s="6"/>
      <c r="H22" s="6"/>
      <c r="I22" s="26"/>
      <c r="J22" s="6"/>
      <c r="K22" s="6"/>
      <c r="L22" s="6">
        <f t="shared" si="2"/>
        <v>1.1459493137545582</v>
      </c>
      <c r="M22" s="1">
        <v>18</v>
      </c>
      <c r="N22" s="6">
        <f>VLOOKUP($N$2,角色品星!$C$16:$D$20,2,0)*VLOOKUP($N$3,角色品星!$C$3:$E$14,3,0)*V22</f>
        <v>429.75343458769373</v>
      </c>
      <c r="O22" s="6">
        <f>VLOOKUP($N$2,角色品星!$C$16:$D$20,2,0)*VLOOKUP($N$3,角色品星!$C$3:$E$14,3,0)*W22</f>
        <v>9849.5130689886391</v>
      </c>
      <c r="P22" s="6">
        <f>VLOOKUP($N$2,角色品星!$C$16:$D$20,2,0)*VLOOKUP($N$3,角色品星!$C$3:$E$14,3,0)*X22</f>
        <v>8595.0686917538733</v>
      </c>
      <c r="Q22" s="24">
        <f t="shared" si="3"/>
        <v>0.05</v>
      </c>
      <c r="R22" s="24">
        <f t="shared" si="4"/>
        <v>1.5</v>
      </c>
      <c r="S22" s="24">
        <f t="shared" si="5"/>
        <v>0.9</v>
      </c>
      <c r="T22" s="42">
        <f>N22*(1+Q22*(R22-1))*S22*战斗公式!$E$39+(P22*战斗公式!$E$40+1)*O22*战斗公式!$E$41</f>
        <v>20607.274068250175</v>
      </c>
      <c r="U22" s="42">
        <f t="shared" si="6"/>
        <v>1030.3637034125059</v>
      </c>
      <c r="V22" s="6">
        <f>VLOOKUP($N$1,$D$4:$J$15,MATCH(F$4,$D$4:$J$4,0),0)*角色成长!E35*角色成长!$L$15*AB22/AA22/(1+$Y$2*($Z$2-1))</f>
        <v>429.75343458769373</v>
      </c>
      <c r="W22" s="6">
        <f>VLOOKUP($N$1,$D$4:$J$15,MATCH(G$4,$D$4:$J$4,0),0)*角色成长!F35*角色成长!$L$15/(1+X22/角色成长!$N$16)</f>
        <v>9849.5130689886391</v>
      </c>
      <c r="X22" s="6">
        <f>VLOOKUP($N$1,$D$4:$J$15,MATCH(H$4,$D$4:$J$4,0),0)*角色成长!G35*角色成长!$L$15</f>
        <v>8595.0686917538733</v>
      </c>
      <c r="Y22" s="1">
        <v>0.05</v>
      </c>
      <c r="Z22" s="1">
        <v>1.5</v>
      </c>
      <c r="AA22" s="1">
        <f>VLOOKUP($N$1,$D$4:$J$15,MATCH(I$4,$D$4:$J$4,0),0)*角色成长!J35</f>
        <v>0.9</v>
      </c>
      <c r="AB22" s="1">
        <f t="shared" si="1"/>
        <v>0.75</v>
      </c>
      <c r="AC22" s="6"/>
      <c r="AD22" s="22"/>
      <c r="AE22" s="22"/>
      <c r="AF22" s="22"/>
      <c r="AG22" s="9"/>
      <c r="AH22" s="9"/>
      <c r="AI22" s="9"/>
      <c r="AJ22" s="9"/>
      <c r="AK22" s="9"/>
      <c r="AL22" s="9"/>
    </row>
    <row r="23" spans="2:38" ht="14.25" customHeight="1" x14ac:dyDescent="0.2">
      <c r="C23" s="6"/>
      <c r="E23" s="6"/>
      <c r="F23" s="6"/>
      <c r="G23" s="6"/>
      <c r="H23" s="6"/>
      <c r="I23" s="26"/>
      <c r="J23" s="6"/>
      <c r="K23" s="6"/>
      <c r="L23" s="6">
        <f t="shared" si="2"/>
        <v>1.1414322171535771</v>
      </c>
      <c r="M23" s="1">
        <v>19</v>
      </c>
      <c r="N23" s="6">
        <f>VLOOKUP($N$2,角色品星!$C$16:$D$20,2,0)*VLOOKUP($N$3,角色品星!$C$3:$E$14,3,0)*V23</f>
        <v>451.2411063170785</v>
      </c>
      <c r="O23" s="6">
        <f>VLOOKUP($N$2,角色品星!$C$16:$D$20,2,0)*VLOOKUP($N$3,角色品星!$C$3:$E$14,3,0)*W23</f>
        <v>10301.222729086716</v>
      </c>
      <c r="P23" s="6">
        <f>VLOOKUP($N$2,角色品星!$C$16:$D$20,2,0)*VLOOKUP($N$3,角色品星!$C$3:$E$14,3,0)*X23</f>
        <v>9024.8221263415671</v>
      </c>
      <c r="Q23" s="24">
        <f t="shared" si="3"/>
        <v>0.05</v>
      </c>
      <c r="R23" s="24">
        <f t="shared" si="4"/>
        <v>1.5</v>
      </c>
      <c r="S23" s="24">
        <f t="shared" si="5"/>
        <v>0.9</v>
      </c>
      <c r="T23" s="42">
        <f>N23*(1+Q23*(R23-1))*S23*战斗公式!$E$39+(P23*战斗公式!$E$40+1)*O23*战斗公式!$E$41</f>
        <v>21637.637771662681</v>
      </c>
      <c r="U23" s="42">
        <f t="shared" si="6"/>
        <v>1081.8818885831352</v>
      </c>
      <c r="V23" s="6">
        <f>VLOOKUP($N$1,$D$4:$J$15,MATCH(F$4,$D$4:$J$4,0),0)*角色成长!E36*角色成长!$L$15*AB23/AA23/(1+$Y$2*($Z$2-1))</f>
        <v>451.2411063170785</v>
      </c>
      <c r="W23" s="6">
        <f>VLOOKUP($N$1,$D$4:$J$15,MATCH(G$4,$D$4:$J$4,0),0)*角色成长!F36*角色成长!$L$15/(1+X23/角色成长!$N$16)</f>
        <v>10301.222729086716</v>
      </c>
      <c r="X23" s="6">
        <f>VLOOKUP($N$1,$D$4:$J$15,MATCH(H$4,$D$4:$J$4,0),0)*角色成长!G36*角色成长!$L$15</f>
        <v>9024.8221263415671</v>
      </c>
      <c r="Y23" s="1">
        <v>0.05</v>
      </c>
      <c r="Z23" s="1">
        <v>1.5</v>
      </c>
      <c r="AA23" s="1">
        <f>VLOOKUP($N$1,$D$4:$J$15,MATCH(I$4,$D$4:$J$4,0),0)*角色成长!J36</f>
        <v>0.9</v>
      </c>
      <c r="AB23" s="1">
        <f t="shared" si="1"/>
        <v>0.75</v>
      </c>
      <c r="AC23" s="6"/>
      <c r="AD23" s="22"/>
      <c r="AE23" s="22"/>
      <c r="AF23" s="22"/>
      <c r="AG23" s="9"/>
      <c r="AH23" s="9"/>
      <c r="AI23" s="9"/>
      <c r="AJ23" s="9"/>
      <c r="AK23" s="9"/>
      <c r="AL23" s="9"/>
    </row>
    <row r="24" spans="2:38" ht="14.25" customHeight="1" x14ac:dyDescent="0.2">
      <c r="E24" s="6"/>
      <c r="F24" s="6"/>
      <c r="G24" s="6"/>
      <c r="H24" s="6"/>
      <c r="I24" s="26"/>
      <c r="J24" s="6"/>
      <c r="K24" s="6"/>
      <c r="L24" s="6">
        <f t="shared" si="2"/>
        <v>1.1367274340142739</v>
      </c>
      <c r="M24" s="1">
        <v>20</v>
      </c>
      <c r="N24" s="6">
        <f>VLOOKUP($N$2,角色品星!$C$16:$D$20,2,0)*VLOOKUP($N$3,角色品星!$C$3:$E$14,3,0)*V24</f>
        <v>473.8031616329323</v>
      </c>
      <c r="O24" s="6">
        <f>VLOOKUP($N$2,角色品星!$C$16:$D$20,2,0)*VLOOKUP($N$3,角色品星!$C$3:$E$14,3,0)*W24</f>
        <v>10771.701043017069</v>
      </c>
      <c r="P24" s="6">
        <f>VLOOKUP($N$2,角色品星!$C$16:$D$20,2,0)*VLOOKUP($N$3,角色品星!$C$3:$E$14,3,0)*X24</f>
        <v>9476.0632326586456</v>
      </c>
      <c r="Q24" s="24">
        <f t="shared" si="3"/>
        <v>0.05</v>
      </c>
      <c r="R24" s="24">
        <f t="shared" si="4"/>
        <v>1.5</v>
      </c>
      <c r="S24" s="24">
        <f t="shared" si="5"/>
        <v>0.9</v>
      </c>
      <c r="T24" s="42">
        <f>N24*(1+Q24*(R24-1))*S24*战斗公式!$E$39+(P24*战斗公式!$E$40+1)*O24*战斗公式!$E$41</f>
        <v>22719.519660245816</v>
      </c>
      <c r="U24" s="42">
        <f t="shared" si="6"/>
        <v>1135.975983012293</v>
      </c>
      <c r="V24" s="6">
        <f>VLOOKUP($N$1,$D$4:$J$15,MATCH(F$4,$D$4:$J$4,0),0)*角色成长!E37*角色成长!$L$15*AB24/AA24/(1+$Y$2*($Z$2-1))</f>
        <v>473.8031616329323</v>
      </c>
      <c r="W24" s="6">
        <f>VLOOKUP($N$1,$D$4:$J$15,MATCH(G$4,$D$4:$J$4,0),0)*角色成长!F37*角色成长!$L$15/(1+X24/角色成长!$N$16)</f>
        <v>10771.701043017069</v>
      </c>
      <c r="X24" s="6">
        <f>VLOOKUP($N$1,$D$4:$J$15,MATCH(H$4,$D$4:$J$4,0),0)*角色成长!G37*角色成长!$L$15</f>
        <v>9476.0632326586456</v>
      </c>
      <c r="Y24" s="1">
        <v>0.05</v>
      </c>
      <c r="Z24" s="1">
        <v>1.5</v>
      </c>
      <c r="AA24" s="1">
        <f>VLOOKUP($N$1,$D$4:$J$15,MATCH(I$4,$D$4:$J$4,0),0)*角色成长!J37</f>
        <v>0.9</v>
      </c>
      <c r="AB24" s="1">
        <f t="shared" si="1"/>
        <v>0.75</v>
      </c>
      <c r="AC24" s="6"/>
      <c r="AD24" s="22"/>
      <c r="AE24" s="22"/>
      <c r="AF24" s="22"/>
      <c r="AG24" s="9"/>
      <c r="AH24" s="9"/>
      <c r="AI24" s="9"/>
      <c r="AJ24" s="9"/>
      <c r="AK24" s="9"/>
      <c r="AL24" s="9"/>
    </row>
    <row r="25" spans="2:38" ht="14.25" customHeight="1" x14ac:dyDescent="0.2">
      <c r="B25" s="33"/>
      <c r="C25" s="6"/>
      <c r="E25" s="6"/>
      <c r="F25" s="6"/>
      <c r="G25" s="6"/>
      <c r="H25" s="6"/>
      <c r="I25" s="26"/>
      <c r="J25" s="6"/>
      <c r="K25" s="6"/>
      <c r="L25" s="6">
        <f t="shared" si="2"/>
        <v>1.1318289737449412</v>
      </c>
      <c r="M25" s="1">
        <v>21</v>
      </c>
      <c r="N25" s="6">
        <f>VLOOKUP($N$2,角色品星!$C$16:$D$20,2,0)*VLOOKUP($N$3,角色品星!$C$3:$E$14,3,0)*V25</f>
        <v>497.493319714579</v>
      </c>
      <c r="O25" s="6">
        <f>VLOOKUP($N$2,角色品星!$C$16:$D$20,2,0)*VLOOKUP($N$3,角色品星!$C$3:$E$14,3,0)*W25</f>
        <v>11261.547069950317</v>
      </c>
      <c r="P25" s="6">
        <f>VLOOKUP($N$2,角色品星!$C$16:$D$20,2,0)*VLOOKUP($N$3,角色品星!$C$3:$E$14,3,0)*X25</f>
        <v>9949.8663942915791</v>
      </c>
      <c r="Q25" s="24">
        <f t="shared" si="3"/>
        <v>0.05</v>
      </c>
      <c r="R25" s="24">
        <f t="shared" si="4"/>
        <v>1.5</v>
      </c>
      <c r="S25" s="24">
        <f t="shared" si="5"/>
        <v>0.9</v>
      </c>
      <c r="T25" s="42">
        <f>N25*(1+Q25*(R25-1))*S25*战斗公式!$E$39+(P25*战斗公式!$E$40+1)*O25*战斗公式!$E$41</f>
        <v>23855.495643258109</v>
      </c>
      <c r="U25" s="42">
        <f t="shared" si="6"/>
        <v>1192.7747821629055</v>
      </c>
      <c r="V25" s="6">
        <f>VLOOKUP($N$1,$D$4:$J$15,MATCH(F$4,$D$4:$J$4,0),0)*角色成长!E38*角色成长!$L$15*AB25/AA25/(1+$Y$2*($Z$2-1))</f>
        <v>497.493319714579</v>
      </c>
      <c r="W25" s="6">
        <f>VLOOKUP($N$1,$D$4:$J$15,MATCH(G$4,$D$4:$J$4,0),0)*角色成长!F38*角色成长!$L$15/(1+X25/角色成长!$N$16)</f>
        <v>11261.547069950317</v>
      </c>
      <c r="X25" s="6">
        <f>VLOOKUP($N$1,$D$4:$J$15,MATCH(H$4,$D$4:$J$4,0),0)*角色成长!G38*角色成长!$L$15</f>
        <v>9949.8663942915791</v>
      </c>
      <c r="Y25" s="1">
        <v>0.05</v>
      </c>
      <c r="Z25" s="1">
        <v>1.5</v>
      </c>
      <c r="AA25" s="1">
        <f>VLOOKUP($N$1,$D$4:$J$15,MATCH(I$4,$D$4:$J$4,0),0)*角色成长!J38</f>
        <v>0.9</v>
      </c>
      <c r="AB25" s="1">
        <f t="shared" si="1"/>
        <v>0.75</v>
      </c>
      <c r="AC25" s="6"/>
      <c r="AD25" s="22"/>
      <c r="AE25" s="22"/>
      <c r="AF25" s="22"/>
      <c r="AG25" s="9"/>
      <c r="AH25" s="9"/>
      <c r="AI25" s="9"/>
      <c r="AJ25" s="9"/>
      <c r="AK25" s="9"/>
      <c r="AL25" s="9"/>
    </row>
    <row r="26" spans="2:38" ht="14.25" customHeight="1" x14ac:dyDescent="0.2">
      <c r="B26" s="33"/>
      <c r="C26" s="6"/>
      <c r="E26" s="6"/>
      <c r="F26" s="6"/>
      <c r="G26" s="6"/>
      <c r="H26" s="6"/>
      <c r="I26" s="26"/>
      <c r="J26" s="6"/>
      <c r="K26" s="6"/>
      <c r="L26" s="6">
        <f t="shared" si="2"/>
        <v>1.1267308224178698</v>
      </c>
      <c r="M26" s="1">
        <v>22</v>
      </c>
      <c r="N26" s="6">
        <f>VLOOKUP($N$2,角色品星!$C$16:$D$20,2,0)*VLOOKUP($N$3,角色品星!$C$3:$E$14,3,0)*V26</f>
        <v>522.36798570030794</v>
      </c>
      <c r="O26" s="6">
        <f>VLOOKUP($N$2,角色品星!$C$16:$D$20,2,0)*VLOOKUP($N$3,角色品星!$C$3:$E$14,3,0)*W26</f>
        <v>11771.362202657478</v>
      </c>
      <c r="P26" s="6">
        <f>VLOOKUP($N$2,角色品星!$C$16:$D$20,2,0)*VLOOKUP($N$3,角色品星!$C$3:$E$14,3,0)*X26</f>
        <v>10447.359714006156</v>
      </c>
      <c r="Q26" s="24">
        <f t="shared" si="3"/>
        <v>0.05</v>
      </c>
      <c r="R26" s="24">
        <f t="shared" si="4"/>
        <v>1.5</v>
      </c>
      <c r="S26" s="24">
        <f t="shared" si="5"/>
        <v>0.9</v>
      </c>
      <c r="T26" s="42">
        <f>N26*(1+Q26*(R26-1))*S26*战斗公式!$E$39+(P26*战斗公式!$E$40+1)*O26*战斗公式!$E$41</f>
        <v>25048.270425421015</v>
      </c>
      <c r="U26" s="42">
        <f t="shared" si="6"/>
        <v>1252.4135212710498</v>
      </c>
      <c r="V26" s="6">
        <f>VLOOKUP($N$1,$D$4:$J$15,MATCH(F$4,$D$4:$J$4,0),0)*角色成长!E39*角色成长!$L$15*AB26/AA26/(1+$Y$2*($Z$2-1))</f>
        <v>522.36798570030794</v>
      </c>
      <c r="W26" s="6">
        <f>VLOOKUP($N$1,$D$4:$J$15,MATCH(G$4,$D$4:$J$4,0),0)*角色成长!F39*角色成长!$L$15/(1+X26/角色成长!$N$16)</f>
        <v>11771.362202657478</v>
      </c>
      <c r="X26" s="6">
        <f>VLOOKUP($N$1,$D$4:$J$15,MATCH(H$4,$D$4:$J$4,0),0)*角色成长!G39*角色成长!$L$15</f>
        <v>10447.359714006156</v>
      </c>
      <c r="Y26" s="1">
        <v>0.05</v>
      </c>
      <c r="Z26" s="1">
        <v>1.5</v>
      </c>
      <c r="AA26" s="1">
        <f>VLOOKUP($N$1,$D$4:$J$15,MATCH(I$4,$D$4:$J$4,0),0)*角色成长!J39</f>
        <v>0.9</v>
      </c>
      <c r="AB26" s="1">
        <f t="shared" si="1"/>
        <v>0.75</v>
      </c>
      <c r="AC26" s="6"/>
      <c r="AD26" s="22"/>
      <c r="AE26" s="22"/>
      <c r="AF26" s="22"/>
      <c r="AG26" s="9"/>
      <c r="AH26" s="9"/>
      <c r="AI26" s="9"/>
      <c r="AJ26" s="9"/>
      <c r="AK26" s="9"/>
      <c r="AL26" s="9"/>
    </row>
    <row r="27" spans="2:38" ht="14.25" customHeight="1" x14ac:dyDescent="0.2">
      <c r="B27" s="33"/>
      <c r="C27" s="6"/>
      <c r="E27" s="6"/>
      <c r="F27" s="6"/>
      <c r="G27" s="6"/>
      <c r="H27" s="6"/>
      <c r="I27" s="26"/>
      <c r="J27" s="6"/>
      <c r="K27" s="6"/>
      <c r="L27" s="6">
        <f t="shared" si="2"/>
        <v>1.1214269605238802</v>
      </c>
      <c r="M27" s="1">
        <v>23</v>
      </c>
      <c r="N27" s="6">
        <f>VLOOKUP($N$2,角色品星!$C$16:$D$20,2,0)*VLOOKUP($N$3,角色品星!$C$3:$E$14,3,0)*V27</f>
        <v>548.4863849853233</v>
      </c>
      <c r="O27" s="6">
        <f>VLOOKUP($N$2,角色品星!$C$16:$D$20,2,0)*VLOOKUP($N$3,角色品星!$C$3:$E$14,3,0)*W27</f>
        <v>12301.748392056437</v>
      </c>
      <c r="P27" s="6">
        <f>VLOOKUP($N$2,角色品星!$C$16:$D$20,2,0)*VLOOKUP($N$3,角色品星!$C$3:$E$14,3,0)*X27</f>
        <v>10969.727699706464</v>
      </c>
      <c r="Q27" s="24">
        <f t="shared" si="3"/>
        <v>0.05</v>
      </c>
      <c r="R27" s="24">
        <f t="shared" si="4"/>
        <v>1.5</v>
      </c>
      <c r="S27" s="24">
        <f t="shared" si="5"/>
        <v>0.9</v>
      </c>
      <c r="T27" s="42">
        <f>N27*(1+Q27*(R27-1))*S27*战斗公式!$E$39+(P27*战斗公式!$E$40+1)*O27*战斗公式!$E$41</f>
        <v>26300.683946692065</v>
      </c>
      <c r="U27" s="42">
        <f t="shared" si="6"/>
        <v>1315.0341973346076</v>
      </c>
      <c r="V27" s="6">
        <f>VLOOKUP($N$1,$D$4:$J$15,MATCH(F$4,$D$4:$J$4,0),0)*角色成长!E40*角色成长!$L$15*AB27/AA27/(1+$Y$2*($Z$2-1))</f>
        <v>548.4863849853233</v>
      </c>
      <c r="W27" s="6">
        <f>VLOOKUP($N$1,$D$4:$J$15,MATCH(G$4,$D$4:$J$4,0),0)*角色成长!F40*角色成长!$L$15/(1+X27/角色成长!$N$16)</f>
        <v>12301.748392056437</v>
      </c>
      <c r="X27" s="6">
        <f>VLOOKUP($N$1,$D$4:$J$15,MATCH(H$4,$D$4:$J$4,0),0)*角色成长!G40*角色成长!$L$15</f>
        <v>10969.727699706464</v>
      </c>
      <c r="Y27" s="1">
        <v>0.05</v>
      </c>
      <c r="Z27" s="1">
        <v>1.5</v>
      </c>
      <c r="AA27" s="1">
        <f>VLOOKUP($N$1,$D$4:$J$15,MATCH(I$4,$D$4:$J$4,0),0)*角色成长!J40</f>
        <v>0.9</v>
      </c>
      <c r="AB27" s="1">
        <f t="shared" si="1"/>
        <v>0.75</v>
      </c>
      <c r="AC27" s="6"/>
      <c r="AD27" s="22"/>
      <c r="AE27" s="22"/>
      <c r="AF27" s="22"/>
      <c r="AG27" s="9"/>
      <c r="AH27" s="9"/>
      <c r="AI27" s="9"/>
      <c r="AJ27" s="9"/>
      <c r="AK27" s="9"/>
      <c r="AL27" s="9"/>
    </row>
    <row r="28" spans="2:38" ht="14.25" customHeight="1" x14ac:dyDescent="0.2">
      <c r="B28" s="33"/>
      <c r="C28" s="6"/>
      <c r="E28" s="6"/>
      <c r="F28" s="6"/>
      <c r="G28" s="6"/>
      <c r="H28" s="6"/>
      <c r="I28" s="26"/>
      <c r="J28" s="6"/>
      <c r="K28" s="6"/>
      <c r="L28" s="6">
        <f t="shared" si="2"/>
        <v>1.1159113824216729</v>
      </c>
      <c r="M28" s="1">
        <v>24</v>
      </c>
      <c r="N28" s="6">
        <f>VLOOKUP($N$2,角色品星!$C$16:$D$20,2,0)*VLOOKUP($N$3,角色品星!$C$3:$E$14,3,0)*V28</f>
        <v>575.91070423458962</v>
      </c>
      <c r="O28" s="6">
        <f>VLOOKUP($N$2,角色品星!$C$16:$D$20,2,0)*VLOOKUP($N$3,角色品星!$C$3:$E$14,3,0)*W28</f>
        <v>12853.306202277197</v>
      </c>
      <c r="P28" s="6">
        <f>VLOOKUP($N$2,角色品星!$C$16:$D$20,2,0)*VLOOKUP($N$3,角色品星!$C$3:$E$14,3,0)*X28</f>
        <v>11518.214084691788</v>
      </c>
      <c r="Q28" s="24">
        <f t="shared" si="3"/>
        <v>0.05</v>
      </c>
      <c r="R28" s="24">
        <f t="shared" si="4"/>
        <v>1.5</v>
      </c>
      <c r="S28" s="24">
        <f t="shared" si="5"/>
        <v>0.9</v>
      </c>
      <c r="T28" s="42">
        <f>N28*(1+Q28*(R28-1))*S28*战斗公式!$E$39+(P28*战斗公式!$E$40+1)*O28*战斗公式!$E$41</f>
        <v>27615.718144026672</v>
      </c>
      <c r="U28" s="42">
        <f t="shared" si="6"/>
        <v>1380.7859072013307</v>
      </c>
      <c r="V28" s="6">
        <f>VLOOKUP($N$1,$D$4:$J$15,MATCH(F$4,$D$4:$J$4,0),0)*角色成长!E41*角色成长!$L$15*AB28/AA28/(1+$Y$2*($Z$2-1))</f>
        <v>575.91070423458962</v>
      </c>
      <c r="W28" s="6">
        <f>VLOOKUP($N$1,$D$4:$J$15,MATCH(G$4,$D$4:$J$4,0),0)*角色成长!F41*角色成长!$L$15/(1+X28/角色成长!$N$16)</f>
        <v>12853.306202277197</v>
      </c>
      <c r="X28" s="6">
        <f>VLOOKUP($N$1,$D$4:$J$15,MATCH(H$4,$D$4:$J$4,0),0)*角色成长!G41*角色成长!$L$15</f>
        <v>11518.214084691788</v>
      </c>
      <c r="Y28" s="1">
        <v>0.05</v>
      </c>
      <c r="Z28" s="1">
        <v>1.5</v>
      </c>
      <c r="AA28" s="1">
        <f>VLOOKUP($N$1,$D$4:$J$15,MATCH(I$4,$D$4:$J$4,0),0)*角色成长!J41</f>
        <v>0.9</v>
      </c>
      <c r="AB28" s="1">
        <f t="shared" si="1"/>
        <v>0.75</v>
      </c>
      <c r="AC28" s="6"/>
      <c r="AD28" s="22"/>
      <c r="AE28" s="22"/>
      <c r="AF28" s="22"/>
      <c r="AG28" s="9"/>
      <c r="AH28" s="9"/>
      <c r="AI28" s="9"/>
      <c r="AJ28" s="9"/>
      <c r="AK28" s="9"/>
      <c r="AL28" s="9"/>
    </row>
    <row r="29" spans="2:38" ht="14.25" customHeight="1" x14ac:dyDescent="0.2">
      <c r="B29" s="33"/>
      <c r="C29" s="6"/>
      <c r="E29" s="6"/>
      <c r="F29" s="6"/>
      <c r="G29" s="6"/>
      <c r="H29" s="6"/>
      <c r="I29" s="26"/>
      <c r="J29" s="6"/>
      <c r="K29" s="6"/>
      <c r="L29" s="6">
        <f t="shared" si="2"/>
        <v>1.1101781175309033</v>
      </c>
      <c r="M29" s="1">
        <v>25</v>
      </c>
      <c r="N29" s="6">
        <f>VLOOKUP($N$2,角色品星!$C$16:$D$20,2,0)*VLOOKUP($N$3,角色品星!$C$3:$E$14,3,0)*V29</f>
        <v>604.70623944631905</v>
      </c>
      <c r="O29" s="6">
        <f>VLOOKUP($N$2,角色品星!$C$16:$D$20,2,0)*VLOOKUP($N$3,角色品星!$C$3:$E$14,3,0)*W29</f>
        <v>13426.63269135412</v>
      </c>
      <c r="P29" s="6">
        <f>VLOOKUP($N$2,角色品星!$C$16:$D$20,2,0)*VLOOKUP($N$3,角色品星!$C$3:$E$14,3,0)*X29</f>
        <v>12094.124788926378</v>
      </c>
      <c r="Q29" s="24">
        <f t="shared" si="3"/>
        <v>0.05</v>
      </c>
      <c r="R29" s="24">
        <f t="shared" si="4"/>
        <v>1.5</v>
      </c>
      <c r="S29" s="24">
        <f t="shared" si="5"/>
        <v>0.9</v>
      </c>
      <c r="T29" s="42">
        <f>N29*(1+Q29*(R29-1))*S29*战斗公式!$E$39+(P29*战斗公式!$E$40+1)*O29*战斗公式!$E$41</f>
        <v>28996.504051228003</v>
      </c>
      <c r="U29" s="42">
        <f t="shared" si="6"/>
        <v>1449.8252025613947</v>
      </c>
      <c r="V29" s="6">
        <f>VLOOKUP($N$1,$D$4:$J$15,MATCH(F$4,$D$4:$J$4,0),0)*角色成长!E42*角色成长!$L$15*AB29/AA29/(1+$Y$2*($Z$2-1))</f>
        <v>604.70623944631905</v>
      </c>
      <c r="W29" s="6">
        <f>VLOOKUP($N$1,$D$4:$J$15,MATCH(G$4,$D$4:$J$4,0),0)*角色成长!F42*角色成长!$L$15/(1+X29/角色成长!$N$16)</f>
        <v>13426.63269135412</v>
      </c>
      <c r="X29" s="6">
        <f>VLOOKUP($N$1,$D$4:$J$15,MATCH(H$4,$D$4:$J$4,0),0)*角色成长!G42*角色成长!$L$15</f>
        <v>12094.124788926378</v>
      </c>
      <c r="Y29" s="1">
        <v>0.05</v>
      </c>
      <c r="Z29" s="1">
        <v>1.5</v>
      </c>
      <c r="AA29" s="1">
        <f>VLOOKUP($N$1,$D$4:$J$15,MATCH(I$4,$D$4:$J$4,0),0)*角色成长!J42</f>
        <v>0.9</v>
      </c>
      <c r="AB29" s="1">
        <f t="shared" si="1"/>
        <v>0.75</v>
      </c>
      <c r="AC29" s="6"/>
      <c r="AD29" s="22"/>
      <c r="AE29" s="22"/>
      <c r="AF29" s="22"/>
      <c r="AG29" s="9"/>
      <c r="AH29" s="9"/>
      <c r="AI29" s="9"/>
      <c r="AJ29" s="9"/>
      <c r="AK29" s="9"/>
      <c r="AL29" s="9"/>
    </row>
    <row r="30" spans="2:38" ht="14.25" customHeight="1" x14ac:dyDescent="0.2">
      <c r="B30" s="33"/>
      <c r="C30" s="6"/>
      <c r="E30" s="6"/>
      <c r="F30" s="6"/>
      <c r="G30" s="6"/>
      <c r="H30" s="6"/>
      <c r="I30" s="26"/>
      <c r="J30" s="6"/>
      <c r="K30" s="6"/>
      <c r="L30" s="6">
        <f t="shared" si="2"/>
        <v>1.1042212533075404</v>
      </c>
      <c r="M30" s="1">
        <v>26</v>
      </c>
      <c r="N30" s="6">
        <f>VLOOKUP($N$2,角色品星!$C$16:$D$20,2,0)*VLOOKUP($N$3,角色品星!$C$3:$E$14,3,0)*V30</f>
        <v>634.94155141863484</v>
      </c>
      <c r="O30" s="6">
        <f>VLOOKUP($N$2,角色品星!$C$16:$D$20,2,0)*VLOOKUP($N$3,角色品星!$C$3:$E$14,3,0)*W30</f>
        <v>14022.319113690382</v>
      </c>
      <c r="P30" s="6">
        <f>VLOOKUP($N$2,角色品星!$C$16:$D$20,2,0)*VLOOKUP($N$3,角色品星!$C$3:$E$14,3,0)*X30</f>
        <v>12698.831028372697</v>
      </c>
      <c r="Q30" s="24">
        <f t="shared" si="3"/>
        <v>0.05</v>
      </c>
      <c r="R30" s="24">
        <f t="shared" si="4"/>
        <v>1.5</v>
      </c>
      <c r="S30" s="24">
        <f t="shared" si="5"/>
        <v>0.9</v>
      </c>
      <c r="T30" s="42">
        <f>N30*(1+Q30*(R30-1))*S30*战斗公式!$E$39+(P30*战斗公式!$E$40+1)*O30*战斗公式!$E$41</f>
        <v>30446.329253789398</v>
      </c>
      <c r="U30" s="42">
        <f t="shared" si="6"/>
        <v>1522.3164626894722</v>
      </c>
      <c r="V30" s="6">
        <f>VLOOKUP($N$1,$D$4:$J$15,MATCH(F$4,$D$4:$J$4,0),0)*角色成长!E43*角色成长!$L$15*AB30/AA30/(1+$Y$2*($Z$2-1))</f>
        <v>634.94155141863484</v>
      </c>
      <c r="W30" s="6">
        <f>VLOOKUP($N$1,$D$4:$J$15,MATCH(G$4,$D$4:$J$4,0),0)*角色成长!F43*角色成长!$L$15/(1+X30/角色成长!$N$16)</f>
        <v>14022.319113690382</v>
      </c>
      <c r="X30" s="6">
        <f>VLOOKUP($N$1,$D$4:$J$15,MATCH(H$4,$D$4:$J$4,0),0)*角色成长!G43*角色成长!$L$15</f>
        <v>12698.831028372697</v>
      </c>
      <c r="Y30" s="1">
        <v>0.05</v>
      </c>
      <c r="Z30" s="1">
        <v>1.5</v>
      </c>
      <c r="AA30" s="1">
        <f>VLOOKUP($N$1,$D$4:$J$15,MATCH(I$4,$D$4:$J$4,0),0)*角色成长!J43</f>
        <v>0.9</v>
      </c>
      <c r="AB30" s="1">
        <f t="shared" si="1"/>
        <v>0.75</v>
      </c>
      <c r="AC30" s="6"/>
      <c r="AD30" s="22"/>
      <c r="AE30" s="22"/>
      <c r="AF30" s="22"/>
      <c r="AG30" s="9"/>
      <c r="AH30" s="9"/>
      <c r="AI30" s="9"/>
      <c r="AJ30" s="9"/>
      <c r="AK30" s="9"/>
      <c r="AL30" s="9"/>
    </row>
    <row r="31" spans="2:38" ht="14.25" customHeight="1" x14ac:dyDescent="0.2">
      <c r="B31" s="6"/>
      <c r="E31" s="6"/>
      <c r="F31" s="6"/>
      <c r="G31" s="6"/>
      <c r="H31" s="6"/>
      <c r="I31" s="26"/>
      <c r="J31" s="6"/>
      <c r="K31" s="6"/>
      <c r="L31" s="6">
        <f t="shared" si="2"/>
        <v>1.0980349600277428</v>
      </c>
      <c r="M31" s="1">
        <v>27</v>
      </c>
      <c r="N31" s="6">
        <f>VLOOKUP($N$2,角色品星!$C$16:$D$20,2,0)*VLOOKUP($N$3,角色品星!$C$3:$E$14,3,0)*V31</f>
        <v>666.68862898956661</v>
      </c>
      <c r="O31" s="6">
        <f>VLOOKUP($N$2,角色品星!$C$16:$D$20,2,0)*VLOOKUP($N$3,角色品星!$C$3:$E$14,3,0)*W31</f>
        <v>14640.948441670187</v>
      </c>
      <c r="P31" s="6">
        <f>VLOOKUP($N$2,角色品星!$C$16:$D$20,2,0)*VLOOKUP($N$3,角色品星!$C$3:$E$14,3,0)*X31</f>
        <v>13333.772579791332</v>
      </c>
      <c r="Q31" s="24">
        <f t="shared" si="3"/>
        <v>0.05</v>
      </c>
      <c r="R31" s="24">
        <f t="shared" si="4"/>
        <v>1.5</v>
      </c>
      <c r="S31" s="24">
        <f t="shared" si="5"/>
        <v>0.9</v>
      </c>
      <c r="T31" s="42">
        <f>N31*(1+Q31*(R31-1))*S31*战斗公式!$E$39+(P31*战斗公式!$E$40+1)*O31*战斗公式!$E$41</f>
        <v>31968.64571647887</v>
      </c>
      <c r="U31" s="42">
        <f t="shared" si="6"/>
        <v>1598.4322858239502</v>
      </c>
      <c r="V31" s="6">
        <f>VLOOKUP($N$1,$D$4:$J$15,MATCH(F$4,$D$4:$J$4,0),0)*角色成长!E44*角色成长!$L$15*AB31/AA31/(1+$Y$2*($Z$2-1))</f>
        <v>666.68862898956661</v>
      </c>
      <c r="W31" s="6">
        <f>VLOOKUP($N$1,$D$4:$J$15,MATCH(G$4,$D$4:$J$4,0),0)*角色成长!F44*角色成长!$L$15/(1+X31/角色成长!$N$16)</f>
        <v>14640.948441670187</v>
      </c>
      <c r="X31" s="6">
        <f>VLOOKUP($N$1,$D$4:$J$15,MATCH(H$4,$D$4:$J$4,0),0)*角色成长!G44*角色成长!$L$15</f>
        <v>13333.772579791332</v>
      </c>
      <c r="Y31" s="1">
        <v>0.05</v>
      </c>
      <c r="Z31" s="1">
        <v>1.5</v>
      </c>
      <c r="AA31" s="1">
        <f>VLOOKUP($N$1,$D$4:$J$15,MATCH(I$4,$D$4:$J$4,0),0)*角色成长!J44</f>
        <v>0.9</v>
      </c>
      <c r="AB31" s="1">
        <f t="shared" si="1"/>
        <v>0.75</v>
      </c>
      <c r="AC31" s="6"/>
      <c r="AD31" s="22"/>
      <c r="AE31" s="22"/>
      <c r="AF31" s="22"/>
      <c r="AG31" s="9"/>
      <c r="AH31" s="9"/>
      <c r="AI31" s="9"/>
      <c r="AJ31" s="9"/>
      <c r="AK31" s="9"/>
      <c r="AL31" s="9"/>
    </row>
    <row r="32" spans="2:38" ht="14.25" customHeight="1" x14ac:dyDescent="0.2">
      <c r="B32" s="6"/>
      <c r="E32" s="6"/>
      <c r="F32" s="6"/>
      <c r="G32" s="6"/>
      <c r="H32" s="6"/>
      <c r="I32" s="26"/>
      <c r="J32" s="6"/>
      <c r="K32" s="6"/>
      <c r="L32" s="6">
        <f t="shared" si="2"/>
        <v>1.0916135173921484</v>
      </c>
      <c r="M32" s="1">
        <v>28</v>
      </c>
      <c r="N32" s="6">
        <f>VLOOKUP($N$2,角色品星!$C$16:$D$20,2,0)*VLOOKUP($N$3,角色品星!$C$3:$E$14,3,0)*V32</f>
        <v>700.02306043904514</v>
      </c>
      <c r="O32" s="6">
        <f>VLOOKUP($N$2,角色品星!$C$16:$D$20,2,0)*VLOOKUP($N$3,角色品星!$C$3:$E$14,3,0)*W32</f>
        <v>15283.092705229645</v>
      </c>
      <c r="P32" s="6">
        <f>VLOOKUP($N$2,角色品星!$C$16:$D$20,2,0)*VLOOKUP($N$3,角色品星!$C$3:$E$14,3,0)*X32</f>
        <v>14000.461208780898</v>
      </c>
      <c r="Q32" s="24">
        <f t="shared" si="3"/>
        <v>0.05</v>
      </c>
      <c r="R32" s="24">
        <f t="shared" si="4"/>
        <v>1.5</v>
      </c>
      <c r="S32" s="24">
        <f t="shared" si="5"/>
        <v>0.9</v>
      </c>
      <c r="T32" s="42">
        <f>N32*(1+Q32*(R32-1))*S32*战斗公式!$E$39+(P32*战斗公式!$E$40+1)*O32*战斗公式!$E$41</f>
        <v>33567.07800230282</v>
      </c>
      <c r="U32" s="42">
        <f t="shared" si="6"/>
        <v>1678.3539001151366</v>
      </c>
      <c r="V32" s="6">
        <f>VLOOKUP($N$1,$D$4:$J$15,MATCH(F$4,$D$4:$J$4,0),0)*角色成长!E45*角色成长!$L$15*AB32/AA32/(1+$Y$2*($Z$2-1))</f>
        <v>700.02306043904514</v>
      </c>
      <c r="W32" s="6">
        <f>VLOOKUP($N$1,$D$4:$J$15,MATCH(G$4,$D$4:$J$4,0),0)*角色成长!F45*角色成长!$L$15/(1+X32/角色成长!$N$16)</f>
        <v>15283.092705229645</v>
      </c>
      <c r="X32" s="6">
        <f>VLOOKUP($N$1,$D$4:$J$15,MATCH(H$4,$D$4:$J$4,0),0)*角色成长!G45*角色成长!$L$15</f>
        <v>14000.461208780898</v>
      </c>
      <c r="Y32" s="1">
        <v>0.05</v>
      </c>
      <c r="Z32" s="1">
        <v>1.5</v>
      </c>
      <c r="AA32" s="1">
        <f>VLOOKUP($N$1,$D$4:$J$15,MATCH(I$4,$D$4:$J$4,0),0)*角色成长!J45</f>
        <v>0.9</v>
      </c>
      <c r="AB32" s="1">
        <f t="shared" si="1"/>
        <v>0.75</v>
      </c>
      <c r="AC32" s="6"/>
      <c r="AD32" s="22"/>
      <c r="AE32" s="22"/>
      <c r="AF32" s="22"/>
      <c r="AG32" s="9"/>
      <c r="AH32" s="9"/>
      <c r="AI32" s="9"/>
      <c r="AJ32" s="9"/>
      <c r="AK32" s="9"/>
      <c r="AL32" s="9"/>
    </row>
    <row r="33" spans="5:38" ht="14.25" customHeight="1" x14ac:dyDescent="0.2">
      <c r="E33" s="6"/>
      <c r="F33" s="6"/>
      <c r="G33" s="6"/>
      <c r="H33" s="6"/>
      <c r="I33" s="26"/>
      <c r="J33" s="6"/>
      <c r="K33" s="6"/>
      <c r="L33" s="6">
        <f t="shared" si="2"/>
        <v>1.0849513429459803</v>
      </c>
      <c r="M33" s="1">
        <v>29</v>
      </c>
      <c r="N33" s="6">
        <f>VLOOKUP($N$2,角色品星!$C$16:$D$20,2,0)*VLOOKUP($N$3,角色品星!$C$3:$E$14,3,0)*V33</f>
        <v>735.02421346099709</v>
      </c>
      <c r="O33" s="6">
        <f>VLOOKUP($N$2,角色品星!$C$16:$D$20,2,0)*VLOOKUP($N$3,角色品星!$C$3:$E$14,3,0)*W33</f>
        <v>15949.310149846435</v>
      </c>
      <c r="P33" s="6">
        <f>VLOOKUP($N$2,角色品星!$C$16:$D$20,2,0)*VLOOKUP($N$3,角色品星!$C$3:$E$14,3,0)*X33</f>
        <v>14700.484269219942</v>
      </c>
      <c r="Q33" s="24">
        <f t="shared" si="3"/>
        <v>0.05</v>
      </c>
      <c r="R33" s="24">
        <f t="shared" si="4"/>
        <v>1.5</v>
      </c>
      <c r="S33" s="24">
        <f t="shared" si="5"/>
        <v>0.9</v>
      </c>
      <c r="T33" s="42">
        <f>N33*(1+Q33*(R33-1))*S33*战斗公式!$E$39+(P33*战斗公式!$E$40+1)*O33*战斗公式!$E$41</f>
        <v>35245.431902417957</v>
      </c>
      <c r="U33" s="42">
        <f t="shared" si="6"/>
        <v>1762.2715951209029</v>
      </c>
      <c r="V33" s="6">
        <f>VLOOKUP($N$1,$D$4:$J$15,MATCH(F$4,$D$4:$J$4,0),0)*角色成长!E46*角色成长!$L$15*AB33/AA33/(1+$Y$2*($Z$2-1))</f>
        <v>735.02421346099709</v>
      </c>
      <c r="W33" s="6">
        <f>VLOOKUP($N$1,$D$4:$J$15,MATCH(G$4,$D$4:$J$4,0),0)*角色成长!F46*角色成长!$L$15/(1+X33/角色成长!$N$16)</f>
        <v>15949.310149846435</v>
      </c>
      <c r="X33" s="6">
        <f>VLOOKUP($N$1,$D$4:$J$15,MATCH(H$4,$D$4:$J$4,0),0)*角色成长!G46*角色成长!$L$15</f>
        <v>14700.484269219942</v>
      </c>
      <c r="Y33" s="1">
        <v>0.05</v>
      </c>
      <c r="Z33" s="1">
        <v>1.5</v>
      </c>
      <c r="AA33" s="1">
        <f>VLOOKUP($N$1,$D$4:$J$15,MATCH(I$4,$D$4:$J$4,0),0)*角色成长!J46</f>
        <v>0.9</v>
      </c>
      <c r="AB33" s="1">
        <f t="shared" si="1"/>
        <v>0.75</v>
      </c>
      <c r="AC33" s="6"/>
      <c r="AD33" s="22"/>
      <c r="AE33" s="22"/>
      <c r="AF33" s="22"/>
      <c r="AG33" s="9"/>
      <c r="AH33" s="9"/>
      <c r="AI33" s="9"/>
      <c r="AJ33" s="9"/>
      <c r="AK33" s="9"/>
      <c r="AL33" s="9"/>
    </row>
    <row r="34" spans="5:38" ht="14.25" customHeight="1" x14ac:dyDescent="0.2">
      <c r="E34" s="6"/>
      <c r="F34" s="6"/>
      <c r="G34" s="6"/>
      <c r="H34" s="6"/>
      <c r="I34" s="26"/>
      <c r="J34" s="6"/>
      <c r="K34" s="6"/>
      <c r="L34" s="6">
        <f t="shared" si="2"/>
        <v>1.0780430222916648</v>
      </c>
      <c r="M34" s="1">
        <v>30</v>
      </c>
      <c r="N34" s="6">
        <f>VLOOKUP($N$2,角色品星!$C$16:$D$20,2,0)*VLOOKUP($N$3,角色品星!$C$3:$E$14,3,0)*V34</f>
        <v>771.77542413404728</v>
      </c>
      <c r="O34" s="6">
        <f>VLOOKUP($N$2,角色品星!$C$16:$D$20,2,0)*VLOOKUP($N$3,角色品星!$C$3:$E$14,3,0)*W34</f>
        <v>16640.142215277992</v>
      </c>
      <c r="P34" s="6">
        <f>VLOOKUP($N$2,角色品星!$C$16:$D$20,2,0)*VLOOKUP($N$3,角色品星!$C$3:$E$14,3,0)*X34</f>
        <v>15435.508482680942</v>
      </c>
      <c r="Q34" s="24">
        <f t="shared" si="3"/>
        <v>0.05</v>
      </c>
      <c r="R34" s="24">
        <f t="shared" si="4"/>
        <v>1.5</v>
      </c>
      <c r="S34" s="24">
        <f t="shared" si="5"/>
        <v>0.9</v>
      </c>
      <c r="T34" s="42">
        <f>N34*(1+Q34*(R34-1))*S34*战斗公式!$E$39+(P34*战斗公式!$E$40+1)*O34*战斗公式!$E$41</f>
        <v>37007.70349753886</v>
      </c>
      <c r="U34" s="42">
        <f t="shared" si="6"/>
        <v>1850.3851748769303</v>
      </c>
      <c r="V34" s="6">
        <f>VLOOKUP($N$1,$D$4:$J$15,MATCH(F$4,$D$4:$J$4,0),0)*角色成长!E47*角色成长!$L$15*AB34/AA34/(1+$Y$2*($Z$2-1))</f>
        <v>771.77542413404728</v>
      </c>
      <c r="W34" s="6">
        <f>VLOOKUP($N$1,$D$4:$J$15,MATCH(G$4,$D$4:$J$4,0),0)*角色成长!F47*角色成长!$L$15/(1+X34/角色成长!$N$16)</f>
        <v>16640.142215277992</v>
      </c>
      <c r="X34" s="6">
        <f>VLOOKUP($N$1,$D$4:$J$15,MATCH(H$4,$D$4:$J$4,0),0)*角色成长!G47*角色成长!$L$15</f>
        <v>15435.508482680942</v>
      </c>
      <c r="Y34" s="1">
        <v>0.05</v>
      </c>
      <c r="Z34" s="1">
        <v>1.5</v>
      </c>
      <c r="AA34" s="1">
        <f>VLOOKUP($N$1,$D$4:$J$15,MATCH(I$4,$D$4:$J$4,0),0)*角色成长!J47</f>
        <v>0.9</v>
      </c>
      <c r="AB34" s="1">
        <f t="shared" si="1"/>
        <v>0.75</v>
      </c>
      <c r="AC34" s="6"/>
      <c r="AD34" s="22"/>
      <c r="AE34" s="22"/>
      <c r="AF34" s="22"/>
      <c r="AG34" s="9"/>
      <c r="AH34" s="9"/>
      <c r="AI34" s="9"/>
      <c r="AJ34" s="9"/>
      <c r="AK34" s="9"/>
      <c r="AL34" s="9"/>
    </row>
    <row r="35" spans="5:38" ht="14.25" customHeight="1" x14ac:dyDescent="0.2">
      <c r="E35" s="6"/>
      <c r="F35" s="6"/>
      <c r="G35" s="6"/>
      <c r="H35" s="6"/>
      <c r="I35" s="26"/>
      <c r="J35" s="6"/>
      <c r="K35" s="6"/>
      <c r="L35" s="6">
        <f t="shared" si="2"/>
        <v>1.0708833410497294</v>
      </c>
      <c r="M35" s="1">
        <v>31</v>
      </c>
      <c r="N35" s="6">
        <f>VLOOKUP($N$2,角色品星!$C$16:$D$20,2,0)*VLOOKUP($N$3,角色品星!$C$3:$E$14,3,0)*V35</f>
        <v>810.36419534074923</v>
      </c>
      <c r="O35" s="6">
        <f>VLOOKUP($N$2,角色品星!$C$16:$D$20,2,0)*VLOOKUP($N$3,角色品星!$C$3:$E$14,3,0)*W35</f>
        <v>17356.110339471539</v>
      </c>
      <c r="P35" s="6">
        <f>VLOOKUP($N$2,角色品星!$C$16:$D$20,2,0)*VLOOKUP($N$3,角色品星!$C$3:$E$14,3,0)*X35</f>
        <v>16207.283906814982</v>
      </c>
      <c r="Q35" s="24">
        <f t="shared" si="3"/>
        <v>0.05</v>
      </c>
      <c r="R35" s="24">
        <f t="shared" si="4"/>
        <v>1.5</v>
      </c>
      <c r="S35" s="24">
        <f t="shared" si="5"/>
        <v>0.9</v>
      </c>
      <c r="T35" s="42">
        <f>N35*(1+Q35*(R35-1))*S35*战斗公式!$E$39+(P35*战斗公式!$E$40+1)*O35*战斗公式!$E$41</f>
        <v>38858.08867241579</v>
      </c>
      <c r="U35" s="42">
        <f t="shared" si="6"/>
        <v>1942.9044336207953</v>
      </c>
      <c r="V35" s="6">
        <f>VLOOKUP($N$1,$D$4:$J$15,MATCH(F$4,$D$4:$J$4,0),0)*角色成长!E48*角色成长!$L$15*AB35/AA35/(1+$Y$2*($Z$2-1))</f>
        <v>810.36419534074923</v>
      </c>
      <c r="W35" s="6">
        <f>VLOOKUP($N$1,$D$4:$J$15,MATCH(G$4,$D$4:$J$4,0),0)*角色成长!F48*角色成长!$L$15/(1+X35/角色成长!$N$16)</f>
        <v>17356.110339471539</v>
      </c>
      <c r="X35" s="6">
        <f>VLOOKUP($N$1,$D$4:$J$15,MATCH(H$4,$D$4:$J$4,0),0)*角色成长!G48*角色成长!$L$15</f>
        <v>16207.283906814982</v>
      </c>
      <c r="Y35" s="1">
        <v>0.05</v>
      </c>
      <c r="Z35" s="1">
        <v>1.5</v>
      </c>
      <c r="AA35" s="1">
        <f>VLOOKUP($N$1,$D$4:$J$15,MATCH(I$4,$D$4:$J$4,0),0)*角色成长!J48</f>
        <v>0.9</v>
      </c>
      <c r="AB35" s="1">
        <f t="shared" si="1"/>
        <v>0.75</v>
      </c>
      <c r="AC35" s="6"/>
      <c r="AD35" s="22"/>
      <c r="AE35" s="22"/>
      <c r="AF35" s="22"/>
      <c r="AG35" s="9"/>
      <c r="AH35" s="9"/>
      <c r="AI35" s="9"/>
      <c r="AJ35" s="9"/>
      <c r="AK35" s="9"/>
      <c r="AL35" s="9"/>
    </row>
    <row r="36" spans="5:38" ht="14.25" customHeight="1" x14ac:dyDescent="0.2">
      <c r="E36" s="6"/>
      <c r="F36" s="6"/>
      <c r="G36" s="6"/>
      <c r="H36" s="6"/>
      <c r="I36" s="26"/>
      <c r="J36" s="6"/>
      <c r="K36" s="6"/>
      <c r="L36" s="6">
        <f t="shared" si="2"/>
        <v>1.0634673185005836</v>
      </c>
      <c r="M36" s="1">
        <v>32</v>
      </c>
      <c r="N36" s="6">
        <f>VLOOKUP($N$2,角色品星!$C$16:$D$20,2,0)*VLOOKUP($N$3,角色品星!$C$3:$E$14,3,0)*V36</f>
        <v>850.88240510778689</v>
      </c>
      <c r="O36" s="6">
        <f>VLOOKUP($N$2,角色品星!$C$16:$D$20,2,0)*VLOOKUP($N$3,角色品星!$C$3:$E$14,3,0)*W36</f>
        <v>18097.712594386107</v>
      </c>
      <c r="P36" s="6">
        <f>VLOOKUP($N$2,角色品星!$C$16:$D$20,2,0)*VLOOKUP($N$3,角色品星!$C$3:$E$14,3,0)*X36</f>
        <v>17017.648102155737</v>
      </c>
      <c r="Q36" s="24">
        <f t="shared" si="3"/>
        <v>0.05</v>
      </c>
      <c r="R36" s="24">
        <f t="shared" si="4"/>
        <v>1.5</v>
      </c>
      <c r="S36" s="24">
        <f t="shared" si="5"/>
        <v>0.9</v>
      </c>
      <c r="T36" s="42">
        <f>N36*(1+Q36*(R36-1))*S36*战斗公式!$E$39+(P36*战斗公式!$E$40+1)*O36*战斗公式!$E$41</f>
        <v>40800.993106036585</v>
      </c>
      <c r="U36" s="42">
        <f t="shared" si="6"/>
        <v>2040.0496553018384</v>
      </c>
      <c r="V36" s="6">
        <f>VLOOKUP($N$1,$D$4:$J$15,MATCH(F$4,$D$4:$J$4,0),0)*角色成长!E49*角色成长!$L$15*AB36/AA36/(1+$Y$2*($Z$2-1))</f>
        <v>850.88240510778689</v>
      </c>
      <c r="W36" s="6">
        <f>VLOOKUP($N$1,$D$4:$J$15,MATCH(G$4,$D$4:$J$4,0),0)*角色成长!F49*角色成长!$L$15/(1+X36/角色成长!$N$16)</f>
        <v>18097.712594386107</v>
      </c>
      <c r="X36" s="6">
        <f>VLOOKUP($N$1,$D$4:$J$15,MATCH(H$4,$D$4:$J$4,0),0)*角色成长!G49*角色成长!$L$15</f>
        <v>17017.648102155737</v>
      </c>
      <c r="Y36" s="1">
        <v>0.05</v>
      </c>
      <c r="Z36" s="1">
        <v>1.5</v>
      </c>
      <c r="AA36" s="1">
        <f>VLOOKUP($N$1,$D$4:$J$15,MATCH(I$4,$D$4:$J$4,0),0)*角色成长!J49</f>
        <v>0.9</v>
      </c>
      <c r="AB36" s="1">
        <f t="shared" si="1"/>
        <v>0.75</v>
      </c>
      <c r="AC36" s="6"/>
      <c r="AD36" s="22"/>
      <c r="AE36" s="22"/>
      <c r="AF36" s="22"/>
      <c r="AG36" s="9"/>
      <c r="AH36" s="9"/>
      <c r="AI36" s="9"/>
      <c r="AJ36" s="9"/>
      <c r="AK36" s="9"/>
      <c r="AL36" s="9"/>
    </row>
    <row r="37" spans="5:38" ht="14.25" customHeight="1" x14ac:dyDescent="0.2">
      <c r="E37" s="6"/>
      <c r="F37" s="6"/>
      <c r="G37" s="6"/>
      <c r="H37" s="6"/>
      <c r="I37" s="26"/>
      <c r="J37" s="6"/>
      <c r="K37" s="6"/>
      <c r="L37" s="6">
        <f t="shared" si="2"/>
        <v>1.0557902428144355</v>
      </c>
      <c r="M37" s="1">
        <v>33</v>
      </c>
      <c r="N37" s="6">
        <f>VLOOKUP($N$2,角色品星!$C$16:$D$20,2,0)*VLOOKUP($N$3,角色品星!$C$3:$E$14,3,0)*V37</f>
        <v>893.42652536317632</v>
      </c>
      <c r="O37" s="6">
        <f>VLOOKUP($N$2,角色品星!$C$16:$D$20,2,0)*VLOOKUP($N$3,角色品星!$C$3:$E$14,3,0)*W37</f>
        <v>18865.420163000905</v>
      </c>
      <c r="P37" s="6">
        <f>VLOOKUP($N$2,角色品星!$C$16:$D$20,2,0)*VLOOKUP($N$3,角色品星!$C$3:$E$14,3,0)*X37</f>
        <v>17868.530507263524</v>
      </c>
      <c r="Q37" s="24">
        <f t="shared" si="3"/>
        <v>0.05</v>
      </c>
      <c r="R37" s="24">
        <f t="shared" si="4"/>
        <v>1.5</v>
      </c>
      <c r="S37" s="24">
        <f t="shared" si="5"/>
        <v>0.9</v>
      </c>
      <c r="T37" s="42">
        <f>N37*(1+Q37*(R37-1))*S37*战斗公式!$E$39+(P37*战斗公式!$E$40+1)*O37*战斗公式!$E$41</f>
        <v>42841.042761338424</v>
      </c>
      <c r="U37" s="42">
        <f t="shared" si="6"/>
        <v>2142.0521380669234</v>
      </c>
      <c r="V37" s="6">
        <f>VLOOKUP($N$1,$D$4:$J$15,MATCH(F$4,$D$4:$J$4,0),0)*角色成长!E50*角色成长!$L$15*AB37/AA37/(1+$Y$2*($Z$2-1))</f>
        <v>893.42652536317632</v>
      </c>
      <c r="W37" s="6">
        <f>VLOOKUP($N$1,$D$4:$J$15,MATCH(G$4,$D$4:$J$4,0),0)*角色成长!F50*角色成长!$L$15/(1+X37/角色成长!$N$16)</f>
        <v>18865.420163000905</v>
      </c>
      <c r="X37" s="6">
        <f>VLOOKUP($N$1,$D$4:$J$15,MATCH(H$4,$D$4:$J$4,0),0)*角色成长!G50*角色成长!$L$15</f>
        <v>17868.530507263524</v>
      </c>
      <c r="Y37" s="1">
        <v>0.05</v>
      </c>
      <c r="Z37" s="1">
        <v>1.5</v>
      </c>
      <c r="AA37" s="1">
        <f>VLOOKUP($N$1,$D$4:$J$15,MATCH(I$4,$D$4:$J$4,0),0)*角色成长!J50</f>
        <v>0.9</v>
      </c>
      <c r="AB37" s="1">
        <f t="shared" ref="AB37:AB68" si="7">VLOOKUP($N$1,$D$4:$J$15,MATCH(J$4,$D$4:$J$4,0),0)</f>
        <v>0.75</v>
      </c>
      <c r="AC37" s="6"/>
      <c r="AD37" s="22"/>
      <c r="AE37" s="22"/>
      <c r="AF37" s="22"/>
      <c r="AG37" s="9"/>
      <c r="AH37" s="9"/>
      <c r="AI37" s="9"/>
      <c r="AJ37" s="9"/>
      <c r="AK37" s="9"/>
      <c r="AL37" s="9"/>
    </row>
    <row r="38" spans="5:38" ht="14.25" customHeight="1" x14ac:dyDescent="0.2">
      <c r="E38" s="6"/>
      <c r="F38" s="6"/>
      <c r="G38" s="6"/>
      <c r="H38" s="6"/>
      <c r="I38" s="26"/>
      <c r="J38" s="6"/>
      <c r="K38" s="6"/>
      <c r="L38" s="6">
        <f t="shared" si="2"/>
        <v>1.0478477077491799</v>
      </c>
      <c r="M38" s="1">
        <v>34</v>
      </c>
      <c r="N38" s="6">
        <f>VLOOKUP($N$2,角色品星!$C$16:$D$20,2,0)*VLOOKUP($N$3,角色品星!$C$3:$E$14,3,0)*V38</f>
        <v>938.09785163133529</v>
      </c>
      <c r="O38" s="6">
        <f>VLOOKUP($N$2,角色品星!$C$16:$D$20,2,0)*VLOOKUP($N$3,角色品星!$C$3:$E$14,3,0)*W38</f>
        <v>19659.673669526495</v>
      </c>
      <c r="P38" s="6">
        <f>VLOOKUP($N$2,角色品星!$C$16:$D$20,2,0)*VLOOKUP($N$3,角色品星!$C$3:$E$14,3,0)*X38</f>
        <v>18761.957032626702</v>
      </c>
      <c r="Q38" s="24">
        <f t="shared" si="3"/>
        <v>0.05</v>
      </c>
      <c r="R38" s="24">
        <f t="shared" si="4"/>
        <v>1.5</v>
      </c>
      <c r="S38" s="24">
        <f t="shared" si="5"/>
        <v>0.9</v>
      </c>
      <c r="T38" s="42">
        <f>N38*(1+Q38*(R38-1))*S38*战斗公式!$E$39+(P38*战斗公式!$E$40+1)*O38*战斗公式!$E$41</f>
        <v>44983.094899405347</v>
      </c>
      <c r="U38" s="42">
        <f t="shared" si="6"/>
        <v>2249.154744970263</v>
      </c>
      <c r="V38" s="6">
        <f>VLOOKUP($N$1,$D$4:$J$15,MATCH(F$4,$D$4:$J$4,0),0)*角色成长!E51*角色成长!$L$15*AB38/AA38/(1+$Y$2*($Z$2-1))</f>
        <v>938.09785163133529</v>
      </c>
      <c r="W38" s="6">
        <f>VLOOKUP($N$1,$D$4:$J$15,MATCH(G$4,$D$4:$J$4,0),0)*角色成长!F51*角色成长!$L$15/(1+X38/角色成长!$N$16)</f>
        <v>19659.673669526495</v>
      </c>
      <c r="X38" s="6">
        <f>VLOOKUP($N$1,$D$4:$J$15,MATCH(H$4,$D$4:$J$4,0),0)*角色成长!G51*角色成长!$L$15</f>
        <v>18761.957032626702</v>
      </c>
      <c r="Y38" s="1">
        <v>0.05</v>
      </c>
      <c r="Z38" s="1">
        <v>1.5</v>
      </c>
      <c r="AA38" s="1">
        <f>VLOOKUP($N$1,$D$4:$J$15,MATCH(I$4,$D$4:$J$4,0),0)*角色成长!J51</f>
        <v>0.9</v>
      </c>
      <c r="AB38" s="1">
        <f t="shared" si="7"/>
        <v>0.75</v>
      </c>
      <c r="AC38" s="6"/>
      <c r="AD38" s="22"/>
      <c r="AE38" s="22"/>
      <c r="AF38" s="22"/>
      <c r="AG38" s="9"/>
      <c r="AH38" s="9"/>
      <c r="AI38" s="9"/>
      <c r="AJ38" s="9"/>
      <c r="AK38" s="9"/>
      <c r="AL38" s="9"/>
    </row>
    <row r="39" spans="5:38" ht="14.25" customHeight="1" x14ac:dyDescent="0.2">
      <c r="E39" s="6"/>
      <c r="F39" s="6"/>
      <c r="G39" s="6"/>
      <c r="H39" s="6"/>
      <c r="I39" s="26"/>
      <c r="J39" s="6"/>
      <c r="K39" s="6"/>
      <c r="L39" s="6">
        <f t="shared" si="2"/>
        <v>1.0396356506667765</v>
      </c>
      <c r="M39" s="1">
        <v>35</v>
      </c>
      <c r="N39" s="6">
        <f>VLOOKUP($N$2,角色品星!$C$16:$D$20,2,0)*VLOOKUP($N$3,角色品星!$C$3:$E$14,3,0)*V39</f>
        <v>985.0027442129018</v>
      </c>
      <c r="O39" s="6">
        <f>VLOOKUP($N$2,角色品星!$C$16:$D$20,2,0)*VLOOKUP($N$3,角色品星!$C$3:$E$14,3,0)*W39</f>
        <v>20480.879377766814</v>
      </c>
      <c r="P39" s="6">
        <f>VLOOKUP($N$2,角色品星!$C$16:$D$20,2,0)*VLOOKUP($N$3,角色品星!$C$3:$E$14,3,0)*X39</f>
        <v>19700.054884258036</v>
      </c>
      <c r="Q39" s="24">
        <f t="shared" si="3"/>
        <v>0.05</v>
      </c>
      <c r="R39" s="24">
        <f t="shared" si="4"/>
        <v>1.5</v>
      </c>
      <c r="S39" s="24">
        <f t="shared" si="5"/>
        <v>0.9</v>
      </c>
      <c r="T39" s="42">
        <f>N39*(1+Q39*(R39-1))*S39*战斗公式!$E$39+(P39*战斗公式!$E$40+1)*O39*战斗公式!$E$41</f>
        <v>47232.24964437561</v>
      </c>
      <c r="U39" s="42">
        <f t="shared" si="6"/>
        <v>2361.6124822187849</v>
      </c>
      <c r="V39" s="6">
        <f>VLOOKUP($N$1,$D$4:$J$15,MATCH(F$4,$D$4:$J$4,0),0)*角色成长!E52*角色成长!$L$15*AB39/AA39/(1+$Y$2*($Z$2-1))</f>
        <v>985.0027442129018</v>
      </c>
      <c r="W39" s="6">
        <f>VLOOKUP($N$1,$D$4:$J$15,MATCH(G$4,$D$4:$J$4,0),0)*角色成长!F52*角色成长!$L$15/(1+X39/角色成长!$N$16)</f>
        <v>20480.879377766814</v>
      </c>
      <c r="X39" s="6">
        <f>VLOOKUP($N$1,$D$4:$J$15,MATCH(H$4,$D$4:$J$4,0),0)*角色成长!G52*角色成长!$L$15</f>
        <v>19700.054884258036</v>
      </c>
      <c r="Y39" s="1">
        <v>0.05</v>
      </c>
      <c r="Z39" s="1">
        <v>1.5</v>
      </c>
      <c r="AA39" s="1">
        <f>VLOOKUP($N$1,$D$4:$J$15,MATCH(I$4,$D$4:$J$4,0),0)*角色成长!J52</f>
        <v>0.9</v>
      </c>
      <c r="AB39" s="1">
        <f t="shared" si="7"/>
        <v>0.75</v>
      </c>
      <c r="AC39" s="6"/>
      <c r="AD39" s="22"/>
      <c r="AE39" s="22"/>
      <c r="AF39" s="22"/>
      <c r="AG39" s="9"/>
      <c r="AH39" s="9"/>
      <c r="AI39" s="9"/>
      <c r="AJ39" s="9"/>
      <c r="AK39" s="9"/>
      <c r="AL39" s="9"/>
    </row>
    <row r="40" spans="5:38" ht="14.25" customHeight="1" x14ac:dyDescent="0.2">
      <c r="E40" s="6"/>
      <c r="F40" s="6"/>
      <c r="G40" s="6"/>
      <c r="H40" s="6"/>
      <c r="I40" s="26"/>
      <c r="J40" s="6"/>
      <c r="K40" s="6"/>
      <c r="L40" s="6">
        <f t="shared" si="2"/>
        <v>1.0311503916876503</v>
      </c>
      <c r="M40" s="1">
        <v>36</v>
      </c>
      <c r="N40" s="6">
        <f>VLOOKUP($N$2,角色品星!$C$16:$D$20,2,0)*VLOOKUP($N$3,角色品星!$C$3:$E$14,3,0)*V40</f>
        <v>1034.2528814235473</v>
      </c>
      <c r="O40" s="6">
        <f>VLOOKUP($N$2,角色品星!$C$16:$D$20,2,0)*VLOOKUP($N$3,角色品星!$C$3:$E$14,3,0)*W40</f>
        <v>21329.405275679426</v>
      </c>
      <c r="P40" s="6">
        <f>VLOOKUP($N$2,角色品星!$C$16:$D$20,2,0)*VLOOKUP($N$3,角色品星!$C$3:$E$14,3,0)*X40</f>
        <v>20685.057628470939</v>
      </c>
      <c r="Q40" s="24">
        <f t="shared" si="3"/>
        <v>0.05</v>
      </c>
      <c r="R40" s="24">
        <f t="shared" si="4"/>
        <v>1.5</v>
      </c>
      <c r="S40" s="24">
        <f t="shared" si="5"/>
        <v>0.9</v>
      </c>
      <c r="T40" s="42">
        <f>N40*(1+Q40*(R40-1))*S40*战斗公式!$E$39+(P40*战斗公式!$E$40+1)*O40*战斗公式!$E$41</f>
        <v>49593.862126594395</v>
      </c>
      <c r="U40" s="42">
        <f t="shared" si="6"/>
        <v>2479.6931063297088</v>
      </c>
      <c r="V40" s="6">
        <f>VLOOKUP($N$1,$D$4:$J$15,MATCH(F$4,$D$4:$J$4,0),0)*角色成长!E53*角色成长!$L$15*AB40/AA40/(1+$Y$2*($Z$2-1))</f>
        <v>1034.2528814235473</v>
      </c>
      <c r="W40" s="6">
        <f>VLOOKUP($N$1,$D$4:$J$15,MATCH(G$4,$D$4:$J$4,0),0)*角色成长!F53*角色成长!$L$15/(1+X40/角色成长!$N$16)</f>
        <v>21329.405275679426</v>
      </c>
      <c r="X40" s="6">
        <f>VLOOKUP($N$1,$D$4:$J$15,MATCH(H$4,$D$4:$J$4,0),0)*角色成长!G53*角色成长!$L$15</f>
        <v>20685.057628470939</v>
      </c>
      <c r="Y40" s="1">
        <v>0.05</v>
      </c>
      <c r="Z40" s="1">
        <v>1.5</v>
      </c>
      <c r="AA40" s="1">
        <f>VLOOKUP($N$1,$D$4:$J$15,MATCH(I$4,$D$4:$J$4,0),0)*角色成长!J53</f>
        <v>0.9</v>
      </c>
      <c r="AB40" s="1">
        <f t="shared" si="7"/>
        <v>0.75</v>
      </c>
      <c r="AC40" s="6"/>
      <c r="AD40" s="22"/>
      <c r="AE40" s="22"/>
      <c r="AF40" s="22"/>
      <c r="AG40" s="9"/>
      <c r="AH40" s="9"/>
      <c r="AI40" s="9"/>
      <c r="AJ40" s="9"/>
      <c r="AK40" s="9"/>
      <c r="AL40" s="9"/>
    </row>
    <row r="41" spans="5:38" ht="14.25" customHeight="1" x14ac:dyDescent="0.2">
      <c r="E41" s="6"/>
      <c r="F41" s="6"/>
      <c r="G41" s="6"/>
      <c r="H41" s="6"/>
      <c r="I41" s="26"/>
      <c r="J41" s="6"/>
      <c r="K41" s="6"/>
      <c r="L41" s="6">
        <f t="shared" si="2"/>
        <v>1.0223886737702843</v>
      </c>
      <c r="M41" s="1">
        <v>37</v>
      </c>
      <c r="N41" s="6">
        <f>VLOOKUP($N$2,角色品星!$C$16:$D$20,2,0)*VLOOKUP($N$3,角色品星!$C$3:$E$14,3,0)*V41</f>
        <v>1085.9655254947243</v>
      </c>
      <c r="O41" s="6">
        <f>VLOOKUP($N$2,角色品星!$C$16:$D$20,2,0)*VLOOKUP($N$3,角色品星!$C$3:$E$14,3,0)*W41</f>
        <v>22205.577067416019</v>
      </c>
      <c r="P41" s="6">
        <f>VLOOKUP($N$2,角色品星!$C$16:$D$20,2,0)*VLOOKUP($N$3,角色品星!$C$3:$E$14,3,0)*X41</f>
        <v>21719.310509894483</v>
      </c>
      <c r="Q41" s="24">
        <f t="shared" si="3"/>
        <v>0.05</v>
      </c>
      <c r="R41" s="24">
        <f t="shared" si="4"/>
        <v>1.5</v>
      </c>
      <c r="S41" s="24">
        <f t="shared" si="5"/>
        <v>0.9</v>
      </c>
      <c r="T41" s="42">
        <f>N41*(1+Q41*(R41-1))*S41*战斗公式!$E$39+(P41*战斗公式!$E$40+1)*O41*战斗公式!$E$41</f>
        <v>52073.555232924104</v>
      </c>
      <c r="U41" s="42">
        <f t="shared" si="6"/>
        <v>2603.6777616462132</v>
      </c>
      <c r="V41" s="6">
        <f>VLOOKUP($N$1,$D$4:$J$15,MATCH(F$4,$D$4:$J$4,0),0)*角色成长!E54*角色成长!$L$15*AB41/AA41/(1+$Y$2*($Z$2-1))</f>
        <v>1085.9655254947243</v>
      </c>
      <c r="W41" s="6">
        <f>VLOOKUP($N$1,$D$4:$J$15,MATCH(G$4,$D$4:$J$4,0),0)*角色成长!F54*角色成长!$L$15/(1+X41/角色成长!$N$16)</f>
        <v>22205.577067416019</v>
      </c>
      <c r="X41" s="6">
        <f>VLOOKUP($N$1,$D$4:$J$15,MATCH(H$4,$D$4:$J$4,0),0)*角色成长!G54*角色成长!$L$15</f>
        <v>21719.310509894483</v>
      </c>
      <c r="Y41" s="1">
        <v>0.05</v>
      </c>
      <c r="Z41" s="1">
        <v>1.5</v>
      </c>
      <c r="AA41" s="1">
        <f>VLOOKUP($N$1,$D$4:$J$15,MATCH(I$4,$D$4:$J$4,0),0)*角色成长!J54</f>
        <v>0.9</v>
      </c>
      <c r="AB41" s="1">
        <f t="shared" si="7"/>
        <v>0.75</v>
      </c>
      <c r="AC41" s="6"/>
      <c r="AD41" s="22"/>
      <c r="AE41" s="22"/>
      <c r="AF41" s="22"/>
      <c r="AG41" s="9"/>
      <c r="AH41" s="9"/>
      <c r="AI41" s="9"/>
      <c r="AJ41" s="9"/>
      <c r="AK41" s="9"/>
      <c r="AL41" s="9"/>
    </row>
    <row r="42" spans="5:38" ht="14.25" customHeight="1" x14ac:dyDescent="0.2">
      <c r="E42" s="6"/>
      <c r="F42" s="6"/>
      <c r="G42" s="6"/>
      <c r="H42" s="6"/>
      <c r="I42" s="26"/>
      <c r="J42" s="6"/>
      <c r="K42" s="6"/>
      <c r="L42" s="6">
        <f t="shared" si="2"/>
        <v>1.0133477034698646</v>
      </c>
      <c r="M42" s="1">
        <v>38</v>
      </c>
      <c r="N42" s="6">
        <f>VLOOKUP($N$2,角色品星!$C$16:$D$20,2,0)*VLOOKUP($N$3,角色品星!$C$3:$E$14,3,0)*V42</f>
        <v>1140.2638017694605</v>
      </c>
      <c r="O42" s="6">
        <f>VLOOKUP($N$2,角色品星!$C$16:$D$20,2,0)*VLOOKUP($N$3,角色品星!$C$3:$E$14,3,0)*W42</f>
        <v>23109.674097457995</v>
      </c>
      <c r="P42" s="6">
        <f>VLOOKUP($N$2,角色品星!$C$16:$D$20,2,0)*VLOOKUP($N$3,角色品星!$C$3:$E$14,3,0)*X42</f>
        <v>22805.276035389212</v>
      </c>
      <c r="Q42" s="24">
        <f t="shared" si="3"/>
        <v>0.05</v>
      </c>
      <c r="R42" s="24">
        <f t="shared" si="4"/>
        <v>1.5</v>
      </c>
      <c r="S42" s="24">
        <f t="shared" si="5"/>
        <v>0.9</v>
      </c>
      <c r="T42" s="42">
        <f>N42*(1+Q42*(R42-1))*S42*战斗公式!$E$39+(P42*战斗公式!$E$40+1)*O42*战斗公式!$E$41</f>
        <v>54677.232994570317</v>
      </c>
      <c r="U42" s="42">
        <f t="shared" si="6"/>
        <v>2733.8616497285038</v>
      </c>
      <c r="V42" s="6">
        <f>VLOOKUP($N$1,$D$4:$J$15,MATCH(F$4,$D$4:$J$4,0),0)*角色成长!E55*角色成长!$L$15*AB42/AA42/(1+$Y$2*($Z$2-1))</f>
        <v>1140.2638017694605</v>
      </c>
      <c r="W42" s="6">
        <f>VLOOKUP($N$1,$D$4:$J$15,MATCH(G$4,$D$4:$J$4,0),0)*角色成长!F55*角色成长!$L$15/(1+X42/角色成长!$N$16)</f>
        <v>23109.674097457995</v>
      </c>
      <c r="X42" s="6">
        <f>VLOOKUP($N$1,$D$4:$J$15,MATCH(H$4,$D$4:$J$4,0),0)*角色成长!G55*角色成长!$L$15</f>
        <v>22805.276035389212</v>
      </c>
      <c r="Y42" s="1">
        <v>0.05</v>
      </c>
      <c r="Z42" s="1">
        <v>1.5</v>
      </c>
      <c r="AA42" s="1">
        <f>VLOOKUP($N$1,$D$4:$J$15,MATCH(I$4,$D$4:$J$4,0),0)*角色成长!J55</f>
        <v>0.9</v>
      </c>
      <c r="AB42" s="1">
        <f t="shared" si="7"/>
        <v>0.75</v>
      </c>
      <c r="AC42" s="6"/>
      <c r="AD42" s="22"/>
      <c r="AE42" s="22"/>
      <c r="AF42" s="22"/>
      <c r="AG42" s="9"/>
      <c r="AH42" s="9"/>
      <c r="AI42" s="9"/>
      <c r="AJ42" s="9"/>
      <c r="AK42" s="9"/>
      <c r="AL42" s="9"/>
    </row>
    <row r="43" spans="5:38" ht="14.25" customHeight="1" x14ac:dyDescent="0.2">
      <c r="E43" s="6"/>
      <c r="F43" s="6"/>
      <c r="G43" s="6"/>
      <c r="H43" s="6"/>
      <c r="I43" s="26"/>
      <c r="J43" s="6"/>
      <c r="K43" s="6"/>
      <c r="L43" s="6">
        <f t="shared" si="2"/>
        <v>1.0040251920959906</v>
      </c>
      <c r="M43" s="1">
        <v>39</v>
      </c>
      <c r="N43" s="6">
        <f>VLOOKUP($N$2,角色品星!$C$16:$D$20,2,0)*VLOOKUP($N$3,角色品星!$C$3:$E$14,3,0)*V43</f>
        <v>1197.2769918579334</v>
      </c>
      <c r="O43" s="6">
        <f>VLOOKUP($N$2,角色品星!$C$16:$D$20,2,0)*VLOOKUP($N$3,角色品星!$C$3:$E$14,3,0)*W43</f>
        <v>24041.925234845425</v>
      </c>
      <c r="P43" s="6">
        <f>VLOOKUP($N$2,角色品星!$C$16:$D$20,2,0)*VLOOKUP($N$3,角色品星!$C$3:$E$14,3,0)*X43</f>
        <v>23945.539837158667</v>
      </c>
      <c r="Q43" s="24">
        <f t="shared" si="3"/>
        <v>0.05</v>
      </c>
      <c r="R43" s="24">
        <f t="shared" si="4"/>
        <v>1.5</v>
      </c>
      <c r="S43" s="24">
        <f t="shared" si="5"/>
        <v>0.9</v>
      </c>
      <c r="T43" s="42">
        <f>N43*(1+Q43*(R43-1))*S43*战斗公式!$E$39+(P43*战斗公式!$E$40+1)*O43*战斗公式!$E$41</f>
        <v>57411.094644298821</v>
      </c>
      <c r="U43" s="42">
        <f t="shared" si="6"/>
        <v>2870.5547322149505</v>
      </c>
      <c r="V43" s="6">
        <f>VLOOKUP($N$1,$D$4:$J$15,MATCH(F$4,$D$4:$J$4,0),0)*角色成长!E56*角色成长!$L$15*AB43/AA43/(1+$Y$2*($Z$2-1))</f>
        <v>1197.2769918579334</v>
      </c>
      <c r="W43" s="6">
        <f>VLOOKUP($N$1,$D$4:$J$15,MATCH(G$4,$D$4:$J$4,0),0)*角色成长!F56*角色成长!$L$15/(1+X43/角色成长!$N$16)</f>
        <v>24041.925234845425</v>
      </c>
      <c r="X43" s="6">
        <f>VLOOKUP($N$1,$D$4:$J$15,MATCH(H$4,$D$4:$J$4,0),0)*角色成长!G56*角色成长!$L$15</f>
        <v>23945.539837158667</v>
      </c>
      <c r="Y43" s="1">
        <v>0.05</v>
      </c>
      <c r="Z43" s="1">
        <v>1.5</v>
      </c>
      <c r="AA43" s="1">
        <f>VLOOKUP($N$1,$D$4:$J$15,MATCH(I$4,$D$4:$J$4,0),0)*角色成长!J56</f>
        <v>0.9</v>
      </c>
      <c r="AB43" s="1">
        <f t="shared" si="7"/>
        <v>0.75</v>
      </c>
      <c r="AC43" s="6"/>
      <c r="AD43" s="22"/>
      <c r="AE43" s="22"/>
      <c r="AF43" s="22"/>
      <c r="AG43" s="9"/>
      <c r="AH43" s="9"/>
      <c r="AI43" s="9"/>
      <c r="AJ43" s="9"/>
      <c r="AK43" s="9"/>
      <c r="AL43" s="9"/>
    </row>
    <row r="44" spans="5:38" ht="14.25" customHeight="1" x14ac:dyDescent="0.2">
      <c r="E44" s="6"/>
      <c r="F44" s="6"/>
      <c r="G44" s="6"/>
      <c r="H44" s="6"/>
      <c r="I44" s="26"/>
      <c r="J44" s="6"/>
      <c r="K44" s="6"/>
      <c r="L44" s="6">
        <f t="shared" si="2"/>
        <v>0.99441939695566939</v>
      </c>
      <c r="M44" s="1">
        <v>40</v>
      </c>
      <c r="N44" s="6">
        <f>VLOOKUP($N$2,角色品星!$C$16:$D$20,2,0)*VLOOKUP($N$3,角色品星!$C$3:$E$14,3,0)*V44</f>
        <v>1257.1408414508303</v>
      </c>
      <c r="O44" s="6">
        <f>VLOOKUP($N$2,角色品星!$C$16:$D$20,2,0)*VLOOKUP($N$3,角色品星!$C$3:$E$14,3,0)*W44</f>
        <v>25002.504748877545</v>
      </c>
      <c r="P44" s="6">
        <f>VLOOKUP($N$2,角色品星!$C$16:$D$20,2,0)*VLOOKUP($N$3,角色品星!$C$3:$E$14,3,0)*X44</f>
        <v>25142.816829016603</v>
      </c>
      <c r="Q44" s="24">
        <f t="shared" si="3"/>
        <v>0.05</v>
      </c>
      <c r="R44" s="24">
        <f t="shared" si="4"/>
        <v>1.5</v>
      </c>
      <c r="S44" s="24">
        <f t="shared" si="5"/>
        <v>0.9</v>
      </c>
      <c r="T44" s="42">
        <f>N44*(1+Q44*(R44-1))*S44*战斗公式!$E$39+(P44*战斗公式!$E$40+1)*O44*战斗公式!$E$41</f>
        <v>60281.649376513771</v>
      </c>
      <c r="U44" s="42">
        <f t="shared" si="6"/>
        <v>3014.0824688256835</v>
      </c>
      <c r="V44" s="6">
        <f>VLOOKUP($N$1,$D$4:$J$15,MATCH(F$4,$D$4:$J$4,0),0)*角色成长!E57*角色成长!$L$15*AB44/AA44/(1+$Y$2*($Z$2-1))</f>
        <v>1257.1408414508303</v>
      </c>
      <c r="W44" s="6">
        <f>VLOOKUP($N$1,$D$4:$J$15,MATCH(G$4,$D$4:$J$4,0),0)*角色成长!F57*角色成长!$L$15/(1+X44/角色成长!$N$16)</f>
        <v>25002.504748877545</v>
      </c>
      <c r="X44" s="6">
        <f>VLOOKUP($N$1,$D$4:$J$15,MATCH(H$4,$D$4:$J$4,0),0)*角色成长!G57*角色成长!$L$15</f>
        <v>25142.816829016603</v>
      </c>
      <c r="Y44" s="1">
        <v>0.05</v>
      </c>
      <c r="Z44" s="1">
        <v>1.5</v>
      </c>
      <c r="AA44" s="1">
        <f>VLOOKUP($N$1,$D$4:$J$15,MATCH(I$4,$D$4:$J$4,0),0)*角色成长!J57</f>
        <v>0.9</v>
      </c>
      <c r="AB44" s="1">
        <f t="shared" si="7"/>
        <v>0.75</v>
      </c>
      <c r="AC44" s="6"/>
      <c r="AD44" s="22"/>
      <c r="AE44" s="22"/>
      <c r="AF44" s="22"/>
      <c r="AG44" s="9"/>
      <c r="AH44" s="9"/>
      <c r="AI44" s="9"/>
      <c r="AJ44" s="9"/>
      <c r="AK44" s="9"/>
      <c r="AL44" s="9"/>
    </row>
    <row r="45" spans="5:38" ht="14.25" customHeight="1" x14ac:dyDescent="0.2">
      <c r="E45" s="6"/>
      <c r="F45" s="6"/>
      <c r="G45" s="6"/>
      <c r="H45" s="6"/>
      <c r="I45" s="26"/>
      <c r="J45" s="6"/>
      <c r="K45" s="6"/>
      <c r="L45" s="6">
        <f t="shared" si="2"/>
        <v>0.98452916233468102</v>
      </c>
      <c r="M45" s="1">
        <v>41</v>
      </c>
      <c r="N45" s="6">
        <f>VLOOKUP($N$2,角色品星!$C$16:$D$20,2,0)*VLOOKUP($N$3,角色品星!$C$3:$E$14,3,0)*V45</f>
        <v>1319.9978835233717</v>
      </c>
      <c r="O45" s="6">
        <f>VLOOKUP($N$2,角色品星!$C$16:$D$20,2,0)*VLOOKUP($N$3,角色品星!$C$3:$E$14,3,0)*W45</f>
        <v>25991.528210976339</v>
      </c>
      <c r="P45" s="6">
        <f>VLOOKUP($N$2,角色品星!$C$16:$D$20,2,0)*VLOOKUP($N$3,角色品星!$C$3:$E$14,3,0)*X45</f>
        <v>26399.957670467433</v>
      </c>
      <c r="Q45" s="24">
        <f t="shared" si="3"/>
        <v>0.05</v>
      </c>
      <c r="R45" s="24">
        <f t="shared" si="4"/>
        <v>1.5</v>
      </c>
      <c r="S45" s="24">
        <f t="shared" si="5"/>
        <v>0.9</v>
      </c>
      <c r="T45" s="42">
        <f>N45*(1+Q45*(R45-1))*S45*战斗公式!$E$39+(P45*战斗公式!$E$40+1)*O45*战斗公式!$E$41</f>
        <v>63295.731845339455</v>
      </c>
      <c r="U45" s="42">
        <f t="shared" si="6"/>
        <v>3164.7865922669735</v>
      </c>
      <c r="V45" s="6">
        <f>VLOOKUP($N$1,$D$4:$J$15,MATCH(F$4,$D$4:$J$4,0),0)*角色成长!E58*角色成长!$L$15*AB45/AA45/(1+$Y$2*($Z$2-1))</f>
        <v>1319.9978835233717</v>
      </c>
      <c r="W45" s="6">
        <f>VLOOKUP($N$1,$D$4:$J$15,MATCH(G$4,$D$4:$J$4,0),0)*角色成长!F58*角色成长!$L$15/(1+X45/角色成长!$N$16)</f>
        <v>25991.528210976339</v>
      </c>
      <c r="X45" s="6">
        <f>VLOOKUP($N$1,$D$4:$J$15,MATCH(H$4,$D$4:$J$4,0),0)*角色成长!G58*角色成长!$L$15</f>
        <v>26399.957670467433</v>
      </c>
      <c r="Y45" s="1">
        <v>0.05</v>
      </c>
      <c r="Z45" s="1">
        <v>1.5</v>
      </c>
      <c r="AA45" s="1">
        <f>VLOOKUP($N$1,$D$4:$J$15,MATCH(I$4,$D$4:$J$4,0),0)*角色成长!J58</f>
        <v>0.9</v>
      </c>
      <c r="AB45" s="1">
        <f t="shared" si="7"/>
        <v>0.75</v>
      </c>
      <c r="AC45" s="6"/>
      <c r="AD45" s="22"/>
      <c r="AE45" s="22"/>
      <c r="AF45" s="22"/>
      <c r="AG45" s="9"/>
      <c r="AH45" s="9"/>
      <c r="AI45" s="9"/>
      <c r="AJ45" s="9"/>
      <c r="AK45" s="9"/>
      <c r="AL45" s="9"/>
    </row>
    <row r="46" spans="5:38" ht="14.25" customHeight="1" x14ac:dyDescent="0.2">
      <c r="E46" s="6"/>
      <c r="F46" s="6"/>
      <c r="G46" s="6"/>
      <c r="H46" s="6"/>
      <c r="I46" s="26"/>
      <c r="J46" s="6"/>
      <c r="K46" s="6"/>
      <c r="L46" s="6">
        <f t="shared" si="2"/>
        <v>0.97435395983862749</v>
      </c>
      <c r="M46" s="1">
        <v>42</v>
      </c>
      <c r="N46" s="6">
        <f>VLOOKUP($N$2,角色品星!$C$16:$D$20,2,0)*VLOOKUP($N$3,角色品星!$C$3:$E$14,3,0)*V46</f>
        <v>1385.9977776995404</v>
      </c>
      <c r="O46" s="6">
        <f>VLOOKUP($N$2,角色品星!$C$16:$D$20,2,0)*VLOOKUP($N$3,角色品星!$C$3:$E$14,3,0)*W46</f>
        <v>27009.048460581696</v>
      </c>
      <c r="P46" s="6">
        <f>VLOOKUP($N$2,角色品星!$C$16:$D$20,2,0)*VLOOKUP($N$3,角色品星!$C$3:$E$14,3,0)*X46</f>
        <v>27719.955553990807</v>
      </c>
      <c r="Q46" s="24">
        <f t="shared" si="3"/>
        <v>0.05</v>
      </c>
      <c r="R46" s="24">
        <f t="shared" si="4"/>
        <v>1.5</v>
      </c>
      <c r="S46" s="24">
        <f t="shared" si="5"/>
        <v>0.9</v>
      </c>
      <c r="T46" s="42">
        <f>N46*(1+Q46*(R46-1))*S46*战斗公式!$E$39+(P46*战斗公式!$E$40+1)*O46*战斗公式!$E$41</f>
        <v>66460.518437606428</v>
      </c>
      <c r="U46" s="42">
        <f t="shared" si="6"/>
        <v>3323.0259218803258</v>
      </c>
      <c r="V46" s="6">
        <f>VLOOKUP($N$1,$D$4:$J$15,MATCH(F$4,$D$4:$J$4,0),0)*角色成长!E59*角色成长!$L$15*AB46/AA46/(1+$Y$2*($Z$2-1))</f>
        <v>1385.9977776995404</v>
      </c>
      <c r="W46" s="6">
        <f>VLOOKUP($N$1,$D$4:$J$15,MATCH(G$4,$D$4:$J$4,0),0)*角色成长!F59*角色成长!$L$15/(1+X46/角色成长!$N$16)</f>
        <v>27009.048460581696</v>
      </c>
      <c r="X46" s="6">
        <f>VLOOKUP($N$1,$D$4:$J$15,MATCH(H$4,$D$4:$J$4,0),0)*角色成长!G59*角色成长!$L$15</f>
        <v>27719.955553990807</v>
      </c>
      <c r="Y46" s="1">
        <v>0.05</v>
      </c>
      <c r="Z46" s="1">
        <v>1.5</v>
      </c>
      <c r="AA46" s="1">
        <f>VLOOKUP($N$1,$D$4:$J$15,MATCH(I$4,$D$4:$J$4,0),0)*角色成长!J59</f>
        <v>0.9</v>
      </c>
      <c r="AB46" s="1">
        <f t="shared" si="7"/>
        <v>0.75</v>
      </c>
      <c r="AC46" s="6"/>
      <c r="AD46" s="22"/>
      <c r="AE46" s="22"/>
      <c r="AF46" s="22"/>
      <c r="AG46" s="9"/>
      <c r="AH46" s="9"/>
      <c r="AI46" s="9"/>
      <c r="AJ46" s="9"/>
      <c r="AK46" s="9"/>
      <c r="AL46" s="9"/>
    </row>
    <row r="47" spans="5:38" ht="14.25" customHeight="1" x14ac:dyDescent="0.2">
      <c r="E47" s="6"/>
      <c r="F47" s="6"/>
      <c r="G47" s="6"/>
      <c r="H47" s="6"/>
      <c r="I47" s="26"/>
      <c r="J47" s="6"/>
      <c r="K47" s="6"/>
      <c r="L47" s="6">
        <f t="shared" si="2"/>
        <v>0.96389392768534954</v>
      </c>
      <c r="M47" s="1">
        <v>43</v>
      </c>
      <c r="N47" s="6">
        <f>VLOOKUP($N$2,角色品星!$C$16:$D$20,2,0)*VLOOKUP($N$3,角色品星!$C$3:$E$14,3,0)*V47</f>
        <v>1455.2976665845174</v>
      </c>
      <c r="O47" s="6">
        <f>VLOOKUP($N$2,角色品星!$C$16:$D$20,2,0)*VLOOKUP($N$3,角色品星!$C$3:$E$14,3,0)*W47</f>
        <v>28055.051675909493</v>
      </c>
      <c r="P47" s="6">
        <f>VLOOKUP($N$2,角色品星!$C$16:$D$20,2,0)*VLOOKUP($N$3,角色品星!$C$3:$E$14,3,0)*X47</f>
        <v>29105.953331690347</v>
      </c>
      <c r="Q47" s="24">
        <f t="shared" si="3"/>
        <v>0.05</v>
      </c>
      <c r="R47" s="24">
        <f t="shared" si="4"/>
        <v>1.5</v>
      </c>
      <c r="S47" s="24">
        <f t="shared" si="5"/>
        <v>0.9</v>
      </c>
      <c r="T47" s="42">
        <f>N47*(1+Q47*(R47-1))*S47*战斗公式!$E$39+(P47*战斗公式!$E$40+1)*O47*战斗公式!$E$41</f>
        <v>69783.544359486754</v>
      </c>
      <c r="U47" s="42">
        <f t="shared" si="6"/>
        <v>3489.1772179743421</v>
      </c>
      <c r="V47" s="6">
        <f>VLOOKUP($N$1,$D$4:$J$15,MATCH(F$4,$D$4:$J$4,0),0)*角色成长!E60*角色成长!$L$15*AB47/AA47/(1+$Y$2*($Z$2-1))</f>
        <v>1455.2976665845174</v>
      </c>
      <c r="W47" s="6">
        <f>VLOOKUP($N$1,$D$4:$J$15,MATCH(G$4,$D$4:$J$4,0),0)*角色成长!F60*角色成长!$L$15/(1+X47/角色成长!$N$16)</f>
        <v>28055.051675909493</v>
      </c>
      <c r="X47" s="6">
        <f>VLOOKUP($N$1,$D$4:$J$15,MATCH(H$4,$D$4:$J$4,0),0)*角色成长!G60*角色成长!$L$15</f>
        <v>29105.953331690347</v>
      </c>
      <c r="Y47" s="1">
        <v>0.05</v>
      </c>
      <c r="Z47" s="1">
        <v>1.5</v>
      </c>
      <c r="AA47" s="1">
        <f>VLOOKUP($N$1,$D$4:$J$15,MATCH(I$4,$D$4:$J$4,0),0)*角色成长!J60</f>
        <v>0.9</v>
      </c>
      <c r="AB47" s="1">
        <f t="shared" si="7"/>
        <v>0.75</v>
      </c>
      <c r="AC47" s="6"/>
      <c r="AD47" s="22"/>
      <c r="AE47" s="22"/>
      <c r="AF47" s="22"/>
      <c r="AG47" s="9"/>
      <c r="AH47" s="9"/>
      <c r="AI47" s="9"/>
      <c r="AJ47" s="9"/>
      <c r="AK47" s="9"/>
      <c r="AL47" s="9"/>
    </row>
    <row r="48" spans="5:38" ht="14.25" customHeight="1" x14ac:dyDescent="0.2">
      <c r="E48" s="6"/>
      <c r="F48" s="6"/>
      <c r="G48" s="6"/>
      <c r="H48" s="6"/>
      <c r="I48" s="26"/>
      <c r="J48" s="6"/>
      <c r="K48" s="6"/>
      <c r="L48" s="6">
        <f t="shared" si="2"/>
        <v>0.95314990851373482</v>
      </c>
      <c r="M48" s="1">
        <v>44</v>
      </c>
      <c r="N48" s="6">
        <f>VLOOKUP($N$2,角色品星!$C$16:$D$20,2,0)*VLOOKUP($N$3,角色品星!$C$3:$E$14,3,0)*V48</f>
        <v>1528.0625499137432</v>
      </c>
      <c r="O48" s="6">
        <f>VLOOKUP($N$2,角色品星!$C$16:$D$20,2,0)*VLOOKUP($N$3,角色品星!$C$3:$E$14,3,0)*W48</f>
        <v>29129.453593070975</v>
      </c>
      <c r="P48" s="6">
        <f>VLOOKUP($N$2,角色品星!$C$16:$D$20,2,0)*VLOOKUP($N$3,角色品星!$C$3:$E$14,3,0)*X48</f>
        <v>30561.250998274867</v>
      </c>
      <c r="Q48" s="24">
        <f t="shared" si="3"/>
        <v>0.05</v>
      </c>
      <c r="R48" s="24">
        <f t="shared" si="4"/>
        <v>1.5</v>
      </c>
      <c r="S48" s="24">
        <f t="shared" si="5"/>
        <v>0.9</v>
      </c>
      <c r="T48" s="42">
        <f>N48*(1+Q48*(R48-1))*S48*战斗公式!$E$39+(P48*战斗公式!$E$40+1)*O48*战斗公式!$E$41</f>
        <v>73272.721577461096</v>
      </c>
      <c r="U48" s="42">
        <f t="shared" si="6"/>
        <v>3663.6360788730526</v>
      </c>
      <c r="V48" s="6">
        <f>VLOOKUP($N$1,$D$4:$J$15,MATCH(F$4,$D$4:$J$4,0),0)*角色成长!E61*角色成长!$L$15*AB48/AA48/(1+$Y$2*($Z$2-1))</f>
        <v>1528.0625499137432</v>
      </c>
      <c r="W48" s="6">
        <f>VLOOKUP($N$1,$D$4:$J$15,MATCH(G$4,$D$4:$J$4,0),0)*角色成长!F61*角色成长!$L$15/(1+X48/角色成长!$N$16)</f>
        <v>29129.453593070975</v>
      </c>
      <c r="X48" s="6">
        <f>VLOOKUP($N$1,$D$4:$J$15,MATCH(H$4,$D$4:$J$4,0),0)*角色成长!G61*角色成长!$L$15</f>
        <v>30561.250998274867</v>
      </c>
      <c r="Y48" s="1">
        <v>0.05</v>
      </c>
      <c r="Z48" s="1">
        <v>1.5</v>
      </c>
      <c r="AA48" s="1">
        <f>VLOOKUP($N$1,$D$4:$J$15,MATCH(I$4,$D$4:$J$4,0),0)*角色成长!J61</f>
        <v>0.9</v>
      </c>
      <c r="AB48" s="1">
        <f t="shared" si="7"/>
        <v>0.75</v>
      </c>
      <c r="AC48" s="6"/>
      <c r="AD48" s="22"/>
      <c r="AE48" s="22"/>
      <c r="AF48" s="22"/>
      <c r="AG48" s="9"/>
      <c r="AH48" s="9"/>
      <c r="AI48" s="9"/>
      <c r="AJ48" s="9"/>
      <c r="AK48" s="9"/>
      <c r="AL48" s="9"/>
    </row>
    <row r="49" spans="5:38" ht="14.25" customHeight="1" x14ac:dyDescent="0.2">
      <c r="E49" s="6"/>
      <c r="F49" s="6"/>
      <c r="G49" s="6"/>
      <c r="H49" s="6"/>
      <c r="I49" s="26"/>
      <c r="J49" s="6"/>
      <c r="K49" s="6"/>
      <c r="L49" s="6">
        <f t="shared" si="2"/>
        <v>0.94212348525109757</v>
      </c>
      <c r="M49" s="1">
        <v>45</v>
      </c>
      <c r="N49" s="6">
        <f>VLOOKUP($N$2,角色品星!$C$16:$D$20,2,0)*VLOOKUP($N$3,角色品星!$C$3:$E$14,3,0)*V49</f>
        <v>1604.4656774094303</v>
      </c>
      <c r="O49" s="6">
        <f>VLOOKUP($N$2,角色品星!$C$16:$D$20,2,0)*VLOOKUP($N$3,角色品星!$C$3:$E$14,3,0)*W49</f>
        <v>30232.095919334715</v>
      </c>
      <c r="P49" s="6">
        <f>VLOOKUP($N$2,角色品星!$C$16:$D$20,2,0)*VLOOKUP($N$3,角色品星!$C$3:$E$14,3,0)*X49</f>
        <v>32089.313548188609</v>
      </c>
      <c r="Q49" s="24">
        <f t="shared" si="3"/>
        <v>0.05</v>
      </c>
      <c r="R49" s="24">
        <f t="shared" si="4"/>
        <v>1.5</v>
      </c>
      <c r="S49" s="24">
        <f t="shared" si="5"/>
        <v>0.9</v>
      </c>
      <c r="T49" s="42">
        <f>N49*(1+Q49*(R49-1))*S49*战斗公式!$E$39+(P49*战斗公式!$E$40+1)*O49*战斗公式!$E$41</f>
        <v>76936.357656334148</v>
      </c>
      <c r="U49" s="42">
        <f t="shared" si="6"/>
        <v>3846.8178828167293</v>
      </c>
      <c r="V49" s="6">
        <f>VLOOKUP($N$1,$D$4:$J$15,MATCH(F$4,$D$4:$J$4,0),0)*角色成长!E62*角色成长!$L$15*AB49/AA49/(1+$Y$2*($Z$2-1))</f>
        <v>1604.4656774094303</v>
      </c>
      <c r="W49" s="6">
        <f>VLOOKUP($N$1,$D$4:$J$15,MATCH(G$4,$D$4:$J$4,0),0)*角色成长!F62*角色成长!$L$15/(1+X49/角色成长!$N$16)</f>
        <v>30232.095919334715</v>
      </c>
      <c r="X49" s="6">
        <f>VLOOKUP($N$1,$D$4:$J$15,MATCH(H$4,$D$4:$J$4,0),0)*角色成长!G62*角色成长!$L$15</f>
        <v>32089.313548188609</v>
      </c>
      <c r="Y49" s="1">
        <v>0.05</v>
      </c>
      <c r="Z49" s="1">
        <v>1.5</v>
      </c>
      <c r="AA49" s="1">
        <f>VLOOKUP($N$1,$D$4:$J$15,MATCH(I$4,$D$4:$J$4,0),0)*角色成长!J62</f>
        <v>0.9</v>
      </c>
      <c r="AB49" s="1">
        <f t="shared" si="7"/>
        <v>0.75</v>
      </c>
      <c r="AC49" s="6"/>
      <c r="AD49" s="22"/>
      <c r="AE49" s="22"/>
      <c r="AF49" s="22"/>
      <c r="AG49" s="9"/>
      <c r="AH49" s="9"/>
      <c r="AI49" s="9"/>
      <c r="AJ49" s="9"/>
      <c r="AK49" s="9"/>
      <c r="AL49" s="9"/>
    </row>
    <row r="50" spans="5:38" ht="14.25" customHeight="1" x14ac:dyDescent="0.2">
      <c r="E50" s="6"/>
      <c r="F50" s="6"/>
      <c r="G50" s="6"/>
      <c r="H50" s="6"/>
      <c r="I50" s="26"/>
      <c r="J50" s="6"/>
      <c r="K50" s="6"/>
      <c r="L50" s="6">
        <f t="shared" si="2"/>
        <v>0.93081701456321275</v>
      </c>
      <c r="M50" s="1">
        <v>46</v>
      </c>
      <c r="N50" s="6">
        <f>VLOOKUP($N$2,角色品星!$C$16:$D$20,2,0)*VLOOKUP($N$3,角色品星!$C$3:$E$14,3,0)*V50</f>
        <v>1684.6889612799025</v>
      </c>
      <c r="O50" s="6">
        <f>VLOOKUP($N$2,角色品星!$C$16:$D$20,2,0)*VLOOKUP($N$3,角色品星!$C$3:$E$14,3,0)*W50</f>
        <v>31362.742988123173</v>
      </c>
      <c r="P50" s="6">
        <f>VLOOKUP($N$2,角色品星!$C$16:$D$20,2,0)*VLOOKUP($N$3,角色品星!$C$3:$E$14,3,0)*X50</f>
        <v>33693.779225598046</v>
      </c>
      <c r="Q50" s="24">
        <f t="shared" si="3"/>
        <v>0.05</v>
      </c>
      <c r="R50" s="24">
        <f t="shared" si="4"/>
        <v>1.5</v>
      </c>
      <c r="S50" s="24">
        <f t="shared" si="5"/>
        <v>0.9</v>
      </c>
      <c r="T50" s="42">
        <f>N50*(1+Q50*(R50-1))*S50*战斗公式!$E$39+(P50*战斗公式!$E$40+1)*O50*战斗公式!$E$41</f>
        <v>80783.175539150878</v>
      </c>
      <c r="U50" s="42">
        <f t="shared" si="6"/>
        <v>4039.1587769575272</v>
      </c>
      <c r="V50" s="6">
        <f>VLOOKUP($N$1,$D$4:$J$15,MATCH(F$4,$D$4:$J$4,0),0)*角色成长!E63*角色成长!$L$15*AB50/AA50/(1+$Y$2*($Z$2-1))</f>
        <v>1684.6889612799025</v>
      </c>
      <c r="W50" s="6">
        <f>VLOOKUP($N$1,$D$4:$J$15,MATCH(G$4,$D$4:$J$4,0),0)*角色成长!F63*角色成长!$L$15/(1+X50/角色成长!$N$16)</f>
        <v>31362.742988123173</v>
      </c>
      <c r="X50" s="6">
        <f>VLOOKUP($N$1,$D$4:$J$15,MATCH(H$4,$D$4:$J$4,0),0)*角色成长!G63*角色成长!$L$15</f>
        <v>33693.779225598046</v>
      </c>
      <c r="Y50" s="1">
        <v>0.05</v>
      </c>
      <c r="Z50" s="1">
        <v>1.5</v>
      </c>
      <c r="AA50" s="1">
        <f>VLOOKUP($N$1,$D$4:$J$15,MATCH(I$4,$D$4:$J$4,0),0)*角色成长!J63</f>
        <v>0.9</v>
      </c>
      <c r="AB50" s="1">
        <f t="shared" si="7"/>
        <v>0.75</v>
      </c>
      <c r="AC50" s="6"/>
      <c r="AD50" s="22"/>
      <c r="AE50" s="22"/>
      <c r="AF50" s="22"/>
      <c r="AG50" s="9"/>
      <c r="AH50" s="9"/>
      <c r="AI50" s="9"/>
      <c r="AJ50" s="9"/>
      <c r="AK50" s="9"/>
      <c r="AL50" s="9"/>
    </row>
    <row r="51" spans="5:38" ht="14.25" customHeight="1" x14ac:dyDescent="0.2">
      <c r="E51" s="6"/>
      <c r="F51" s="6"/>
      <c r="G51" s="6"/>
      <c r="H51" s="6"/>
      <c r="I51" s="26"/>
      <c r="J51" s="6"/>
      <c r="K51" s="6"/>
      <c r="L51" s="6">
        <f t="shared" si="2"/>
        <v>0.91923365739860485</v>
      </c>
      <c r="M51" s="1">
        <v>47</v>
      </c>
      <c r="N51" s="6">
        <f>VLOOKUP($N$2,角色品星!$C$16:$D$20,2,0)*VLOOKUP($N$3,角色品星!$C$3:$E$14,3,0)*V51</f>
        <v>1768.9234093438972</v>
      </c>
      <c r="O51" s="6">
        <f>VLOOKUP($N$2,角色品星!$C$16:$D$20,2,0)*VLOOKUP($N$3,角色品星!$C$3:$E$14,3,0)*W51</f>
        <v>32521.078704583993</v>
      </c>
      <c r="P51" s="6">
        <f>VLOOKUP($N$2,角色品星!$C$16:$D$20,2,0)*VLOOKUP($N$3,角色品星!$C$3:$E$14,3,0)*X51</f>
        <v>35378.468186877937</v>
      </c>
      <c r="Q51" s="24">
        <f t="shared" si="3"/>
        <v>0.05</v>
      </c>
      <c r="R51" s="24">
        <f t="shared" si="4"/>
        <v>1.5</v>
      </c>
      <c r="S51" s="24">
        <f t="shared" si="5"/>
        <v>0.9</v>
      </c>
      <c r="T51" s="42">
        <f>N51*(1+Q51*(R51-1))*S51*战斗公式!$E$39+(P51*战斗公式!$E$40+1)*O51*战斗公式!$E$41</f>
        <v>84822.334316108405</v>
      </c>
      <c r="U51" s="42">
        <f t="shared" si="6"/>
        <v>4241.1167158054159</v>
      </c>
      <c r="V51" s="6">
        <f>VLOOKUP($N$1,$D$4:$J$15,MATCH(F$4,$D$4:$J$4,0),0)*角色成长!E64*角色成长!$L$15*AB51/AA51/(1+$Y$2*($Z$2-1))</f>
        <v>1768.9234093438972</v>
      </c>
      <c r="W51" s="6">
        <f>VLOOKUP($N$1,$D$4:$J$15,MATCH(G$4,$D$4:$J$4,0),0)*角色成长!F64*角色成长!$L$15/(1+X51/角色成长!$N$16)</f>
        <v>32521.078704583993</v>
      </c>
      <c r="X51" s="6">
        <f>VLOOKUP($N$1,$D$4:$J$15,MATCH(H$4,$D$4:$J$4,0),0)*角色成长!G64*角色成长!$L$15</f>
        <v>35378.468186877937</v>
      </c>
      <c r="Y51" s="1">
        <v>0.05</v>
      </c>
      <c r="Z51" s="1">
        <v>1.5</v>
      </c>
      <c r="AA51" s="1">
        <f>VLOOKUP($N$1,$D$4:$J$15,MATCH(I$4,$D$4:$J$4,0),0)*角色成长!J64</f>
        <v>0.9</v>
      </c>
      <c r="AB51" s="1">
        <f t="shared" si="7"/>
        <v>0.75</v>
      </c>
      <c r="AC51" s="6"/>
      <c r="AD51" s="22"/>
      <c r="AE51" s="22"/>
      <c r="AF51" s="22"/>
      <c r="AG51" s="9"/>
      <c r="AH51" s="9"/>
      <c r="AI51" s="9"/>
      <c r="AJ51" s="9"/>
      <c r="AK51" s="9"/>
      <c r="AL51" s="9"/>
    </row>
    <row r="52" spans="5:38" ht="14.25" customHeight="1" x14ac:dyDescent="0.2">
      <c r="E52" s="6"/>
      <c r="F52" s="6"/>
      <c r="G52" s="6"/>
      <c r="H52" s="6"/>
      <c r="I52" s="26"/>
      <c r="J52" s="6"/>
      <c r="K52" s="6"/>
      <c r="L52" s="6">
        <f t="shared" si="2"/>
        <v>0.9073774061326928</v>
      </c>
      <c r="M52" s="1">
        <v>48</v>
      </c>
      <c r="N52" s="6">
        <f>VLOOKUP($N$2,角色品星!$C$16:$D$20,2,0)*VLOOKUP($N$3,角色品星!$C$3:$E$14,3,0)*V52</f>
        <v>1857.3695798110919</v>
      </c>
      <c r="O52" s="6">
        <f>VLOOKUP($N$2,角色品星!$C$16:$D$20,2,0)*VLOOKUP($N$3,角色品星!$C$3:$E$14,3,0)*W52</f>
        <v>33706.703831175168</v>
      </c>
      <c r="P52" s="6">
        <f>VLOOKUP($N$2,角色品星!$C$16:$D$20,2,0)*VLOOKUP($N$3,角色品星!$C$3:$E$14,3,0)*X52</f>
        <v>37147.391596221845</v>
      </c>
      <c r="Q52" s="24">
        <f t="shared" si="3"/>
        <v>0.05</v>
      </c>
      <c r="R52" s="24">
        <f t="shared" si="4"/>
        <v>1.5</v>
      </c>
      <c r="S52" s="24">
        <f t="shared" si="5"/>
        <v>0.9</v>
      </c>
      <c r="T52" s="42">
        <f>N52*(1+Q52*(R52-1))*S52*战斗公式!$E$39+(P52*战斗公式!$E$40+1)*O52*战斗公式!$E$41</f>
        <v>89063.451031913821</v>
      </c>
      <c r="U52" s="42">
        <f t="shared" si="6"/>
        <v>4453.1725515957078</v>
      </c>
      <c r="V52" s="6">
        <f>VLOOKUP($N$1,$D$4:$J$15,MATCH(F$4,$D$4:$J$4,0),0)*角色成长!E65*角色成长!$L$15*AB52/AA52/(1+$Y$2*($Z$2-1))</f>
        <v>1857.3695798110919</v>
      </c>
      <c r="W52" s="6">
        <f>VLOOKUP($N$1,$D$4:$J$15,MATCH(G$4,$D$4:$J$4,0),0)*角色成长!F65*角色成长!$L$15/(1+X52/角色成长!$N$16)</f>
        <v>33706.703831175168</v>
      </c>
      <c r="X52" s="6">
        <f>VLOOKUP($N$1,$D$4:$J$15,MATCH(H$4,$D$4:$J$4,0),0)*角色成长!G65*角色成长!$L$15</f>
        <v>37147.391596221845</v>
      </c>
      <c r="Y52" s="1">
        <v>0.05</v>
      </c>
      <c r="Z52" s="1">
        <v>1.5</v>
      </c>
      <c r="AA52" s="1">
        <f>VLOOKUP($N$1,$D$4:$J$15,MATCH(I$4,$D$4:$J$4,0),0)*角色成长!J65</f>
        <v>0.9</v>
      </c>
      <c r="AB52" s="1">
        <f t="shared" si="7"/>
        <v>0.75</v>
      </c>
      <c r="AC52" s="6"/>
      <c r="AD52" s="22"/>
      <c r="AE52" s="22"/>
      <c r="AF52" s="22"/>
      <c r="AG52" s="9"/>
      <c r="AH52" s="9"/>
      <c r="AI52" s="9"/>
      <c r="AJ52" s="9"/>
      <c r="AK52" s="9"/>
      <c r="AL52" s="9"/>
    </row>
    <row r="53" spans="5:38" ht="14.25" customHeight="1" x14ac:dyDescent="0.2">
      <c r="E53" s="6"/>
      <c r="F53" s="6"/>
      <c r="G53" s="6"/>
      <c r="H53" s="6"/>
      <c r="I53" s="26"/>
      <c r="J53" s="6"/>
      <c r="K53" s="6"/>
      <c r="L53" s="6">
        <f t="shared" si="2"/>
        <v>0.89525310781873446</v>
      </c>
      <c r="M53" s="1">
        <v>49</v>
      </c>
      <c r="N53" s="6">
        <f>VLOOKUP($N$2,角色品星!$C$16:$D$20,2,0)*VLOOKUP($N$3,角色品星!$C$3:$E$14,3,0)*V53</f>
        <v>1950.2380588016467</v>
      </c>
      <c r="O53" s="6">
        <f>VLOOKUP($N$2,角色品星!$C$16:$D$20,2,0)*VLOOKUP($N$3,角色品星!$C$3:$E$14,3,0)*W53</f>
        <v>34919.133662571003</v>
      </c>
      <c r="P53" s="6">
        <f>VLOOKUP($N$2,角色品星!$C$16:$D$20,2,0)*VLOOKUP($N$3,角色品星!$C$3:$E$14,3,0)*X53</f>
        <v>39004.761176032938</v>
      </c>
      <c r="Q53" s="24">
        <f t="shared" si="3"/>
        <v>0.05</v>
      </c>
      <c r="R53" s="24">
        <f t="shared" si="4"/>
        <v>1.5</v>
      </c>
      <c r="S53" s="24">
        <f t="shared" si="5"/>
        <v>0.9</v>
      </c>
      <c r="T53" s="42">
        <f>N53*(1+Q53*(R53-1))*S53*战斗公式!$E$39+(P53*战斗公式!$E$40+1)*O53*战斗公式!$E$41</f>
        <v>93516.623583509529</v>
      </c>
      <c r="U53" s="42">
        <f t="shared" si="6"/>
        <v>4675.8311791754968</v>
      </c>
      <c r="V53" s="6">
        <f>VLOOKUP($N$1,$D$4:$J$15,MATCH(F$4,$D$4:$J$4,0),0)*角色成长!E66*角色成长!$L$15*AB53/AA53/(1+$Y$2*($Z$2-1))</f>
        <v>1950.2380588016467</v>
      </c>
      <c r="W53" s="6">
        <f>VLOOKUP($N$1,$D$4:$J$15,MATCH(G$4,$D$4:$J$4,0),0)*角色成长!F66*角色成长!$L$15/(1+X53/角色成长!$N$16)</f>
        <v>34919.133662571003</v>
      </c>
      <c r="X53" s="6">
        <f>VLOOKUP($N$1,$D$4:$J$15,MATCH(H$4,$D$4:$J$4,0),0)*角色成长!G66*角色成长!$L$15</f>
        <v>39004.761176032938</v>
      </c>
      <c r="Y53" s="1">
        <v>0.05</v>
      </c>
      <c r="Z53" s="1">
        <v>1.5</v>
      </c>
      <c r="AA53" s="1">
        <f>VLOOKUP($N$1,$D$4:$J$15,MATCH(I$4,$D$4:$J$4,0),0)*角色成长!J66</f>
        <v>0.9</v>
      </c>
      <c r="AB53" s="1">
        <f t="shared" si="7"/>
        <v>0.75</v>
      </c>
      <c r="AC53" s="6"/>
      <c r="AD53" s="22"/>
      <c r="AE53" s="22"/>
      <c r="AF53" s="22"/>
      <c r="AG53" s="9"/>
      <c r="AH53" s="9"/>
      <c r="AI53" s="9"/>
      <c r="AJ53" s="9"/>
      <c r="AK53" s="9"/>
      <c r="AL53" s="9"/>
    </row>
    <row r="54" spans="5:38" ht="14.25" customHeight="1" x14ac:dyDescent="0.2">
      <c r="E54" s="6"/>
      <c r="F54" s="6"/>
      <c r="G54" s="6"/>
      <c r="H54" s="6"/>
      <c r="I54" s="26"/>
      <c r="J54" s="6"/>
      <c r="K54" s="6"/>
      <c r="L54" s="6">
        <f t="shared" si="2"/>
        <v>0.88286648306185234</v>
      </c>
      <c r="M54" s="1">
        <v>50</v>
      </c>
      <c r="N54" s="6">
        <f>VLOOKUP($N$2,角色品星!$C$16:$D$20,2,0)*VLOOKUP($N$3,角色品星!$C$3:$E$14,3,0)*V54</f>
        <v>2047.7499617417297</v>
      </c>
      <c r="O54" s="6">
        <f>VLOOKUP($N$2,角色品星!$C$16:$D$20,2,0)*VLOOKUP($N$3,角色品星!$C$3:$E$14,3,0)*W54</f>
        <v>36157.796138259255</v>
      </c>
      <c r="P54" s="6">
        <f>VLOOKUP($N$2,角色品星!$C$16:$D$20,2,0)*VLOOKUP($N$3,角色品星!$C$3:$E$14,3,0)*X54</f>
        <v>40954.999234834577</v>
      </c>
      <c r="Q54" s="24">
        <f t="shared" si="3"/>
        <v>0.05</v>
      </c>
      <c r="R54" s="24">
        <f t="shared" si="4"/>
        <v>1.5</v>
      </c>
      <c r="S54" s="24">
        <f t="shared" si="5"/>
        <v>0.9</v>
      </c>
      <c r="T54" s="42">
        <f>N54*(1+Q54*(R54-1))*S54*战斗公式!$E$39+(P54*战斗公式!$E$40+1)*O54*战斗公式!$E$41</f>
        <v>98192.454762685025</v>
      </c>
      <c r="U54" s="42">
        <f t="shared" si="6"/>
        <v>4909.6227381342323</v>
      </c>
      <c r="V54" s="6">
        <f>VLOOKUP($N$1,$D$4:$J$15,MATCH(F$4,$D$4:$J$4,0),0)*角色成长!E67*角色成长!$L$15*AB54/AA54/(1+$Y$2*($Z$2-1))</f>
        <v>2047.7499617417297</v>
      </c>
      <c r="W54" s="6">
        <f>VLOOKUP($N$1,$D$4:$J$15,MATCH(G$4,$D$4:$J$4,0),0)*角色成长!F67*角色成长!$L$15/(1+X54/角色成长!$N$16)</f>
        <v>36157.796138259255</v>
      </c>
      <c r="X54" s="6">
        <f>VLOOKUP($N$1,$D$4:$J$15,MATCH(H$4,$D$4:$J$4,0),0)*角色成长!G67*角色成长!$L$15</f>
        <v>40954.999234834577</v>
      </c>
      <c r="Y54" s="1">
        <v>0.05</v>
      </c>
      <c r="Z54" s="1">
        <v>1.5</v>
      </c>
      <c r="AA54" s="1">
        <f>VLOOKUP($N$1,$D$4:$J$15,MATCH(I$4,$D$4:$J$4,0),0)*角色成长!J67</f>
        <v>0.9</v>
      </c>
      <c r="AB54" s="1">
        <f t="shared" si="7"/>
        <v>0.75</v>
      </c>
      <c r="AC54" s="6"/>
      <c r="AD54" s="22"/>
      <c r="AE54" s="22"/>
      <c r="AF54" s="22"/>
      <c r="AG54" s="9"/>
      <c r="AH54" s="9"/>
      <c r="AI54" s="9"/>
      <c r="AJ54" s="9"/>
      <c r="AK54" s="9"/>
      <c r="AL54" s="9"/>
    </row>
    <row r="55" spans="5:38" ht="14.25" customHeight="1" x14ac:dyDescent="0.2">
      <c r="E55" s="6"/>
      <c r="F55" s="6"/>
      <c r="G55" s="6"/>
      <c r="H55" s="6"/>
      <c r="I55" s="26"/>
      <c r="J55" s="6"/>
      <c r="K55" s="6"/>
      <c r="L55" s="6">
        <f t="shared" si="2"/>
        <v>0.87022414005047555</v>
      </c>
      <c r="M55" s="1">
        <v>51</v>
      </c>
      <c r="N55" s="6">
        <f>VLOOKUP($N$2,角色品星!$C$16:$D$20,2,0)*VLOOKUP($N$3,角色品星!$C$3:$E$14,3,0)*V55</f>
        <v>2150.1374598288157</v>
      </c>
      <c r="O55" s="6">
        <f>VLOOKUP($N$2,角色品星!$C$16:$D$20,2,0)*VLOOKUP($N$3,角色品星!$C$3:$E$14,3,0)*W55</f>
        <v>37422.030439396898</v>
      </c>
      <c r="P55" s="6">
        <f>VLOOKUP($N$2,角色品星!$C$16:$D$20,2,0)*VLOOKUP($N$3,角色品星!$C$3:$E$14,3,0)*X55</f>
        <v>43002.749196576311</v>
      </c>
      <c r="Q55" s="24">
        <f t="shared" si="3"/>
        <v>0.05</v>
      </c>
      <c r="R55" s="24">
        <f t="shared" si="4"/>
        <v>1.5</v>
      </c>
      <c r="S55" s="24">
        <f t="shared" si="5"/>
        <v>0.9</v>
      </c>
      <c r="T55" s="42">
        <f>N55*(1+Q55*(R55-1))*S55*战斗公式!$E$39+(P55*战斗公式!$E$40+1)*O55*战斗公式!$E$41</f>
        <v>103102.07750081926</v>
      </c>
      <c r="U55" s="42">
        <f t="shared" si="6"/>
        <v>5155.1038750409789</v>
      </c>
      <c r="V55" s="6">
        <f>VLOOKUP($N$1,$D$4:$J$15,MATCH(F$4,$D$4:$J$4,0),0)*角色成长!E68*角色成长!$L$15*AB55/AA55/(1+$Y$2*($Z$2-1))</f>
        <v>2150.1374598288157</v>
      </c>
      <c r="W55" s="6">
        <f>VLOOKUP($N$1,$D$4:$J$15,MATCH(G$4,$D$4:$J$4,0),0)*角色成长!F68*角色成长!$L$15/(1+X55/角色成长!$N$16)</f>
        <v>37422.030439396898</v>
      </c>
      <c r="X55" s="6">
        <f>VLOOKUP($N$1,$D$4:$J$15,MATCH(H$4,$D$4:$J$4,0),0)*角色成长!G68*角色成长!$L$15</f>
        <v>43002.749196576311</v>
      </c>
      <c r="Y55" s="1">
        <v>0.05</v>
      </c>
      <c r="Z55" s="1">
        <v>1.5</v>
      </c>
      <c r="AA55" s="1">
        <f>VLOOKUP($N$1,$D$4:$J$15,MATCH(I$4,$D$4:$J$4,0),0)*角色成长!J68</f>
        <v>0.9</v>
      </c>
      <c r="AB55" s="1">
        <f t="shared" si="7"/>
        <v>0.75</v>
      </c>
      <c r="AC55" s="6"/>
      <c r="AD55" s="22"/>
      <c r="AE55" s="22"/>
      <c r="AF55" s="22"/>
      <c r="AG55" s="9"/>
      <c r="AH55" s="9"/>
      <c r="AI55" s="9"/>
      <c r="AJ55" s="9"/>
      <c r="AK55" s="9"/>
      <c r="AL55" s="9"/>
    </row>
    <row r="56" spans="5:38" ht="14.25" customHeight="1" x14ac:dyDescent="0.2">
      <c r="E56" s="6"/>
      <c r="F56" s="6"/>
      <c r="G56" s="6"/>
      <c r="H56" s="6"/>
      <c r="I56" s="26"/>
      <c r="J56" s="6"/>
      <c r="K56" s="6"/>
      <c r="L56" s="6">
        <f t="shared" si="2"/>
        <v>0.85733358330668208</v>
      </c>
      <c r="M56" s="1">
        <v>52</v>
      </c>
      <c r="N56" s="6">
        <f>VLOOKUP($N$2,角色品星!$C$16:$D$20,2,0)*VLOOKUP($N$3,角色品星!$C$3:$E$14,3,0)*V56</f>
        <v>2257.6443328202567</v>
      </c>
      <c r="O56" s="6">
        <f>VLOOKUP($N$2,角色品星!$C$16:$D$20,2,0)*VLOOKUP($N$3,角色品星!$C$3:$E$14,3,0)*W56</f>
        <v>38711.086113776277</v>
      </c>
      <c r="P56" s="6">
        <f>VLOOKUP($N$2,角色品星!$C$16:$D$20,2,0)*VLOOKUP($N$3,角色品星!$C$3:$E$14,3,0)*X56</f>
        <v>45152.886656405128</v>
      </c>
      <c r="Q56" s="24">
        <f t="shared" si="3"/>
        <v>0.05</v>
      </c>
      <c r="R56" s="24">
        <f t="shared" si="4"/>
        <v>1.5</v>
      </c>
      <c r="S56" s="24">
        <f t="shared" si="5"/>
        <v>0.9</v>
      </c>
      <c r="T56" s="42">
        <f>N56*(1+Q56*(R56-1))*S56*战斗公式!$E$39+(P56*战斗公式!$E$40+1)*O56*战斗公式!$E$41</f>
        <v>108257.18137586024</v>
      </c>
      <c r="U56" s="42">
        <f t="shared" si="6"/>
        <v>5412.8590687930118</v>
      </c>
      <c r="V56" s="6">
        <f>VLOOKUP($N$1,$D$4:$J$15,MATCH(F$4,$D$4:$J$4,0),0)*角色成长!E69*角色成长!$L$15*AB56/AA56/(1+$Y$2*($Z$2-1))</f>
        <v>2257.6443328202567</v>
      </c>
      <c r="W56" s="6">
        <f>VLOOKUP($N$1,$D$4:$J$15,MATCH(G$4,$D$4:$J$4,0),0)*角色成长!F69*角色成长!$L$15/(1+X56/角色成长!$N$16)</f>
        <v>38711.086113776277</v>
      </c>
      <c r="X56" s="6">
        <f>VLOOKUP($N$1,$D$4:$J$15,MATCH(H$4,$D$4:$J$4,0),0)*角色成长!G69*角色成长!$L$15</f>
        <v>45152.886656405128</v>
      </c>
      <c r="Y56" s="1">
        <v>0.05</v>
      </c>
      <c r="Z56" s="1">
        <v>1.5</v>
      </c>
      <c r="AA56" s="1">
        <f>VLOOKUP($N$1,$D$4:$J$15,MATCH(I$4,$D$4:$J$4,0),0)*角色成长!J69</f>
        <v>0.9</v>
      </c>
      <c r="AB56" s="1">
        <f t="shared" si="7"/>
        <v>0.75</v>
      </c>
      <c r="AC56" s="6"/>
      <c r="AD56" s="22"/>
      <c r="AE56" s="22"/>
      <c r="AF56" s="22"/>
      <c r="AG56" s="9"/>
      <c r="AH56" s="9"/>
      <c r="AI56" s="9"/>
      <c r="AJ56" s="9"/>
      <c r="AK56" s="9"/>
      <c r="AL56" s="9"/>
    </row>
    <row r="57" spans="5:38" ht="14.25" customHeight="1" x14ac:dyDescent="0.2">
      <c r="E57" s="6"/>
      <c r="F57" s="6"/>
      <c r="G57" s="6"/>
      <c r="H57" s="6"/>
      <c r="I57" s="26"/>
      <c r="J57" s="6"/>
      <c r="K57" s="6"/>
      <c r="L57" s="6">
        <f t="shared" si="2"/>
        <v>0.84420321675349241</v>
      </c>
      <c r="M57" s="1">
        <v>53</v>
      </c>
      <c r="N57" s="6">
        <f>VLOOKUP($N$2,角色品星!$C$16:$D$20,2,0)*VLOOKUP($N$3,角色品星!$C$3:$E$14,3,0)*V57</f>
        <v>2370.5265494612695</v>
      </c>
      <c r="O57" s="6">
        <f>VLOOKUP($N$2,角色品星!$C$16:$D$20,2,0)*VLOOKUP($N$3,角色品星!$C$3:$E$14,3,0)*W57</f>
        <v>40024.122769095215</v>
      </c>
      <c r="P57" s="6">
        <f>VLOOKUP($N$2,角色品星!$C$16:$D$20,2,0)*VLOOKUP($N$3,角色品星!$C$3:$E$14,3,0)*X57</f>
        <v>47410.530989225394</v>
      </c>
      <c r="Q57" s="24">
        <f t="shared" si="3"/>
        <v>0.05</v>
      </c>
      <c r="R57" s="24">
        <f t="shared" si="4"/>
        <v>1.5</v>
      </c>
      <c r="S57" s="24">
        <f t="shared" si="5"/>
        <v>0.9</v>
      </c>
      <c r="T57" s="42">
        <f>N57*(1+Q57*(R57-1))*S57*战斗公式!$E$39+(P57*战斗公式!$E$40+1)*O57*战斗公式!$E$41</f>
        <v>113670.04044465325</v>
      </c>
      <c r="U57" s="42">
        <f t="shared" si="6"/>
        <v>5683.5020222326566</v>
      </c>
      <c r="V57" s="6">
        <f>VLOOKUP($N$1,$D$4:$J$15,MATCH(F$4,$D$4:$J$4,0),0)*角色成长!E70*角色成长!$L$15*AB57/AA57/(1+$Y$2*($Z$2-1))</f>
        <v>2370.5265494612695</v>
      </c>
      <c r="W57" s="6">
        <f>VLOOKUP($N$1,$D$4:$J$15,MATCH(G$4,$D$4:$J$4,0),0)*角色成长!F70*角色成长!$L$15/(1+X57/角色成长!$N$16)</f>
        <v>40024.122769095215</v>
      </c>
      <c r="X57" s="6">
        <f>VLOOKUP($N$1,$D$4:$J$15,MATCH(H$4,$D$4:$J$4,0),0)*角色成长!G70*角色成长!$L$15</f>
        <v>47410.530989225394</v>
      </c>
      <c r="Y57" s="1">
        <v>0.05</v>
      </c>
      <c r="Z57" s="1">
        <v>1.5</v>
      </c>
      <c r="AA57" s="1">
        <f>VLOOKUP($N$1,$D$4:$J$15,MATCH(I$4,$D$4:$J$4,0),0)*角色成长!J70</f>
        <v>0.9</v>
      </c>
      <c r="AB57" s="1">
        <f t="shared" si="7"/>
        <v>0.75</v>
      </c>
      <c r="AC57" s="6"/>
      <c r="AD57" s="22"/>
      <c r="AE57" s="22"/>
      <c r="AF57" s="22"/>
      <c r="AG57" s="9"/>
      <c r="AH57" s="9"/>
      <c r="AI57" s="9"/>
      <c r="AJ57" s="9"/>
      <c r="AK57" s="9"/>
      <c r="AL57" s="9"/>
    </row>
    <row r="58" spans="5:38" ht="14.25" customHeight="1" x14ac:dyDescent="0.2">
      <c r="E58" s="6"/>
      <c r="F58" s="6"/>
      <c r="G58" s="6"/>
      <c r="H58" s="6"/>
      <c r="I58" s="26"/>
      <c r="J58" s="6"/>
      <c r="K58" s="6"/>
      <c r="L58" s="6">
        <f t="shared" si="2"/>
        <v>0.83084234074326768</v>
      </c>
      <c r="M58" s="1">
        <v>54</v>
      </c>
      <c r="N58" s="6">
        <f>VLOOKUP($N$2,角色品星!$C$16:$D$20,2,0)*VLOOKUP($N$3,角色品星!$C$3:$E$14,3,0)*V58</f>
        <v>2489.0528769343332</v>
      </c>
      <c r="O58" s="6">
        <f>VLOOKUP($N$2,角色品星!$C$16:$D$20,2,0)*VLOOKUP($N$3,角色品星!$C$3:$E$14,3,0)*W58</f>
        <v>41360.210370117704</v>
      </c>
      <c r="P58" s="6">
        <f>VLOOKUP($N$2,角色品星!$C$16:$D$20,2,0)*VLOOKUP($N$3,角色品星!$C$3:$E$14,3,0)*X58</f>
        <v>49781.057538686648</v>
      </c>
      <c r="Q58" s="24">
        <f t="shared" si="3"/>
        <v>0.05</v>
      </c>
      <c r="R58" s="24">
        <f t="shared" si="4"/>
        <v>1.5</v>
      </c>
      <c r="S58" s="24">
        <f t="shared" si="5"/>
        <v>0.9</v>
      </c>
      <c r="T58" s="42">
        <f>N58*(1+Q58*(R58-1))*S58*战斗公式!$E$39+(P58*战斗公式!$E$40+1)*O58*战斗公式!$E$41</f>
        <v>119353.54246688591</v>
      </c>
      <c r="U58" s="42">
        <f t="shared" si="6"/>
        <v>5967.6771233442996</v>
      </c>
      <c r="V58" s="6">
        <f>VLOOKUP($N$1,$D$4:$J$15,MATCH(F$4,$D$4:$J$4,0),0)*角色成长!E71*角色成长!$L$15*AB58/AA58/(1+$Y$2*($Z$2-1))</f>
        <v>2489.0528769343332</v>
      </c>
      <c r="W58" s="6">
        <f>VLOOKUP($N$1,$D$4:$J$15,MATCH(G$4,$D$4:$J$4,0),0)*角色成长!F71*角色成长!$L$15/(1+X58/角色成长!$N$16)</f>
        <v>41360.210370117704</v>
      </c>
      <c r="X58" s="6">
        <f>VLOOKUP($N$1,$D$4:$J$15,MATCH(H$4,$D$4:$J$4,0),0)*角色成长!G71*角色成长!$L$15</f>
        <v>49781.057538686648</v>
      </c>
      <c r="Y58" s="1">
        <v>0.05</v>
      </c>
      <c r="Z58" s="1">
        <v>1.5</v>
      </c>
      <c r="AA58" s="1">
        <f>VLOOKUP($N$1,$D$4:$J$15,MATCH(I$4,$D$4:$J$4,0),0)*角色成长!J71</f>
        <v>0.9</v>
      </c>
      <c r="AB58" s="1">
        <f t="shared" si="7"/>
        <v>0.75</v>
      </c>
      <c r="AC58" s="6"/>
      <c r="AD58" s="22"/>
      <c r="AE58" s="22"/>
      <c r="AF58" s="22"/>
      <c r="AG58" s="9"/>
      <c r="AH58" s="9"/>
      <c r="AI58" s="9"/>
      <c r="AJ58" s="9"/>
      <c r="AK58" s="9"/>
      <c r="AL58" s="9"/>
    </row>
    <row r="59" spans="5:38" ht="14.25" customHeight="1" x14ac:dyDescent="0.2">
      <c r="E59" s="6"/>
      <c r="F59" s="6"/>
      <c r="G59" s="6"/>
      <c r="H59" s="6"/>
      <c r="I59" s="26"/>
      <c r="J59" s="6"/>
      <c r="K59" s="6"/>
      <c r="L59" s="6">
        <f t="shared" si="2"/>
        <v>0.81726114274675199</v>
      </c>
      <c r="M59" s="1">
        <v>55</v>
      </c>
      <c r="N59" s="6">
        <f>VLOOKUP($N$2,角色品星!$C$16:$D$20,2,0)*VLOOKUP($N$3,角色品星!$C$3:$E$14,3,0)*V59</f>
        <v>2613.5055207810497</v>
      </c>
      <c r="O59" s="6">
        <f>VLOOKUP($N$2,角色品星!$C$16:$D$20,2,0)*VLOOKUP($N$3,角色品星!$C$3:$E$14,3,0)*W59</f>
        <v>42718.330169769302</v>
      </c>
      <c r="P59" s="6">
        <f>VLOOKUP($N$2,角色品星!$C$16:$D$20,2,0)*VLOOKUP($N$3,角色品星!$C$3:$E$14,3,0)*X59</f>
        <v>52270.110415620977</v>
      </c>
      <c r="Q59" s="24">
        <f t="shared" si="3"/>
        <v>0.05</v>
      </c>
      <c r="R59" s="24">
        <f t="shared" si="4"/>
        <v>1.5</v>
      </c>
      <c r="S59" s="24">
        <f t="shared" si="5"/>
        <v>0.9</v>
      </c>
      <c r="T59" s="42">
        <f>N59*(1+Q59*(R59-1))*S59*战斗公式!$E$39+(P59*战斗公式!$E$40+1)*O59*战斗公式!$E$41</f>
        <v>125321.2195902302</v>
      </c>
      <c r="U59" s="42">
        <f t="shared" si="6"/>
        <v>6266.0609795115306</v>
      </c>
      <c r="V59" s="6">
        <f>VLOOKUP($N$1,$D$4:$J$15,MATCH(F$4,$D$4:$J$4,0),0)*角色成长!E72*角色成长!$L$15*AB59/AA59/(1+$Y$2*($Z$2-1))</f>
        <v>2613.5055207810497</v>
      </c>
      <c r="W59" s="6">
        <f>VLOOKUP($N$1,$D$4:$J$15,MATCH(G$4,$D$4:$J$4,0),0)*角色成长!F72*角色成长!$L$15/(1+X59/角色成长!$N$16)</f>
        <v>42718.330169769302</v>
      </c>
      <c r="X59" s="6">
        <f>VLOOKUP($N$1,$D$4:$J$15,MATCH(H$4,$D$4:$J$4,0),0)*角色成长!G72*角色成长!$L$15</f>
        <v>52270.110415620977</v>
      </c>
      <c r="Y59" s="1">
        <v>0.05</v>
      </c>
      <c r="Z59" s="1">
        <v>1.5</v>
      </c>
      <c r="AA59" s="1">
        <f>VLOOKUP($N$1,$D$4:$J$15,MATCH(I$4,$D$4:$J$4,0),0)*角色成长!J72</f>
        <v>0.9</v>
      </c>
      <c r="AB59" s="1">
        <f t="shared" si="7"/>
        <v>0.75</v>
      </c>
      <c r="AC59" s="6"/>
      <c r="AD59" s="22"/>
      <c r="AE59" s="22"/>
      <c r="AF59" s="22"/>
      <c r="AG59" s="9"/>
      <c r="AH59" s="9"/>
      <c r="AI59" s="9"/>
      <c r="AJ59" s="9"/>
      <c r="AK59" s="9"/>
      <c r="AL59" s="9"/>
    </row>
    <row r="60" spans="5:38" ht="14.25" customHeight="1" x14ac:dyDescent="0.2">
      <c r="E60" s="6"/>
      <c r="F60" s="6"/>
      <c r="G60" s="6"/>
      <c r="H60" s="6"/>
      <c r="I60" s="26"/>
      <c r="J60" s="6"/>
      <c r="K60" s="6"/>
      <c r="L60" s="6">
        <f t="shared" si="2"/>
        <v>0.80347068146667977</v>
      </c>
      <c r="M60" s="1">
        <v>56</v>
      </c>
      <c r="N60" s="6">
        <f>VLOOKUP($N$2,角色品星!$C$16:$D$20,2,0)*VLOOKUP($N$3,角色品星!$C$3:$E$14,3,0)*V60</f>
        <v>2744.1807968201028</v>
      </c>
      <c r="O60" s="6">
        <f>VLOOKUP($N$2,角色品星!$C$16:$D$20,2,0)*VLOOKUP($N$3,角色品星!$C$3:$E$14,3,0)*W60</f>
        <v>44097.376297776478</v>
      </c>
      <c r="P60" s="6">
        <f>VLOOKUP($N$2,角色品星!$C$16:$D$20,2,0)*VLOOKUP($N$3,角色品星!$C$3:$E$14,3,0)*X60</f>
        <v>54883.61593640205</v>
      </c>
      <c r="Q60" s="24">
        <f t="shared" si="3"/>
        <v>0.05</v>
      </c>
      <c r="R60" s="24">
        <f t="shared" si="4"/>
        <v>1.5</v>
      </c>
      <c r="S60" s="24">
        <f t="shared" si="5"/>
        <v>0.9</v>
      </c>
      <c r="T60" s="42">
        <f>N60*(1+Q60*(R60-1))*S60*战斗公式!$E$39+(P60*战斗公式!$E$40+1)*O60*战斗公式!$E$41</f>
        <v>131587.28056974174</v>
      </c>
      <c r="U60" s="42">
        <f t="shared" si="6"/>
        <v>6579.3640284870635</v>
      </c>
      <c r="V60" s="6">
        <f>VLOOKUP($N$1,$D$4:$J$15,MATCH(F$4,$D$4:$J$4,0),0)*角色成长!E73*角色成长!$L$15*AB60/AA60/(1+$Y$2*($Z$2-1))</f>
        <v>2744.1807968201028</v>
      </c>
      <c r="W60" s="6">
        <f>VLOOKUP($N$1,$D$4:$J$15,MATCH(G$4,$D$4:$J$4,0),0)*角色成长!F73*角色成长!$L$15/(1+X60/角色成长!$N$16)</f>
        <v>44097.376297776478</v>
      </c>
      <c r="X60" s="6">
        <f>VLOOKUP($N$1,$D$4:$J$15,MATCH(H$4,$D$4:$J$4,0),0)*角色成长!G73*角色成长!$L$15</f>
        <v>54883.61593640205</v>
      </c>
      <c r="Y60" s="1">
        <v>0.05</v>
      </c>
      <c r="Z60" s="1">
        <v>1.5</v>
      </c>
      <c r="AA60" s="1">
        <f>VLOOKUP($N$1,$D$4:$J$15,MATCH(I$4,$D$4:$J$4,0),0)*角色成长!J73</f>
        <v>0.9</v>
      </c>
      <c r="AB60" s="1">
        <f t="shared" si="7"/>
        <v>0.75</v>
      </c>
      <c r="AC60" s="6"/>
      <c r="AD60" s="22"/>
      <c r="AE60" s="22"/>
      <c r="AF60" s="22"/>
      <c r="AG60" s="9"/>
      <c r="AH60" s="9"/>
      <c r="AI60" s="9"/>
      <c r="AJ60" s="9"/>
      <c r="AK60" s="9"/>
      <c r="AL60" s="9"/>
    </row>
    <row r="61" spans="5:38" ht="14.25" customHeight="1" x14ac:dyDescent="0.2">
      <c r="E61" s="6"/>
      <c r="F61" s="6"/>
      <c r="G61" s="6"/>
      <c r="H61" s="6"/>
      <c r="I61" s="26"/>
      <c r="J61" s="6"/>
      <c r="K61" s="6"/>
      <c r="L61" s="6">
        <f t="shared" si="2"/>
        <v>0.78948286421246494</v>
      </c>
      <c r="M61" s="1">
        <v>57</v>
      </c>
      <c r="N61" s="6">
        <f>VLOOKUP($N$2,角色品星!$C$16:$D$20,2,0)*VLOOKUP($N$3,角色品星!$C$3:$E$14,3,0)*V61</f>
        <v>2881.389836661107</v>
      </c>
      <c r="O61" s="6">
        <f>VLOOKUP($N$2,角色品星!$C$16:$D$20,2,0)*VLOOKUP($N$3,角色品星!$C$3:$E$14,3,0)*W61</f>
        <v>45496.158023197946</v>
      </c>
      <c r="P61" s="6">
        <f>VLOOKUP($N$2,角色品星!$C$16:$D$20,2,0)*VLOOKUP($N$3,角色品星!$C$3:$E$14,3,0)*X61</f>
        <v>57627.796733222138</v>
      </c>
      <c r="Q61" s="24">
        <f t="shared" si="3"/>
        <v>0.05</v>
      </c>
      <c r="R61" s="24">
        <f t="shared" si="4"/>
        <v>1.5</v>
      </c>
      <c r="S61" s="24">
        <f t="shared" si="5"/>
        <v>0.9</v>
      </c>
      <c r="T61" s="42">
        <f>N61*(1+Q61*(R61-1))*S61*战斗公式!$E$39+(P61*战斗公式!$E$40+1)*O61*战斗公式!$E$41</f>
        <v>138166.6445982288</v>
      </c>
      <c r="U61" s="42">
        <f t="shared" si="6"/>
        <v>6908.332229911437</v>
      </c>
      <c r="V61" s="6">
        <f>VLOOKUP($N$1,$D$4:$J$15,MATCH(F$4,$D$4:$J$4,0),0)*角色成长!E74*角色成长!$L$15*AB61/AA61/(1+$Y$2*($Z$2-1))</f>
        <v>2881.389836661107</v>
      </c>
      <c r="W61" s="6">
        <f>VLOOKUP($N$1,$D$4:$J$15,MATCH(G$4,$D$4:$J$4,0),0)*角色成长!F74*角色成长!$L$15/(1+X61/角色成长!$N$16)</f>
        <v>45496.158023197946</v>
      </c>
      <c r="X61" s="6">
        <f>VLOOKUP($N$1,$D$4:$J$15,MATCH(H$4,$D$4:$J$4,0),0)*角色成长!G74*角色成长!$L$15</f>
        <v>57627.796733222138</v>
      </c>
      <c r="Y61" s="1">
        <v>0.05</v>
      </c>
      <c r="Z61" s="1">
        <v>1.5</v>
      </c>
      <c r="AA61" s="1">
        <f>VLOOKUP($N$1,$D$4:$J$15,MATCH(I$4,$D$4:$J$4,0),0)*角色成长!J74</f>
        <v>0.9</v>
      </c>
      <c r="AB61" s="1">
        <f t="shared" si="7"/>
        <v>0.75</v>
      </c>
      <c r="AC61" s="6"/>
      <c r="AD61" s="22"/>
      <c r="AE61" s="22"/>
      <c r="AF61" s="22"/>
      <c r="AG61" s="9"/>
      <c r="AH61" s="9"/>
      <c r="AI61" s="9"/>
      <c r="AJ61" s="9"/>
      <c r="AK61" s="9"/>
      <c r="AL61" s="9"/>
    </row>
    <row r="62" spans="5:38" ht="14.25" customHeight="1" x14ac:dyDescent="0.2">
      <c r="E62" s="6"/>
      <c r="F62" s="6"/>
      <c r="G62" s="6"/>
      <c r="H62" s="6"/>
      <c r="I62" s="26"/>
      <c r="J62" s="6"/>
      <c r="K62" s="6"/>
      <c r="L62" s="6">
        <f t="shared" si="2"/>
        <v>0.77531041745241958</v>
      </c>
      <c r="M62" s="1">
        <v>58</v>
      </c>
      <c r="N62" s="6">
        <f>VLOOKUP($N$2,角色品星!$C$16:$D$20,2,0)*VLOOKUP($N$3,角色品星!$C$3:$E$14,3,0)*V62</f>
        <v>3025.4593284941629</v>
      </c>
      <c r="O62" s="6">
        <f>VLOOKUP($N$2,角色品星!$C$16:$D$20,2,0)*VLOOKUP($N$3,角色品星!$C$3:$E$14,3,0)*W62</f>
        <v>46913.402699202517</v>
      </c>
      <c r="P62" s="6">
        <f>VLOOKUP($N$2,角色品星!$C$16:$D$20,2,0)*VLOOKUP($N$3,角色品星!$C$3:$E$14,3,0)*X62</f>
        <v>60509.186569883241</v>
      </c>
      <c r="Q62" s="24">
        <f t="shared" si="3"/>
        <v>0.05</v>
      </c>
      <c r="R62" s="24">
        <f t="shared" si="4"/>
        <v>1.5</v>
      </c>
      <c r="S62" s="24">
        <f t="shared" si="5"/>
        <v>0.9</v>
      </c>
      <c r="T62" s="42">
        <f>N62*(1+Q62*(R62-1))*S62*战斗公式!$E$39+(P62*战斗公式!$E$40+1)*O62*战斗公式!$E$41</f>
        <v>145074.97682814024</v>
      </c>
      <c r="U62" s="42">
        <f t="shared" si="6"/>
        <v>7253.7488414070103</v>
      </c>
      <c r="V62" s="6">
        <f>VLOOKUP($N$1,$D$4:$J$15,MATCH(F$4,$D$4:$J$4,0),0)*角色成长!E75*角色成长!$L$15*AB62/AA62/(1+$Y$2*($Z$2-1))</f>
        <v>3025.4593284941629</v>
      </c>
      <c r="W62" s="6">
        <f>VLOOKUP($N$1,$D$4:$J$15,MATCH(G$4,$D$4:$J$4,0),0)*角色成长!F75*角色成长!$L$15/(1+X62/角色成长!$N$16)</f>
        <v>46913.402699202517</v>
      </c>
      <c r="X62" s="6">
        <f>VLOOKUP($N$1,$D$4:$J$15,MATCH(H$4,$D$4:$J$4,0),0)*角色成长!G75*角色成长!$L$15</f>
        <v>60509.186569883241</v>
      </c>
      <c r="Y62" s="1">
        <v>0.05</v>
      </c>
      <c r="Z62" s="1">
        <v>1.5</v>
      </c>
      <c r="AA62" s="1">
        <f>VLOOKUP($N$1,$D$4:$J$15,MATCH(I$4,$D$4:$J$4,0),0)*角色成长!J75</f>
        <v>0.9</v>
      </c>
      <c r="AB62" s="1">
        <f t="shared" si="7"/>
        <v>0.75</v>
      </c>
      <c r="AC62" s="6"/>
      <c r="AD62" s="22"/>
      <c r="AE62" s="22"/>
      <c r="AF62" s="22"/>
      <c r="AG62" s="9"/>
      <c r="AH62" s="9"/>
      <c r="AI62" s="9"/>
      <c r="AJ62" s="9"/>
      <c r="AK62" s="9"/>
      <c r="AL62" s="9"/>
    </row>
    <row r="63" spans="5:38" ht="14.25" customHeight="1" x14ac:dyDescent="0.2">
      <c r="E63" s="6"/>
      <c r="F63" s="6"/>
      <c r="G63" s="6"/>
      <c r="H63" s="6"/>
      <c r="I63" s="26"/>
      <c r="J63" s="6"/>
      <c r="K63" s="6"/>
      <c r="L63" s="6">
        <f t="shared" si="2"/>
        <v>0.7609668505460051</v>
      </c>
      <c r="M63" s="1">
        <v>59</v>
      </c>
      <c r="N63" s="6">
        <f>VLOOKUP($N$2,角色品星!$C$16:$D$20,2,0)*VLOOKUP($N$3,角色品星!$C$3:$E$14,3,0)*V63</f>
        <v>3176.732294918871</v>
      </c>
      <c r="O63" s="6">
        <f>VLOOKUP($N$2,角色品星!$C$16:$D$20,2,0)*VLOOKUP($N$3,角色品星!$C$3:$E$14,3,0)*W63</f>
        <v>48347.759389843923</v>
      </c>
      <c r="P63" s="6">
        <f>VLOOKUP($N$2,角色品星!$C$16:$D$20,2,0)*VLOOKUP($N$3,角色品星!$C$3:$E$14,3,0)*X63</f>
        <v>63534.645898377414</v>
      </c>
      <c r="Q63" s="24">
        <f t="shared" si="3"/>
        <v>0.05</v>
      </c>
      <c r="R63" s="24">
        <f t="shared" si="4"/>
        <v>1.5</v>
      </c>
      <c r="S63" s="24">
        <f t="shared" si="5"/>
        <v>0.9</v>
      </c>
      <c r="T63" s="42">
        <f>N63*(1+Q63*(R63-1))*S63*战斗公式!$E$39+(P63*战斗公式!$E$40+1)*O63*战斗公式!$E$41</f>
        <v>152328.72566954725</v>
      </c>
      <c r="U63" s="42">
        <f t="shared" si="6"/>
        <v>7616.4362834773783</v>
      </c>
      <c r="V63" s="6">
        <f>VLOOKUP($N$1,$D$4:$J$15,MATCH(F$4,$D$4:$J$4,0),0)*角色成长!E76*角色成长!$L$15*AB63/AA63/(1+$Y$2*($Z$2-1))</f>
        <v>3176.732294918871</v>
      </c>
      <c r="W63" s="6">
        <f>VLOOKUP($N$1,$D$4:$J$15,MATCH(G$4,$D$4:$J$4,0),0)*角色成长!F76*角色成长!$L$15/(1+X63/角色成长!$N$16)</f>
        <v>48347.759389843923</v>
      </c>
      <c r="X63" s="6">
        <f>VLOOKUP($N$1,$D$4:$J$15,MATCH(H$4,$D$4:$J$4,0),0)*角色成长!G76*角色成长!$L$15</f>
        <v>63534.645898377414</v>
      </c>
      <c r="Y63" s="1">
        <v>0.05</v>
      </c>
      <c r="Z63" s="1">
        <v>1.5</v>
      </c>
      <c r="AA63" s="1">
        <f>VLOOKUP($N$1,$D$4:$J$15,MATCH(I$4,$D$4:$J$4,0),0)*角色成长!J76</f>
        <v>0.9</v>
      </c>
      <c r="AB63" s="1">
        <f t="shared" si="7"/>
        <v>0.75</v>
      </c>
      <c r="AC63" s="6"/>
      <c r="AD63" s="22"/>
      <c r="AE63" s="22"/>
      <c r="AF63" s="22"/>
      <c r="AG63" s="9"/>
      <c r="AH63" s="9"/>
      <c r="AI63" s="9"/>
      <c r="AJ63" s="9"/>
      <c r="AK63" s="9"/>
      <c r="AL63" s="9"/>
    </row>
    <row r="64" spans="5:38" ht="14.25" customHeight="1" x14ac:dyDescent="0.2">
      <c r="E64" s="6"/>
      <c r="F64" s="6"/>
      <c r="G64" s="6"/>
      <c r="H64" s="6"/>
      <c r="I64" s="26"/>
      <c r="J64" s="6"/>
      <c r="K64" s="6"/>
      <c r="L64" s="6">
        <f t="shared" si="2"/>
        <v>0.74646641274931613</v>
      </c>
      <c r="M64" s="1">
        <v>60</v>
      </c>
      <c r="N64" s="6">
        <f>VLOOKUP($N$2,角色品星!$C$16:$D$20,2,0)*VLOOKUP($N$3,角色品星!$C$3:$E$14,3,0)*V64</f>
        <v>3335.5689096648143</v>
      </c>
      <c r="O64" s="6">
        <f>VLOOKUP($N$2,角色品星!$C$16:$D$20,2,0)*VLOOKUP($N$3,角色品星!$C$3:$E$14,3,0)*W64</f>
        <v>49797.803169512837</v>
      </c>
      <c r="P64" s="6">
        <f>VLOOKUP($N$2,角色品星!$C$16:$D$20,2,0)*VLOOKUP($N$3,角色品星!$C$3:$E$14,3,0)*X64</f>
        <v>66711.378193296288</v>
      </c>
      <c r="Q64" s="24">
        <f t="shared" si="3"/>
        <v>0.05</v>
      </c>
      <c r="R64" s="24">
        <f t="shared" si="4"/>
        <v>1.5</v>
      </c>
      <c r="S64" s="24">
        <f t="shared" si="5"/>
        <v>0.9</v>
      </c>
      <c r="T64" s="42">
        <f>N64*(1+Q64*(R64-1))*S64*战斗公式!$E$39+(P64*战斗公式!$E$40+1)*O64*战斗公式!$E$41</f>
        <v>159945.16195302462</v>
      </c>
      <c r="U64" s="42">
        <f t="shared" si="6"/>
        <v>7997.25809765124</v>
      </c>
      <c r="V64" s="6">
        <f>VLOOKUP($N$1,$D$4:$J$15,MATCH(F$4,$D$4:$J$4,0),0)*角色成长!E77*角色成长!$L$15*AB64/AA64/(1+$Y$2*($Z$2-1))</f>
        <v>3335.5689096648143</v>
      </c>
      <c r="W64" s="6">
        <f>VLOOKUP($N$1,$D$4:$J$15,MATCH(G$4,$D$4:$J$4,0),0)*角色成长!F77*角色成长!$L$15/(1+X64/角色成长!$N$16)</f>
        <v>49797.803169512837</v>
      </c>
      <c r="X64" s="6">
        <f>VLOOKUP($N$1,$D$4:$J$15,MATCH(H$4,$D$4:$J$4,0),0)*角色成长!G77*角色成长!$L$15</f>
        <v>66711.378193296288</v>
      </c>
      <c r="Y64" s="1">
        <v>0.05</v>
      </c>
      <c r="Z64" s="1">
        <v>1.5</v>
      </c>
      <c r="AA64" s="1">
        <f>VLOOKUP($N$1,$D$4:$J$15,MATCH(I$4,$D$4:$J$4,0),0)*角色成长!J77</f>
        <v>0.9</v>
      </c>
      <c r="AB64" s="1">
        <f t="shared" si="7"/>
        <v>0.75</v>
      </c>
      <c r="AC64" s="6"/>
      <c r="AD64" s="22"/>
      <c r="AE64" s="22"/>
      <c r="AF64" s="22"/>
      <c r="AG64" s="9"/>
      <c r="AH64" s="9"/>
      <c r="AI64" s="9"/>
      <c r="AJ64" s="9"/>
      <c r="AK64" s="9"/>
      <c r="AL64" s="9"/>
    </row>
    <row r="65" spans="5:38" ht="14.25" customHeight="1" x14ac:dyDescent="0.2">
      <c r="E65" s="6"/>
      <c r="F65" s="6"/>
      <c r="G65" s="6"/>
      <c r="H65" s="6"/>
      <c r="I65" s="26"/>
      <c r="J65" s="6"/>
      <c r="K65" s="6"/>
      <c r="L65" s="6">
        <f t="shared" si="2"/>
        <v>0.73182404368068477</v>
      </c>
      <c r="M65" s="1">
        <v>61</v>
      </c>
      <c r="N65" s="6">
        <f>VLOOKUP($N$2,角色品星!$C$16:$D$20,2,0)*VLOOKUP($N$3,角色品星!$C$3:$E$14,3,0)*V65</f>
        <v>3502.3473551480556</v>
      </c>
      <c r="O65" s="6">
        <f>VLOOKUP($N$2,角色品星!$C$16:$D$20,2,0)*VLOOKUP($N$3,角色品星!$C$3:$E$14,3,0)*W65</f>
        <v>51262.040076376012</v>
      </c>
      <c r="P65" s="6">
        <f>VLOOKUP($N$2,角色品星!$C$16:$D$20,2,0)*VLOOKUP($N$3,角色品星!$C$3:$E$14,3,0)*X65</f>
        <v>70046.947102961087</v>
      </c>
      <c r="Q65" s="24">
        <f t="shared" si="3"/>
        <v>0.05</v>
      </c>
      <c r="R65" s="24">
        <f t="shared" si="4"/>
        <v>1.5</v>
      </c>
      <c r="S65" s="24">
        <f t="shared" si="5"/>
        <v>0.9</v>
      </c>
      <c r="T65" s="42">
        <f>N65*(1+Q65*(R65-1))*S65*战斗公式!$E$39+(P65*战斗公式!$E$40+1)*O65*战斗公式!$E$41</f>
        <v>167942.42005067586</v>
      </c>
      <c r="U65" s="42">
        <f t="shared" si="6"/>
        <v>8397.1210025338223</v>
      </c>
      <c r="V65" s="6">
        <f>VLOOKUP($N$1,$D$4:$J$15,MATCH(F$4,$D$4:$J$4,0),0)*角色成长!E78*角色成长!$L$15*AB65/AA65/(1+$Y$2*($Z$2-1))</f>
        <v>3502.3473551480556</v>
      </c>
      <c r="W65" s="6">
        <f>VLOOKUP($N$1,$D$4:$J$15,MATCH(G$4,$D$4:$J$4,0),0)*角色成长!F78*角色成长!$L$15/(1+X65/角色成长!$N$16)</f>
        <v>51262.040076376012</v>
      </c>
      <c r="X65" s="6">
        <f>VLOOKUP($N$1,$D$4:$J$15,MATCH(H$4,$D$4:$J$4,0),0)*角色成长!G78*角色成长!$L$15</f>
        <v>70046.947102961087</v>
      </c>
      <c r="Y65" s="1">
        <v>0.05</v>
      </c>
      <c r="Z65" s="1">
        <v>1.5</v>
      </c>
      <c r="AA65" s="1">
        <f>VLOOKUP($N$1,$D$4:$J$15,MATCH(I$4,$D$4:$J$4,0),0)*角色成长!J78</f>
        <v>0.9</v>
      </c>
      <c r="AB65" s="1">
        <f t="shared" si="7"/>
        <v>0.75</v>
      </c>
      <c r="AC65" s="6"/>
      <c r="AD65" s="22"/>
      <c r="AE65" s="22"/>
      <c r="AF65" s="22"/>
      <c r="AG65" s="9"/>
      <c r="AH65" s="9"/>
      <c r="AI65" s="9"/>
      <c r="AJ65" s="9"/>
      <c r="AK65" s="9"/>
      <c r="AL65" s="9"/>
    </row>
    <row r="66" spans="5:38" ht="14.25" customHeight="1" x14ac:dyDescent="0.2">
      <c r="E66" s="6"/>
      <c r="F66" s="6"/>
      <c r="G66" s="6"/>
      <c r="H66" s="6"/>
      <c r="I66" s="26"/>
      <c r="J66" s="6"/>
      <c r="K66" s="6"/>
      <c r="L66" s="6">
        <f t="shared" si="2"/>
        <v>0.717055317528142</v>
      </c>
      <c r="M66" s="1">
        <v>62</v>
      </c>
      <c r="N66" s="6">
        <f>VLOOKUP($N$2,角色品星!$C$16:$D$20,2,0)*VLOOKUP($N$3,角色品星!$C$3:$E$14,3,0)*V66</f>
        <v>3677.4647229054594</v>
      </c>
      <c r="O66" s="6">
        <f>VLOOKUP($N$2,角色品星!$C$16:$D$20,2,0)*VLOOKUP($N$3,角色品星!$C$3:$E$14,3,0)*W66</f>
        <v>52738.912691630278</v>
      </c>
      <c r="P66" s="6">
        <f>VLOOKUP($N$2,角色品星!$C$16:$D$20,2,0)*VLOOKUP($N$3,角色品星!$C$3:$E$14,3,0)*X66</f>
        <v>73549.294458109158</v>
      </c>
      <c r="Q66" s="24">
        <f t="shared" si="3"/>
        <v>0.05</v>
      </c>
      <c r="R66" s="24">
        <f t="shared" si="4"/>
        <v>1.5</v>
      </c>
      <c r="S66" s="24">
        <f t="shared" si="5"/>
        <v>0.9</v>
      </c>
      <c r="T66" s="42">
        <f>N66*(1+Q66*(R66-1))*S66*战斗公式!$E$39+(P66*战斗公式!$E$40+1)*O66*战斗公式!$E$41</f>
        <v>176339.54105320969</v>
      </c>
      <c r="U66" s="42">
        <f t="shared" si="6"/>
        <v>8816.977052660397</v>
      </c>
      <c r="V66" s="6">
        <f>VLOOKUP($N$1,$D$4:$J$15,MATCH(F$4,$D$4:$J$4,0),0)*角色成长!E79*角色成长!$L$15*AB66/AA66/(1+$Y$2*($Z$2-1))</f>
        <v>3677.4647229054594</v>
      </c>
      <c r="W66" s="6">
        <f>VLOOKUP($N$1,$D$4:$J$15,MATCH(G$4,$D$4:$J$4,0),0)*角色成长!F79*角色成长!$L$15/(1+X66/角色成长!$N$16)</f>
        <v>52738.912691630278</v>
      </c>
      <c r="X66" s="6">
        <f>VLOOKUP($N$1,$D$4:$J$15,MATCH(H$4,$D$4:$J$4,0),0)*角色成长!G79*角色成长!$L$15</f>
        <v>73549.294458109158</v>
      </c>
      <c r="Y66" s="1">
        <v>0.05</v>
      </c>
      <c r="Z66" s="1">
        <v>1.5</v>
      </c>
      <c r="AA66" s="1">
        <f>VLOOKUP($N$1,$D$4:$J$15,MATCH(I$4,$D$4:$J$4,0),0)*角色成长!J79</f>
        <v>0.9</v>
      </c>
      <c r="AB66" s="1">
        <f t="shared" si="7"/>
        <v>0.75</v>
      </c>
      <c r="AC66" s="6"/>
      <c r="AD66" s="22"/>
      <c r="AE66" s="22"/>
      <c r="AF66" s="22"/>
      <c r="AG66" s="9"/>
      <c r="AH66" s="9"/>
      <c r="AI66" s="9"/>
      <c r="AJ66" s="9"/>
      <c r="AK66" s="9"/>
      <c r="AL66" s="9"/>
    </row>
    <row r="67" spans="5:38" ht="14.25" customHeight="1" x14ac:dyDescent="0.2">
      <c r="E67" s="6"/>
      <c r="F67" s="6"/>
      <c r="G67" s="6"/>
      <c r="H67" s="6"/>
      <c r="I67" s="26"/>
      <c r="J67" s="6"/>
      <c r="K67" s="6"/>
      <c r="L67" s="6">
        <f t="shared" si="2"/>
        <v>0.70217638137444172</v>
      </c>
      <c r="M67" s="1">
        <v>63</v>
      </c>
      <c r="N67" s="6">
        <f>VLOOKUP($N$2,角色品星!$C$16:$D$20,2,0)*VLOOKUP($N$3,角色品星!$C$3:$E$14,3,0)*V67</f>
        <v>3861.3379590507302</v>
      </c>
      <c r="O67" s="6">
        <f>VLOOKUP($N$2,角色品星!$C$16:$D$20,2,0)*VLOOKUP($N$3,角色品星!$C$3:$E$14,3,0)*W67</f>
        <v>54226.806307000275</v>
      </c>
      <c r="P67" s="6">
        <f>VLOOKUP($N$2,角色品星!$C$16:$D$20,2,0)*VLOOKUP($N$3,角色品星!$C$3:$E$14,3,0)*X67</f>
        <v>77226.759181014597</v>
      </c>
      <c r="Q67" s="24">
        <f t="shared" si="3"/>
        <v>0.05</v>
      </c>
      <c r="R67" s="24">
        <f t="shared" si="4"/>
        <v>1.5</v>
      </c>
      <c r="S67" s="24">
        <f t="shared" si="5"/>
        <v>0.9</v>
      </c>
      <c r="T67" s="42">
        <f>N67*(1+Q67*(R67-1))*S67*战斗公式!$E$39+(P67*战斗公式!$E$40+1)*O67*战斗公式!$E$41</f>
        <v>185156.51810587008</v>
      </c>
      <c r="U67" s="42">
        <f t="shared" si="6"/>
        <v>9257.8259052936046</v>
      </c>
      <c r="V67" s="6">
        <f>VLOOKUP($N$1,$D$4:$J$15,MATCH(F$4,$D$4:$J$4,0),0)*角色成长!E80*角色成长!$L$15*AB67/AA67/(1+$Y$2*($Z$2-1))</f>
        <v>3861.3379590507302</v>
      </c>
      <c r="W67" s="6">
        <f>VLOOKUP($N$1,$D$4:$J$15,MATCH(G$4,$D$4:$J$4,0),0)*角色成长!F80*角色成长!$L$15/(1+X67/角色成长!$N$16)</f>
        <v>54226.806307000275</v>
      </c>
      <c r="X67" s="6">
        <f>VLOOKUP($N$1,$D$4:$J$15,MATCH(H$4,$D$4:$J$4,0),0)*角色成长!G80*角色成长!$L$15</f>
        <v>77226.759181014597</v>
      </c>
      <c r="Y67" s="1">
        <v>0.05</v>
      </c>
      <c r="Z67" s="1">
        <v>1.5</v>
      </c>
      <c r="AA67" s="1">
        <f>VLOOKUP($N$1,$D$4:$J$15,MATCH(I$4,$D$4:$J$4,0),0)*角色成长!J80</f>
        <v>0.9</v>
      </c>
      <c r="AB67" s="1">
        <f t="shared" si="7"/>
        <v>0.75</v>
      </c>
      <c r="AC67" s="6"/>
      <c r="AD67" s="22"/>
      <c r="AE67" s="22"/>
      <c r="AF67" s="22"/>
      <c r="AG67" s="9"/>
      <c r="AH67" s="9"/>
      <c r="AI67" s="9"/>
      <c r="AJ67" s="9"/>
      <c r="AK67" s="9"/>
      <c r="AL67" s="9"/>
    </row>
    <row r="68" spans="5:38" ht="14.25" customHeight="1" x14ac:dyDescent="0.2">
      <c r="E68" s="6"/>
      <c r="F68" s="6"/>
      <c r="G68" s="6"/>
      <c r="H68" s="6"/>
      <c r="I68" s="26"/>
      <c r="J68" s="6"/>
      <c r="K68" s="6"/>
      <c r="L68" s="6">
        <f t="shared" si="2"/>
        <v>0.68720388810641164</v>
      </c>
      <c r="M68" s="1">
        <v>64</v>
      </c>
      <c r="N68" s="6">
        <f>VLOOKUP($N$2,角色品星!$C$16:$D$20,2,0)*VLOOKUP($N$3,角色品星!$C$3:$E$14,3,0)*V68</f>
        <v>4054.4048570032678</v>
      </c>
      <c r="O68" s="6">
        <f>VLOOKUP($N$2,角色品星!$C$16:$D$20,2,0)*VLOOKUP($N$3,角色品星!$C$3:$E$14,3,0)*W68</f>
        <v>55724.055633803306</v>
      </c>
      <c r="P68" s="6">
        <f>VLOOKUP($N$2,角色品星!$C$16:$D$20,2,0)*VLOOKUP($N$3,角色品星!$C$3:$E$14,3,0)*X68</f>
        <v>81088.097140065351</v>
      </c>
      <c r="Q68" s="24">
        <f t="shared" si="3"/>
        <v>0.05</v>
      </c>
      <c r="R68" s="24">
        <f t="shared" si="4"/>
        <v>1.5</v>
      </c>
      <c r="S68" s="24">
        <f t="shared" si="5"/>
        <v>0.9</v>
      </c>
      <c r="T68" s="42">
        <f>N68*(1+Q68*(R68-1))*S68*战斗公式!$E$39+(P68*战斗公式!$E$40+1)*O68*战斗公式!$E$41</f>
        <v>194414.34401116369</v>
      </c>
      <c r="U68" s="42">
        <f t="shared" si="6"/>
        <v>9720.717200558167</v>
      </c>
      <c r="V68" s="6">
        <f>VLOOKUP($N$1,$D$4:$J$15,MATCH(F$4,$D$4:$J$4,0),0)*角色成长!E81*角色成长!$L$15*AB68/AA68/(1+$Y$2*($Z$2-1))</f>
        <v>4054.4048570032678</v>
      </c>
      <c r="W68" s="6">
        <f>VLOOKUP($N$1,$D$4:$J$15,MATCH(G$4,$D$4:$J$4,0),0)*角色成长!F81*角色成长!$L$15/(1+X68/角色成长!$N$16)</f>
        <v>55724.055633803306</v>
      </c>
      <c r="X68" s="6">
        <f>VLOOKUP($N$1,$D$4:$J$15,MATCH(H$4,$D$4:$J$4,0),0)*角色成长!G81*角色成长!$L$15</f>
        <v>81088.097140065351</v>
      </c>
      <c r="Y68" s="1">
        <v>0.05</v>
      </c>
      <c r="Z68" s="1">
        <v>1.5</v>
      </c>
      <c r="AA68" s="1">
        <f>VLOOKUP($N$1,$D$4:$J$15,MATCH(I$4,$D$4:$J$4,0),0)*角色成长!J81</f>
        <v>0.9</v>
      </c>
      <c r="AB68" s="1">
        <f t="shared" si="7"/>
        <v>0.75</v>
      </c>
      <c r="AC68" s="6"/>
      <c r="AD68" s="22"/>
      <c r="AE68" s="22"/>
      <c r="AF68" s="22"/>
      <c r="AG68" s="9"/>
      <c r="AH68" s="9"/>
      <c r="AI68" s="9"/>
      <c r="AJ68" s="9"/>
      <c r="AK68" s="9"/>
      <c r="AL68" s="9"/>
    </row>
    <row r="69" spans="5:38" ht="14.25" customHeight="1" x14ac:dyDescent="0.2">
      <c r="E69" s="6"/>
      <c r="F69" s="6"/>
      <c r="G69" s="6"/>
      <c r="H69" s="6"/>
      <c r="I69" s="26"/>
      <c r="J69" s="6"/>
      <c r="K69" s="6"/>
      <c r="L69" s="6">
        <f t="shared" si="2"/>
        <v>0.67215492446145531</v>
      </c>
      <c r="M69" s="1">
        <v>65</v>
      </c>
      <c r="N69" s="6">
        <f>VLOOKUP($N$2,角色品星!$C$16:$D$20,2,0)*VLOOKUP($N$3,角色品星!$C$3:$E$14,3,0)*V69</f>
        <v>4257.1250998534315</v>
      </c>
      <c r="O69" s="6">
        <f>VLOOKUP($N$2,角色品星!$C$16:$D$20,2,0)*VLOOKUP($N$3,角色品星!$C$3:$E$14,3,0)*W69</f>
        <v>57228.951998298959</v>
      </c>
      <c r="P69" s="6">
        <f>VLOOKUP($N$2,角色品星!$C$16:$D$20,2,0)*VLOOKUP($N$3,角色品星!$C$3:$E$14,3,0)*X69</f>
        <v>85142.501997068612</v>
      </c>
      <c r="Q69" s="24">
        <f t="shared" si="3"/>
        <v>0.05</v>
      </c>
      <c r="R69" s="24">
        <f t="shared" si="4"/>
        <v>1.5</v>
      </c>
      <c r="S69" s="24">
        <f t="shared" si="5"/>
        <v>0.9</v>
      </c>
      <c r="T69" s="42">
        <f>N69*(1+Q69*(R69-1))*S69*战斗公式!$E$39+(P69*战斗公式!$E$40+1)*O69*战斗公式!$E$41</f>
        <v>204135.06121172186</v>
      </c>
      <c r="U69" s="42">
        <f t="shared" si="6"/>
        <v>10206.753060586081</v>
      </c>
      <c r="V69" s="6">
        <f>VLOOKUP($N$1,$D$4:$J$15,MATCH(F$4,$D$4:$J$4,0),0)*角色成长!E82*角色成长!$L$15*AB69/AA69/(1+$Y$2*($Z$2-1))</f>
        <v>4257.1250998534315</v>
      </c>
      <c r="W69" s="6">
        <f>VLOOKUP($N$1,$D$4:$J$15,MATCH(G$4,$D$4:$J$4,0),0)*角色成长!F82*角色成长!$L$15/(1+X69/角色成长!$N$16)</f>
        <v>57228.951998298959</v>
      </c>
      <c r="X69" s="6">
        <f>VLOOKUP($N$1,$D$4:$J$15,MATCH(H$4,$D$4:$J$4,0),0)*角色成长!G82*角色成长!$L$15</f>
        <v>85142.501997068612</v>
      </c>
      <c r="Y69" s="1">
        <v>0.05</v>
      </c>
      <c r="Z69" s="1">
        <v>1.5</v>
      </c>
      <c r="AA69" s="1">
        <f>VLOOKUP($N$1,$D$4:$J$15,MATCH(I$4,$D$4:$J$4,0),0)*角色成长!J82</f>
        <v>0.9</v>
      </c>
      <c r="AB69" s="1">
        <f t="shared" ref="AB69:AB104" si="8">VLOOKUP($N$1,$D$4:$J$15,MATCH(J$4,$D$4:$J$4,0),0)</f>
        <v>0.75</v>
      </c>
      <c r="AC69" s="6"/>
      <c r="AD69" s="22"/>
      <c r="AE69" s="22"/>
      <c r="AF69" s="22"/>
      <c r="AG69" s="9"/>
      <c r="AH69" s="9"/>
      <c r="AI69" s="9"/>
      <c r="AJ69" s="9"/>
      <c r="AK69" s="9"/>
      <c r="AL69" s="9"/>
    </row>
    <row r="70" spans="5:38" ht="14.25" customHeight="1" x14ac:dyDescent="0.2">
      <c r="E70" s="6"/>
      <c r="F70" s="6"/>
      <c r="G70" s="6"/>
      <c r="H70" s="6"/>
      <c r="I70" s="26"/>
      <c r="J70" s="6"/>
      <c r="K70" s="6"/>
      <c r="L70" s="6">
        <f t="shared" ref="L70:L104" si="9">O70/P70</f>
        <v>0.65704693484302457</v>
      </c>
      <c r="M70" s="1">
        <v>66</v>
      </c>
      <c r="N70" s="6">
        <f>VLOOKUP($N$2,角色品星!$C$16:$D$20,2,0)*VLOOKUP($N$3,角色品星!$C$3:$E$14,3,0)*V70</f>
        <v>4469.9813548461034</v>
      </c>
      <c r="O70" s="6">
        <f>VLOOKUP($N$2,角色品星!$C$16:$D$20,2,0)*VLOOKUP($N$3,角色品星!$C$3:$E$14,3,0)*W70</f>
        <v>58739.750960142032</v>
      </c>
      <c r="P70" s="6">
        <f>VLOOKUP($N$2,角色品星!$C$16:$D$20,2,0)*VLOOKUP($N$3,角色品星!$C$3:$E$14,3,0)*X70</f>
        <v>89399.62709692205</v>
      </c>
      <c r="Q70" s="24">
        <f t="shared" ref="Q70:Q104" si="10">Y70</f>
        <v>0.05</v>
      </c>
      <c r="R70" s="24">
        <f t="shared" ref="R70:R104" si="11">Z70</f>
        <v>1.5</v>
      </c>
      <c r="S70" s="24">
        <f t="shared" ref="S70:S104" si="12">AA70</f>
        <v>0.9</v>
      </c>
      <c r="T70" s="42">
        <f>N70*(1+Q70*(R70-1))*S70*战斗公式!$E$39+(P70*战斗公式!$E$40+1)*O70*战斗公式!$E$41</f>
        <v>214341.81427230794</v>
      </c>
      <c r="U70" s="42">
        <f t="shared" ref="U70:U104" si="13">T71-T70</f>
        <v>10717.090713615442</v>
      </c>
      <c r="V70" s="6">
        <f>VLOOKUP($N$1,$D$4:$J$15,MATCH(F$4,$D$4:$J$4,0),0)*角色成长!E83*角色成长!$L$15*AB70/AA70/(1+$Y$2*($Z$2-1))</f>
        <v>4469.9813548461034</v>
      </c>
      <c r="W70" s="6">
        <f>VLOOKUP($N$1,$D$4:$J$15,MATCH(G$4,$D$4:$J$4,0),0)*角色成长!F83*角色成长!$L$15/(1+X70/角色成长!$N$16)</f>
        <v>58739.750960142032</v>
      </c>
      <c r="X70" s="6">
        <f>VLOOKUP($N$1,$D$4:$J$15,MATCH(H$4,$D$4:$J$4,0),0)*角色成长!G83*角色成长!$L$15</f>
        <v>89399.62709692205</v>
      </c>
      <c r="Y70" s="1">
        <v>0.05</v>
      </c>
      <c r="Z70" s="1">
        <v>1.5</v>
      </c>
      <c r="AA70" s="1">
        <f>VLOOKUP($N$1,$D$4:$J$15,MATCH(I$4,$D$4:$J$4,0),0)*角色成长!J83</f>
        <v>0.9</v>
      </c>
      <c r="AB70" s="1">
        <f t="shared" si="8"/>
        <v>0.75</v>
      </c>
      <c r="AC70" s="6"/>
      <c r="AD70" s="22"/>
      <c r="AE70" s="22"/>
      <c r="AF70" s="22"/>
      <c r="AG70" s="9"/>
      <c r="AH70" s="9"/>
      <c r="AI70" s="9"/>
      <c r="AJ70" s="9"/>
      <c r="AK70" s="9"/>
      <c r="AL70" s="9"/>
    </row>
    <row r="71" spans="5:38" ht="14.25" customHeight="1" x14ac:dyDescent="0.2">
      <c r="E71" s="6"/>
      <c r="F71" s="6"/>
      <c r="G71" s="6"/>
      <c r="H71" s="6"/>
      <c r="I71" s="26"/>
      <c r="J71" s="6"/>
      <c r="K71" s="6"/>
      <c r="L71" s="6">
        <f t="shared" si="9"/>
        <v>0.64189764160690699</v>
      </c>
      <c r="M71" s="1">
        <v>67</v>
      </c>
      <c r="N71" s="6">
        <f>VLOOKUP($N$2,角色品星!$C$16:$D$20,2,0)*VLOOKUP($N$3,角色品星!$C$3:$E$14,3,0)*V71</f>
        <v>4693.4804225884081</v>
      </c>
      <c r="O71" s="6">
        <f>VLOOKUP($N$2,角色品星!$C$16:$D$20,2,0)*VLOOKUP($N$3,角色品星!$C$3:$E$14,3,0)*W71</f>
        <v>60254.680283753769</v>
      </c>
      <c r="P71" s="6">
        <f>VLOOKUP($N$2,角色品星!$C$16:$D$20,2,0)*VLOOKUP($N$3,角色品星!$C$3:$E$14,3,0)*X71</f>
        <v>93869.608451768159</v>
      </c>
      <c r="Q71" s="24">
        <f t="shared" si="10"/>
        <v>0.05</v>
      </c>
      <c r="R71" s="24">
        <f t="shared" si="11"/>
        <v>1.5</v>
      </c>
      <c r="S71" s="24">
        <f t="shared" si="12"/>
        <v>0.9</v>
      </c>
      <c r="T71" s="42">
        <f>N71*(1+Q71*(R71-1))*S71*战斗公式!$E$39+(P71*战斗公式!$E$40+1)*O71*战斗公式!$E$41</f>
        <v>225058.90498592338</v>
      </c>
      <c r="U71" s="42">
        <f t="shared" si="13"/>
        <v>11252.945249296143</v>
      </c>
      <c r="V71" s="6">
        <f>VLOOKUP($N$1,$D$4:$J$15,MATCH(F$4,$D$4:$J$4,0),0)*角色成长!E84*角色成长!$L$15*AB71/AA71/(1+$Y$2*($Z$2-1))</f>
        <v>4693.4804225884081</v>
      </c>
      <c r="W71" s="6">
        <f>VLOOKUP($N$1,$D$4:$J$15,MATCH(G$4,$D$4:$J$4,0),0)*角色成长!F84*角色成长!$L$15/(1+X71/角色成长!$N$16)</f>
        <v>60254.680283753769</v>
      </c>
      <c r="X71" s="6">
        <f>VLOOKUP($N$1,$D$4:$J$15,MATCH(H$4,$D$4:$J$4,0),0)*角色成长!G84*角色成长!$L$15</f>
        <v>93869.608451768159</v>
      </c>
      <c r="Y71" s="1">
        <v>0.05</v>
      </c>
      <c r="Z71" s="1">
        <v>1.5</v>
      </c>
      <c r="AA71" s="1">
        <f>VLOOKUP($N$1,$D$4:$J$15,MATCH(I$4,$D$4:$J$4,0),0)*角色成长!J84</f>
        <v>0.9</v>
      </c>
      <c r="AB71" s="1">
        <f t="shared" si="8"/>
        <v>0.75</v>
      </c>
      <c r="AC71" s="6"/>
      <c r="AD71" s="22"/>
      <c r="AE71" s="22"/>
      <c r="AF71" s="22"/>
      <c r="AG71" s="9"/>
      <c r="AH71" s="9"/>
      <c r="AI71" s="9"/>
      <c r="AJ71" s="9"/>
      <c r="AK71" s="9"/>
      <c r="AL71" s="9"/>
    </row>
    <row r="72" spans="5:38" ht="14.25" customHeight="1" x14ac:dyDescent="0.2">
      <c r="E72" s="6"/>
      <c r="F72" s="6"/>
      <c r="G72" s="6"/>
      <c r="H72" s="6"/>
      <c r="I72" s="26"/>
      <c r="J72" s="6"/>
      <c r="K72" s="6"/>
      <c r="L72" s="6">
        <f t="shared" si="9"/>
        <v>0.62672496257946697</v>
      </c>
      <c r="M72" s="1">
        <v>68</v>
      </c>
      <c r="N72" s="6">
        <f>VLOOKUP($N$2,角色品星!$C$16:$D$20,2,0)*VLOOKUP($N$3,角色品星!$C$3:$E$14,3,0)*V72</f>
        <v>4928.15444371783</v>
      </c>
      <c r="O72" s="6">
        <f>VLOOKUP($N$2,角色品星!$C$16:$D$20,2,0)*VLOOKUP($N$3,角色品星!$C$3:$E$14,3,0)*W72</f>
        <v>61771.948186497793</v>
      </c>
      <c r="P72" s="6">
        <f>VLOOKUP($N$2,角色品星!$C$16:$D$20,2,0)*VLOOKUP($N$3,角色品星!$C$3:$E$14,3,0)*X72</f>
        <v>98563.088874356559</v>
      </c>
      <c r="Q72" s="24">
        <f t="shared" si="10"/>
        <v>0.05</v>
      </c>
      <c r="R72" s="24">
        <f t="shared" si="11"/>
        <v>1.5</v>
      </c>
      <c r="S72" s="24">
        <f t="shared" si="12"/>
        <v>0.9</v>
      </c>
      <c r="T72" s="42">
        <f>N72*(1+Q72*(R72-1))*S72*战斗公式!$E$39+(P72*战斗公式!$E$40+1)*O72*战斗公式!$E$41</f>
        <v>236311.85023521952</v>
      </c>
      <c r="U72" s="42">
        <f t="shared" si="13"/>
        <v>11815.592511760944</v>
      </c>
      <c r="V72" s="6">
        <f>VLOOKUP($N$1,$D$4:$J$15,MATCH(F$4,$D$4:$J$4,0),0)*角色成长!E85*角色成长!$L$15*AB72/AA72/(1+$Y$2*($Z$2-1))</f>
        <v>4928.15444371783</v>
      </c>
      <c r="W72" s="6">
        <f>VLOOKUP($N$1,$D$4:$J$15,MATCH(G$4,$D$4:$J$4,0),0)*角色成长!F85*角色成长!$L$15/(1+X72/角色成长!$N$16)</f>
        <v>61771.948186497793</v>
      </c>
      <c r="X72" s="6">
        <f>VLOOKUP($N$1,$D$4:$J$15,MATCH(H$4,$D$4:$J$4,0),0)*角色成长!G85*角色成长!$L$15</f>
        <v>98563.088874356559</v>
      </c>
      <c r="Y72" s="1">
        <v>0.05</v>
      </c>
      <c r="Z72" s="1">
        <v>1.5</v>
      </c>
      <c r="AA72" s="1">
        <f>VLOOKUP($N$1,$D$4:$J$15,MATCH(I$4,$D$4:$J$4,0),0)*角色成长!J85</f>
        <v>0.9</v>
      </c>
      <c r="AB72" s="1">
        <f t="shared" si="8"/>
        <v>0.75</v>
      </c>
      <c r="AC72" s="6"/>
      <c r="AD72" s="22"/>
      <c r="AE72" s="22"/>
      <c r="AF72" s="22"/>
      <c r="AG72" s="9"/>
      <c r="AH72" s="9"/>
      <c r="AI72" s="9"/>
      <c r="AJ72" s="9"/>
      <c r="AK72" s="9"/>
      <c r="AL72" s="9"/>
    </row>
    <row r="73" spans="5:38" ht="14.25" customHeight="1" x14ac:dyDescent="0.2">
      <c r="E73" s="6"/>
      <c r="F73" s="6"/>
      <c r="G73" s="6"/>
      <c r="H73" s="6"/>
      <c r="I73" s="26"/>
      <c r="J73" s="6"/>
      <c r="K73" s="6"/>
      <c r="L73" s="6">
        <f t="shared" si="9"/>
        <v>0.61154692661603627</v>
      </c>
      <c r="M73" s="1">
        <v>69</v>
      </c>
      <c r="N73" s="6">
        <f>VLOOKUP($N$2,角色品星!$C$16:$D$20,2,0)*VLOOKUP($N$3,角色品星!$C$3:$E$14,3,0)*V73</f>
        <v>5174.5621659037206</v>
      </c>
      <c r="O73" s="6">
        <f>VLOOKUP($N$2,角色品星!$C$16:$D$20,2,0)*VLOOKUP($N$3,角色品星!$C$3:$E$14,3,0)*W73</f>
        <v>63289.751782840802</v>
      </c>
      <c r="P73" s="6">
        <f>VLOOKUP($N$2,角色品星!$C$16:$D$20,2,0)*VLOOKUP($N$3,角色品星!$C$3:$E$14,3,0)*X73</f>
        <v>103491.2433180744</v>
      </c>
      <c r="Q73" s="24">
        <f t="shared" si="10"/>
        <v>0.05</v>
      </c>
      <c r="R73" s="24">
        <f t="shared" si="11"/>
        <v>1.5</v>
      </c>
      <c r="S73" s="24">
        <f t="shared" si="12"/>
        <v>0.9</v>
      </c>
      <c r="T73" s="42">
        <f>N73*(1+Q73*(R73-1))*S73*战斗公式!$E$39+(P73*战斗公式!$E$40+1)*O73*战斗公式!$E$41</f>
        <v>248127.44274698047</v>
      </c>
      <c r="U73" s="42">
        <f t="shared" si="13"/>
        <v>12406.372137349012</v>
      </c>
      <c r="V73" s="6">
        <f>VLOOKUP($N$1,$D$4:$J$15,MATCH(F$4,$D$4:$J$4,0),0)*角色成长!E86*角色成长!$L$15*AB73/AA73/(1+$Y$2*($Z$2-1))</f>
        <v>5174.5621659037206</v>
      </c>
      <c r="W73" s="6">
        <f>VLOOKUP($N$1,$D$4:$J$15,MATCH(G$4,$D$4:$J$4,0),0)*角色成长!F86*角色成长!$L$15/(1+X73/角色成长!$N$16)</f>
        <v>63289.751782840802</v>
      </c>
      <c r="X73" s="6">
        <f>VLOOKUP($N$1,$D$4:$J$15,MATCH(H$4,$D$4:$J$4,0),0)*角色成长!G86*角色成长!$L$15</f>
        <v>103491.2433180744</v>
      </c>
      <c r="Y73" s="1">
        <v>0.05</v>
      </c>
      <c r="Z73" s="1">
        <v>1.5</v>
      </c>
      <c r="AA73" s="1">
        <f>VLOOKUP($N$1,$D$4:$J$15,MATCH(I$4,$D$4:$J$4,0),0)*角色成长!J86</f>
        <v>0.9</v>
      </c>
      <c r="AB73" s="1">
        <f t="shared" si="8"/>
        <v>0.75</v>
      </c>
      <c r="AC73" s="6"/>
      <c r="AD73" s="22"/>
      <c r="AE73" s="22"/>
      <c r="AF73" s="22"/>
      <c r="AG73" s="9"/>
      <c r="AH73" s="9"/>
      <c r="AI73" s="9"/>
      <c r="AJ73" s="9"/>
      <c r="AK73" s="9"/>
      <c r="AL73" s="9"/>
    </row>
    <row r="74" spans="5:38" ht="14.25" customHeight="1" x14ac:dyDescent="0.2">
      <c r="E74" s="6"/>
      <c r="F74" s="6"/>
      <c r="G74" s="6"/>
      <c r="H74" s="6"/>
      <c r="I74" s="26"/>
      <c r="J74" s="6"/>
      <c r="K74" s="6"/>
      <c r="L74" s="6">
        <f t="shared" si="9"/>
        <v>0.59638158804126429</v>
      </c>
      <c r="M74" s="1">
        <v>70</v>
      </c>
      <c r="N74" s="6">
        <f>VLOOKUP($N$2,角色品星!$C$16:$D$20,2,0)*VLOOKUP($N$3,角色品星!$C$3:$E$14,3,0)*V74</f>
        <v>5433.2902741989064</v>
      </c>
      <c r="O74" s="6">
        <f>VLOOKUP($N$2,角色品星!$C$16:$D$20,2,0)*VLOOKUP($N$3,角色品星!$C$3:$E$14,3,0)*W74</f>
        <v>64806.285640317998</v>
      </c>
      <c r="P74" s="6">
        <f>VLOOKUP($N$2,角色品星!$C$16:$D$20,2,0)*VLOOKUP($N$3,角色品星!$C$3:$E$14,3,0)*X74</f>
        <v>108665.80548397813</v>
      </c>
      <c r="Q74" s="24">
        <f t="shared" si="10"/>
        <v>0.05</v>
      </c>
      <c r="R74" s="24">
        <f t="shared" si="11"/>
        <v>1.5</v>
      </c>
      <c r="S74" s="24">
        <f t="shared" si="12"/>
        <v>0.9</v>
      </c>
      <c r="T74" s="42">
        <f>N74*(1+Q74*(R74-1))*S74*战斗公式!$E$39+(P74*战斗公式!$E$40+1)*O74*战斗公式!$E$41</f>
        <v>260533.81488432948</v>
      </c>
      <c r="U74" s="42">
        <f t="shared" si="13"/>
        <v>13026.690744216467</v>
      </c>
      <c r="V74" s="6">
        <f>VLOOKUP($N$1,$D$4:$J$15,MATCH(F$4,$D$4:$J$4,0),0)*角色成长!E87*角色成长!$L$15*AB74/AA74/(1+$Y$2*($Z$2-1))</f>
        <v>5433.2902741989064</v>
      </c>
      <c r="W74" s="6">
        <f>VLOOKUP($N$1,$D$4:$J$15,MATCH(G$4,$D$4:$J$4,0),0)*角色成长!F87*角色成长!$L$15/(1+X74/角色成长!$N$16)</f>
        <v>64806.285640317998</v>
      </c>
      <c r="X74" s="6">
        <f>VLOOKUP($N$1,$D$4:$J$15,MATCH(H$4,$D$4:$J$4,0),0)*角色成长!G87*角色成长!$L$15</f>
        <v>108665.80548397813</v>
      </c>
      <c r="Y74" s="1">
        <v>0.05</v>
      </c>
      <c r="Z74" s="1">
        <v>1.5</v>
      </c>
      <c r="AA74" s="1">
        <f>VLOOKUP($N$1,$D$4:$J$15,MATCH(I$4,$D$4:$J$4,0),0)*角色成长!J87</f>
        <v>0.9</v>
      </c>
      <c r="AB74" s="1">
        <f t="shared" si="8"/>
        <v>0.75</v>
      </c>
      <c r="AC74" s="6"/>
      <c r="AD74" s="22"/>
      <c r="AE74" s="22"/>
      <c r="AF74" s="22"/>
      <c r="AG74" s="9"/>
      <c r="AH74" s="9"/>
      <c r="AI74" s="9"/>
      <c r="AJ74" s="9"/>
      <c r="AK74" s="9"/>
      <c r="AL74" s="9"/>
    </row>
    <row r="75" spans="5:38" ht="14.25" customHeight="1" x14ac:dyDescent="0.2">
      <c r="E75" s="6"/>
      <c r="F75" s="6"/>
      <c r="G75" s="6"/>
      <c r="H75" s="6"/>
      <c r="I75" s="26"/>
      <c r="J75" s="6"/>
      <c r="K75" s="6"/>
      <c r="L75" s="6">
        <f t="shared" si="9"/>
        <v>0.58124694083249828</v>
      </c>
      <c r="M75" s="1">
        <v>71</v>
      </c>
      <c r="N75" s="6">
        <f>VLOOKUP($N$2,角色品星!$C$16:$D$20,2,0)*VLOOKUP($N$3,角色品星!$C$3:$E$14,3,0)*V75</f>
        <v>5704.9547879088514</v>
      </c>
      <c r="O75" s="6">
        <f>VLOOKUP($N$2,角色品星!$C$16:$D$20,2,0)*VLOOKUP($N$3,角色品星!$C$3:$E$14,3,0)*W75</f>
        <v>66319.750361194659</v>
      </c>
      <c r="P75" s="6">
        <f>VLOOKUP($N$2,角色品星!$C$16:$D$20,2,0)*VLOOKUP($N$3,角色品星!$C$3:$E$14,3,0)*X75</f>
        <v>114099.09575817701</v>
      </c>
      <c r="Q75" s="24">
        <f t="shared" si="10"/>
        <v>0.05</v>
      </c>
      <c r="R75" s="24">
        <f t="shared" si="11"/>
        <v>1.5</v>
      </c>
      <c r="S75" s="24">
        <f t="shared" si="12"/>
        <v>0.9</v>
      </c>
      <c r="T75" s="42">
        <f>N75*(1+Q75*(R75-1))*S75*战斗公式!$E$39+(P75*战斗公式!$E$40+1)*O75*战斗公式!$E$41</f>
        <v>273560.50562854594</v>
      </c>
      <c r="U75" s="42">
        <f t="shared" si="13"/>
        <v>13678.02528142737</v>
      </c>
      <c r="V75" s="6">
        <f>VLOOKUP($N$1,$D$4:$J$15,MATCH(F$4,$D$4:$J$4,0),0)*角色成长!E88*角色成长!$L$15*AB75/AA75/(1+$Y$2*($Z$2-1))</f>
        <v>5704.9547879088514</v>
      </c>
      <c r="W75" s="6">
        <f>VLOOKUP($N$1,$D$4:$J$15,MATCH(G$4,$D$4:$J$4,0),0)*角色成长!F88*角色成长!$L$15/(1+X75/角色成长!$N$16)</f>
        <v>66319.750361194659</v>
      </c>
      <c r="X75" s="6">
        <f>VLOOKUP($N$1,$D$4:$J$15,MATCH(H$4,$D$4:$J$4,0),0)*角色成长!G88*角色成长!$L$15</f>
        <v>114099.09575817701</v>
      </c>
      <c r="Y75" s="1">
        <v>0.05</v>
      </c>
      <c r="Z75" s="1">
        <v>1.5</v>
      </c>
      <c r="AA75" s="1">
        <f>VLOOKUP($N$1,$D$4:$J$15,MATCH(I$4,$D$4:$J$4,0),0)*角色成长!J88</f>
        <v>0.9</v>
      </c>
      <c r="AB75" s="1">
        <f t="shared" si="8"/>
        <v>0.75</v>
      </c>
      <c r="AC75" s="6"/>
      <c r="AD75" s="22"/>
      <c r="AE75" s="22"/>
      <c r="AF75" s="22"/>
      <c r="AG75" s="9"/>
      <c r="AH75" s="9"/>
      <c r="AI75" s="9"/>
      <c r="AJ75" s="9"/>
      <c r="AK75" s="9"/>
      <c r="AL75" s="9"/>
    </row>
    <row r="76" spans="5:38" ht="14.25" customHeight="1" x14ac:dyDescent="0.2">
      <c r="E76" s="6"/>
      <c r="F76" s="6"/>
      <c r="G76" s="6"/>
      <c r="H76" s="6"/>
      <c r="I76" s="26"/>
      <c r="J76" s="6"/>
      <c r="K76" s="6"/>
      <c r="L76" s="6">
        <f t="shared" si="9"/>
        <v>0.56616083341172307</v>
      </c>
      <c r="M76" s="1">
        <v>72</v>
      </c>
      <c r="N76" s="6">
        <f>VLOOKUP($N$2,角色品星!$C$16:$D$20,2,0)*VLOOKUP($N$3,角色品星!$C$3:$E$14,3,0)*V76</f>
        <v>5990.2025273042946</v>
      </c>
      <c r="O76" s="6">
        <f>VLOOKUP($N$2,角色品星!$C$16:$D$20,2,0)*VLOOKUP($N$3,角色品星!$C$3:$E$14,3,0)*W76</f>
        <v>67828.361103272167</v>
      </c>
      <c r="P76" s="6">
        <f>VLOOKUP($N$2,角色品星!$C$16:$D$20,2,0)*VLOOKUP($N$3,角色品星!$C$3:$E$14,3,0)*X76</f>
        <v>119804.05054608587</v>
      </c>
      <c r="Q76" s="24">
        <f t="shared" si="10"/>
        <v>0.05</v>
      </c>
      <c r="R76" s="24">
        <f t="shared" si="11"/>
        <v>1.5</v>
      </c>
      <c r="S76" s="24">
        <f t="shared" si="12"/>
        <v>0.9</v>
      </c>
      <c r="T76" s="42">
        <f>N76*(1+Q76*(R76-1))*S76*战斗公式!$E$39+(P76*战斗公式!$E$40+1)*O76*战斗公式!$E$41</f>
        <v>287238.53090997331</v>
      </c>
      <c r="U76" s="42">
        <f t="shared" si="13"/>
        <v>14361.92654549866</v>
      </c>
      <c r="V76" s="6">
        <f>VLOOKUP($N$1,$D$4:$J$15,MATCH(F$4,$D$4:$J$4,0),0)*角色成长!E89*角色成长!$L$15*AB76/AA76/(1+$Y$2*($Z$2-1))</f>
        <v>5990.2025273042946</v>
      </c>
      <c r="W76" s="6">
        <f>VLOOKUP($N$1,$D$4:$J$15,MATCH(G$4,$D$4:$J$4,0),0)*角色成长!F89*角色成长!$L$15/(1+X76/角色成长!$N$16)</f>
        <v>67828.361103272167</v>
      </c>
      <c r="X76" s="6">
        <f>VLOOKUP($N$1,$D$4:$J$15,MATCH(H$4,$D$4:$J$4,0),0)*角色成长!G89*角色成长!$L$15</f>
        <v>119804.05054608587</v>
      </c>
      <c r="Y76" s="1">
        <v>0.05</v>
      </c>
      <c r="Z76" s="1">
        <v>1.5</v>
      </c>
      <c r="AA76" s="1">
        <f>VLOOKUP($N$1,$D$4:$J$15,MATCH(I$4,$D$4:$J$4,0),0)*角色成长!J89</f>
        <v>0.9</v>
      </c>
      <c r="AB76" s="1">
        <f t="shared" si="8"/>
        <v>0.75</v>
      </c>
      <c r="AC76" s="6"/>
      <c r="AD76" s="22"/>
      <c r="AE76" s="22"/>
      <c r="AF76" s="22"/>
      <c r="AG76" s="9"/>
      <c r="AH76" s="9"/>
      <c r="AI76" s="9"/>
      <c r="AJ76" s="9"/>
      <c r="AK76" s="9"/>
      <c r="AL76" s="9"/>
    </row>
    <row r="77" spans="5:38" ht="14.25" customHeight="1" x14ac:dyDescent="0.2">
      <c r="E77" s="6"/>
      <c r="F77" s="6"/>
      <c r="G77" s="6"/>
      <c r="H77" s="6"/>
      <c r="I77" s="26"/>
      <c r="J77" s="6"/>
      <c r="K77" s="6"/>
      <c r="L77" s="6">
        <f t="shared" si="9"/>
        <v>0.55114088490107027</v>
      </c>
      <c r="M77" s="1">
        <v>73</v>
      </c>
      <c r="N77" s="6">
        <f>VLOOKUP($N$2,角色品星!$C$16:$D$20,2,0)*VLOOKUP($N$3,角色品星!$C$3:$E$14,3,0)*V77</f>
        <v>6289.7126536695096</v>
      </c>
      <c r="O77" s="6">
        <f>VLOOKUP($N$2,角色品星!$C$16:$D$20,2,0)*VLOOKUP($N$3,角色品星!$C$3:$E$14,3,0)*W77</f>
        <v>69330.355954337429</v>
      </c>
      <c r="P77" s="6">
        <f>VLOOKUP($N$2,角色品星!$C$16:$D$20,2,0)*VLOOKUP($N$3,角色品星!$C$3:$E$14,3,0)*X77</f>
        <v>125794.25307339017</v>
      </c>
      <c r="Q77" s="24">
        <f t="shared" si="10"/>
        <v>0.05</v>
      </c>
      <c r="R77" s="24">
        <f t="shared" si="11"/>
        <v>1.5</v>
      </c>
      <c r="S77" s="24">
        <f t="shared" si="12"/>
        <v>0.9</v>
      </c>
      <c r="T77" s="42">
        <f>N77*(1+Q77*(R77-1))*S77*战斗公式!$E$39+(P77*战斗公式!$E$40+1)*O77*战斗公式!$E$41</f>
        <v>301600.45745547197</v>
      </c>
      <c r="U77" s="42">
        <f t="shared" si="13"/>
        <v>15080.022872773523</v>
      </c>
      <c r="V77" s="6">
        <f>VLOOKUP($N$1,$D$4:$J$15,MATCH(F$4,$D$4:$J$4,0),0)*角色成长!E90*角色成长!$L$15*AB77/AA77/(1+$Y$2*($Z$2-1))</f>
        <v>6289.7126536695096</v>
      </c>
      <c r="W77" s="6">
        <f>VLOOKUP($N$1,$D$4:$J$15,MATCH(G$4,$D$4:$J$4,0),0)*角色成长!F90*角色成长!$L$15/(1+X77/角色成长!$N$16)</f>
        <v>69330.355954337429</v>
      </c>
      <c r="X77" s="6">
        <f>VLOOKUP($N$1,$D$4:$J$15,MATCH(H$4,$D$4:$J$4,0),0)*角色成长!G90*角色成长!$L$15</f>
        <v>125794.25307339017</v>
      </c>
      <c r="Y77" s="1">
        <v>0.05</v>
      </c>
      <c r="Z77" s="1">
        <v>1.5</v>
      </c>
      <c r="AA77" s="1">
        <f>VLOOKUP($N$1,$D$4:$J$15,MATCH(I$4,$D$4:$J$4,0),0)*角色成长!J90</f>
        <v>0.9</v>
      </c>
      <c r="AB77" s="1">
        <f t="shared" si="8"/>
        <v>0.75</v>
      </c>
      <c r="AC77" s="6"/>
      <c r="AD77" s="22"/>
      <c r="AE77" s="22"/>
      <c r="AF77" s="22"/>
      <c r="AG77" s="9"/>
      <c r="AH77" s="9"/>
      <c r="AI77" s="9"/>
      <c r="AJ77" s="9"/>
      <c r="AK77" s="9"/>
      <c r="AL77" s="9"/>
    </row>
    <row r="78" spans="5:38" ht="14.25" customHeight="1" x14ac:dyDescent="0.2">
      <c r="E78" s="6"/>
      <c r="F78" s="6"/>
      <c r="G78" s="6"/>
      <c r="H78" s="6"/>
      <c r="I78" s="26"/>
      <c r="J78" s="6"/>
      <c r="K78" s="6"/>
      <c r="L78" s="6">
        <f t="shared" si="9"/>
        <v>0.53620440367171374</v>
      </c>
      <c r="M78" s="1">
        <v>74</v>
      </c>
      <c r="N78" s="6">
        <f>VLOOKUP($N$2,角色品星!$C$16:$D$20,2,0)*VLOOKUP($N$3,角色品星!$C$3:$E$14,3,0)*V78</f>
        <v>6604.1982863529838</v>
      </c>
      <c r="O78" s="6">
        <f>VLOOKUP($N$2,角色品星!$C$16:$D$20,2,0)*VLOOKUP($N$3,角色品星!$C$3:$E$14,3,0)*W78</f>
        <v>70824.004077273101</v>
      </c>
      <c r="P78" s="6">
        <f>VLOOKUP($N$2,角色品星!$C$16:$D$20,2,0)*VLOOKUP($N$3,角色品星!$C$3:$E$14,3,0)*X78</f>
        <v>132083.96572705967</v>
      </c>
      <c r="Q78" s="24">
        <f t="shared" si="10"/>
        <v>0.05</v>
      </c>
      <c r="R78" s="24">
        <f t="shared" si="11"/>
        <v>1.5</v>
      </c>
      <c r="S78" s="24">
        <f t="shared" si="12"/>
        <v>0.9</v>
      </c>
      <c r="T78" s="42">
        <f>N78*(1+Q78*(R78-1))*S78*战斗公式!$E$39+(P78*战斗公式!$E$40+1)*O78*战斗公式!$E$41</f>
        <v>316680.4803282455</v>
      </c>
      <c r="U78" s="42">
        <f t="shared" si="13"/>
        <v>15834.024016412382</v>
      </c>
      <c r="V78" s="6">
        <f>VLOOKUP($N$1,$D$4:$J$15,MATCH(F$4,$D$4:$J$4,0),0)*角色成长!E91*角色成长!$L$15*AB78/AA78/(1+$Y$2*($Z$2-1))</f>
        <v>6604.1982863529838</v>
      </c>
      <c r="W78" s="6">
        <f>VLOOKUP($N$1,$D$4:$J$15,MATCH(G$4,$D$4:$J$4,0),0)*角色成长!F91*角色成长!$L$15/(1+X78/角色成长!$N$16)</f>
        <v>70824.004077273101</v>
      </c>
      <c r="X78" s="6">
        <f>VLOOKUP($N$1,$D$4:$J$15,MATCH(H$4,$D$4:$J$4,0),0)*角色成长!G91*角色成长!$L$15</f>
        <v>132083.96572705967</v>
      </c>
      <c r="Y78" s="1">
        <v>0.05</v>
      </c>
      <c r="Z78" s="1">
        <v>1.5</v>
      </c>
      <c r="AA78" s="1">
        <f>VLOOKUP($N$1,$D$4:$J$15,MATCH(I$4,$D$4:$J$4,0),0)*角色成长!J91</f>
        <v>0.9</v>
      </c>
      <c r="AB78" s="1">
        <f t="shared" si="8"/>
        <v>0.75</v>
      </c>
      <c r="AC78" s="6"/>
      <c r="AD78" s="22"/>
      <c r="AE78" s="22"/>
      <c r="AF78" s="22"/>
      <c r="AG78" s="9"/>
      <c r="AH78" s="9"/>
      <c r="AI78" s="9"/>
      <c r="AJ78" s="9"/>
      <c r="AK78" s="9"/>
      <c r="AL78" s="9"/>
    </row>
    <row r="79" spans="5:38" ht="14.25" customHeight="1" x14ac:dyDescent="0.2">
      <c r="E79" s="6"/>
      <c r="F79" s="6"/>
      <c r="G79" s="6"/>
      <c r="H79" s="6"/>
      <c r="I79" s="26"/>
      <c r="J79" s="6"/>
      <c r="K79" s="6"/>
      <c r="L79" s="6">
        <f t="shared" si="9"/>
        <v>0.52136830897677677</v>
      </c>
      <c r="M79" s="1">
        <v>75</v>
      </c>
      <c r="N79" s="6">
        <f>VLOOKUP($N$2,角色品星!$C$16:$D$20,2,0)*VLOOKUP($N$3,角色品星!$C$3:$E$14,3,0)*V79</f>
        <v>6934.4082006706358</v>
      </c>
      <c r="O79" s="6">
        <f>VLOOKUP($N$2,角色品星!$C$16:$D$20,2,0)*VLOOKUP($N$3,角色品星!$C$3:$E$14,3,0)*W79</f>
        <v>72307.613546766806</v>
      </c>
      <c r="P79" s="6">
        <f>VLOOKUP($N$2,角色品星!$C$16:$D$20,2,0)*VLOOKUP($N$3,角色品星!$C$3:$E$14,3,0)*X79</f>
        <v>138688.16401341264</v>
      </c>
      <c r="Q79" s="24">
        <f t="shared" si="10"/>
        <v>0.05</v>
      </c>
      <c r="R79" s="24">
        <f t="shared" si="11"/>
        <v>1.5</v>
      </c>
      <c r="S79" s="24">
        <f t="shared" si="12"/>
        <v>0.9</v>
      </c>
      <c r="T79" s="42">
        <f>N79*(1+Q79*(R79-1))*S79*战斗公式!$E$39+(P79*战斗公式!$E$40+1)*O79*战斗公式!$E$41</f>
        <v>332514.50434465788</v>
      </c>
      <c r="U79" s="42">
        <f t="shared" si="13"/>
        <v>16625.72521723283</v>
      </c>
      <c r="V79" s="6">
        <f>VLOOKUP($N$1,$D$4:$J$15,MATCH(F$4,$D$4:$J$4,0),0)*角色成长!E92*角色成长!$L$15*AB79/AA79/(1+$Y$2*($Z$2-1))</f>
        <v>6934.4082006706358</v>
      </c>
      <c r="W79" s="6">
        <f>VLOOKUP($N$1,$D$4:$J$15,MATCH(G$4,$D$4:$J$4,0),0)*角色成长!F92*角色成长!$L$15/(1+X79/角色成长!$N$16)</f>
        <v>72307.613546766806</v>
      </c>
      <c r="X79" s="6">
        <f>VLOOKUP($N$1,$D$4:$J$15,MATCH(H$4,$D$4:$J$4,0),0)*角色成长!G92*角色成长!$L$15</f>
        <v>138688.16401341264</v>
      </c>
      <c r="Y79" s="1">
        <v>0.05</v>
      </c>
      <c r="Z79" s="1">
        <v>1.5</v>
      </c>
      <c r="AA79" s="1">
        <f>VLOOKUP($N$1,$D$4:$J$15,MATCH(I$4,$D$4:$J$4,0),0)*角色成长!J92</f>
        <v>0.9</v>
      </c>
      <c r="AB79" s="1">
        <f t="shared" si="8"/>
        <v>0.75</v>
      </c>
      <c r="AC79" s="6"/>
      <c r="AD79" s="22"/>
      <c r="AE79" s="22"/>
      <c r="AF79" s="22"/>
      <c r="AG79" s="9"/>
      <c r="AH79" s="9"/>
      <c r="AI79" s="9"/>
      <c r="AJ79" s="9"/>
      <c r="AK79" s="9"/>
      <c r="AL79" s="9"/>
    </row>
    <row r="80" spans="5:38" ht="14.25" customHeight="1" x14ac:dyDescent="0.2">
      <c r="E80" s="6"/>
      <c r="F80" s="6"/>
      <c r="G80" s="6"/>
      <c r="H80" s="6"/>
      <c r="I80" s="26"/>
      <c r="J80" s="6"/>
      <c r="K80" s="6"/>
      <c r="L80" s="6">
        <f t="shared" si="9"/>
        <v>0.50664905640667013</v>
      </c>
      <c r="M80" s="1">
        <v>76</v>
      </c>
      <c r="N80" s="6">
        <f>VLOOKUP($N$2,角色品星!$C$16:$D$20,2,0)*VLOOKUP($N$3,角色品星!$C$3:$E$14,3,0)*V80</f>
        <v>7281.1286107041651</v>
      </c>
      <c r="O80" s="6">
        <f>VLOOKUP($N$2,角色品星!$C$16:$D$20,2,0)*VLOOKUP($N$3,角色品星!$C$3:$E$14,3,0)*W80</f>
        <v>73779.538803777468</v>
      </c>
      <c r="P80" s="6">
        <f>VLOOKUP($N$2,角色品星!$C$16:$D$20,2,0)*VLOOKUP($N$3,角色品星!$C$3:$E$14,3,0)*X80</f>
        <v>145622.57221408328</v>
      </c>
      <c r="Q80" s="24">
        <f t="shared" si="10"/>
        <v>0.05</v>
      </c>
      <c r="R80" s="24">
        <f t="shared" si="11"/>
        <v>1.5</v>
      </c>
      <c r="S80" s="24">
        <f t="shared" si="12"/>
        <v>0.9</v>
      </c>
      <c r="T80" s="42">
        <f>N80*(1+Q80*(R80-1))*S80*战斗公式!$E$39+(P80*战斗公式!$E$40+1)*O80*战斗公式!$E$41</f>
        <v>349140.22956189071</v>
      </c>
      <c r="U80" s="42">
        <f t="shared" si="13"/>
        <v>17457.0114780945</v>
      </c>
      <c r="V80" s="6">
        <f>VLOOKUP($N$1,$D$4:$J$15,MATCH(F$4,$D$4:$J$4,0),0)*角色成长!E93*角色成长!$L$15*AB80/AA80/(1+$Y$2*($Z$2-1))</f>
        <v>7281.1286107041651</v>
      </c>
      <c r="W80" s="6">
        <f>VLOOKUP($N$1,$D$4:$J$15,MATCH(G$4,$D$4:$J$4,0),0)*角色成长!F93*角色成长!$L$15/(1+X80/角色成长!$N$16)</f>
        <v>73779.538803777468</v>
      </c>
      <c r="X80" s="6">
        <f>VLOOKUP($N$1,$D$4:$J$15,MATCH(H$4,$D$4:$J$4,0),0)*角色成长!G93*角色成长!$L$15</f>
        <v>145622.57221408328</v>
      </c>
      <c r="Y80" s="1">
        <v>0.05</v>
      </c>
      <c r="Z80" s="1">
        <v>1.5</v>
      </c>
      <c r="AA80" s="1">
        <f>VLOOKUP($N$1,$D$4:$J$15,MATCH(I$4,$D$4:$J$4,0),0)*角色成长!J93</f>
        <v>0.9</v>
      </c>
      <c r="AB80" s="1">
        <f t="shared" si="8"/>
        <v>0.75</v>
      </c>
      <c r="AC80" s="6"/>
      <c r="AD80" s="22"/>
      <c r="AE80" s="22"/>
      <c r="AF80" s="22"/>
      <c r="AG80" s="9"/>
      <c r="AH80" s="9"/>
      <c r="AI80" s="9"/>
      <c r="AJ80" s="9"/>
      <c r="AK80" s="9"/>
      <c r="AL80" s="9"/>
    </row>
    <row r="81" spans="5:38" ht="14.25" customHeight="1" x14ac:dyDescent="0.2">
      <c r="E81" s="6"/>
      <c r="F81" s="6"/>
      <c r="G81" s="6"/>
      <c r="H81" s="6"/>
      <c r="I81" s="26"/>
      <c r="J81" s="6"/>
      <c r="K81" s="6"/>
      <c r="L81" s="6">
        <f t="shared" si="9"/>
        <v>0.49206256784142521</v>
      </c>
      <c r="M81" s="1">
        <v>77</v>
      </c>
      <c r="N81" s="6">
        <f>VLOOKUP($N$2,角色品星!$C$16:$D$20,2,0)*VLOOKUP($N$3,角色品星!$C$3:$E$14,3,0)*V81</f>
        <v>7645.1850412393733</v>
      </c>
      <c r="O81" s="6">
        <f>VLOOKUP($N$2,角色品星!$C$16:$D$20,2,0)*VLOOKUP($N$3,角色品星!$C$3:$E$14,3,0)*W81</f>
        <v>75238.187660301948</v>
      </c>
      <c r="P81" s="6">
        <f>VLOOKUP($N$2,角色品星!$C$16:$D$20,2,0)*VLOOKUP($N$3,角色品星!$C$3:$E$14,3,0)*X81</f>
        <v>152903.70082478743</v>
      </c>
      <c r="Q81" s="24">
        <f t="shared" si="10"/>
        <v>0.05</v>
      </c>
      <c r="R81" s="24">
        <f t="shared" si="11"/>
        <v>1.5</v>
      </c>
      <c r="S81" s="24">
        <f t="shared" si="12"/>
        <v>0.9</v>
      </c>
      <c r="T81" s="42">
        <f>N81*(1+Q81*(R81-1))*S81*战斗公式!$E$39+(P81*战斗公式!$E$40+1)*O81*战斗公式!$E$41</f>
        <v>366597.24103998521</v>
      </c>
      <c r="U81" s="42">
        <f t="shared" si="13"/>
        <v>18329.862051999313</v>
      </c>
      <c r="V81" s="6">
        <f>VLOOKUP($N$1,$D$4:$J$15,MATCH(F$4,$D$4:$J$4,0),0)*角色成长!E94*角色成长!$L$15*AB81/AA81/(1+$Y$2*($Z$2-1))</f>
        <v>7645.1850412393733</v>
      </c>
      <c r="W81" s="6">
        <f>VLOOKUP($N$1,$D$4:$J$15,MATCH(G$4,$D$4:$J$4,0),0)*角色成长!F94*角色成长!$L$15/(1+X81/角色成长!$N$16)</f>
        <v>75238.187660301948</v>
      </c>
      <c r="X81" s="6">
        <f>VLOOKUP($N$1,$D$4:$J$15,MATCH(H$4,$D$4:$J$4,0),0)*角色成长!G94*角色成长!$L$15</f>
        <v>152903.70082478743</v>
      </c>
      <c r="Y81" s="1">
        <v>0.05</v>
      </c>
      <c r="Z81" s="1">
        <v>1.5</v>
      </c>
      <c r="AA81" s="1">
        <f>VLOOKUP($N$1,$D$4:$J$15,MATCH(I$4,$D$4:$J$4,0),0)*角色成长!J94</f>
        <v>0.9</v>
      </c>
      <c r="AB81" s="1">
        <f t="shared" si="8"/>
        <v>0.75</v>
      </c>
      <c r="AC81" s="6"/>
      <c r="AD81" s="22"/>
      <c r="AE81" s="22"/>
      <c r="AF81" s="22"/>
      <c r="AG81" s="9"/>
      <c r="AH81" s="9"/>
      <c r="AI81" s="9"/>
      <c r="AJ81" s="9"/>
      <c r="AK81" s="9"/>
      <c r="AL81" s="9"/>
    </row>
    <row r="82" spans="5:38" ht="14.25" customHeight="1" x14ac:dyDescent="0.2">
      <c r="E82" s="6"/>
      <c r="F82" s="6"/>
      <c r="G82" s="6"/>
      <c r="H82" s="6"/>
      <c r="I82" s="26"/>
      <c r="J82" s="6"/>
      <c r="K82" s="6"/>
      <c r="L82" s="6">
        <f t="shared" si="9"/>
        <v>0.47762416650068984</v>
      </c>
      <c r="M82" s="1">
        <v>78</v>
      </c>
      <c r="N82" s="6">
        <f>VLOOKUP($N$2,角色品星!$C$16:$D$20,2,0)*VLOOKUP($N$3,角色品星!$C$3:$E$14,3,0)*V82</f>
        <v>8027.4442933013434</v>
      </c>
      <c r="O82" s="6">
        <f>VLOOKUP($N$2,角色品星!$C$16:$D$20,2,0)*VLOOKUP($N$3,角色品星!$C$3:$E$14,3,0)*W82</f>
        <v>76682.027794375463</v>
      </c>
      <c r="P82" s="6">
        <f>VLOOKUP($N$2,角色品星!$C$16:$D$20,2,0)*VLOOKUP($N$3,角色品星!$C$3:$E$14,3,0)*X82</f>
        <v>160548.88586602686</v>
      </c>
      <c r="Q82" s="24">
        <f t="shared" si="10"/>
        <v>0.05</v>
      </c>
      <c r="R82" s="24">
        <f t="shared" si="11"/>
        <v>1.5</v>
      </c>
      <c r="S82" s="24">
        <f t="shared" si="12"/>
        <v>0.9</v>
      </c>
      <c r="T82" s="42">
        <f>N82*(1+Q82*(R82-1))*S82*战斗公式!$E$39+(P82*战斗公式!$E$40+1)*O82*战斗公式!$E$41</f>
        <v>384927.10309198452</v>
      </c>
      <c r="U82" s="42">
        <f t="shared" si="13"/>
        <v>19246.35515459918</v>
      </c>
      <c r="V82" s="6">
        <f>VLOOKUP($N$1,$D$4:$J$15,MATCH(F$4,$D$4:$J$4,0),0)*角色成长!E95*角色成长!$L$15*AB82/AA82/(1+$Y$2*($Z$2-1))</f>
        <v>8027.4442933013434</v>
      </c>
      <c r="W82" s="6">
        <f>VLOOKUP($N$1,$D$4:$J$15,MATCH(G$4,$D$4:$J$4,0),0)*角色成长!F95*角色成长!$L$15/(1+X82/角色成长!$N$16)</f>
        <v>76682.027794375463</v>
      </c>
      <c r="X82" s="6">
        <f>VLOOKUP($N$1,$D$4:$J$15,MATCH(H$4,$D$4:$J$4,0),0)*角色成长!G95*角色成长!$L$15</f>
        <v>160548.88586602686</v>
      </c>
      <c r="Y82" s="1">
        <v>0.05</v>
      </c>
      <c r="Z82" s="1">
        <v>1.5</v>
      </c>
      <c r="AA82" s="1">
        <f>VLOOKUP($N$1,$D$4:$J$15,MATCH(I$4,$D$4:$J$4,0),0)*角色成长!J95</f>
        <v>0.9</v>
      </c>
      <c r="AB82" s="1">
        <f t="shared" si="8"/>
        <v>0.75</v>
      </c>
      <c r="AC82" s="6"/>
      <c r="AD82" s="22"/>
      <c r="AE82" s="22"/>
      <c r="AF82" s="22"/>
      <c r="AG82" s="9"/>
      <c r="AH82" s="9"/>
      <c r="AI82" s="9"/>
      <c r="AJ82" s="9"/>
      <c r="AK82" s="9"/>
      <c r="AL82" s="9"/>
    </row>
    <row r="83" spans="5:38" ht="14.25" customHeight="1" x14ac:dyDescent="0.2">
      <c r="E83" s="6"/>
      <c r="F83" s="6"/>
      <c r="G83" s="6"/>
      <c r="H83" s="6"/>
      <c r="I83" s="26"/>
      <c r="J83" s="6"/>
      <c r="K83" s="6"/>
      <c r="L83" s="6">
        <f t="shared" si="9"/>
        <v>0.46334851760994739</v>
      </c>
      <c r="M83" s="1">
        <v>79</v>
      </c>
      <c r="N83" s="6">
        <f>VLOOKUP($N$2,角色品星!$C$16:$D$20,2,0)*VLOOKUP($N$3,角色品星!$C$3:$E$14,3,0)*V83</f>
        <v>8428.8165079664086</v>
      </c>
      <c r="O83" s="6">
        <f>VLOOKUP($N$2,角色品星!$C$16:$D$20,2,0)*VLOOKUP($N$3,角色品星!$C$3:$E$14,3,0)*W83</f>
        <v>78109.592683449751</v>
      </c>
      <c r="P83" s="6">
        <f>VLOOKUP($N$2,角色品星!$C$16:$D$20,2,0)*VLOOKUP($N$3,角色品星!$C$3:$E$14,3,0)*X83</f>
        <v>168576.33015932812</v>
      </c>
      <c r="Q83" s="24">
        <f t="shared" si="10"/>
        <v>0.05</v>
      </c>
      <c r="R83" s="24">
        <f t="shared" si="11"/>
        <v>1.5</v>
      </c>
      <c r="S83" s="24">
        <f t="shared" si="12"/>
        <v>0.9</v>
      </c>
      <c r="T83" s="42">
        <f>N83*(1+Q83*(R83-1))*S83*战斗公式!$E$39+(P83*战斗公式!$E$40+1)*O83*战斗公式!$E$41</f>
        <v>404173.4582465837</v>
      </c>
      <c r="U83" s="42">
        <f t="shared" si="13"/>
        <v>20208.672912329319</v>
      </c>
      <c r="V83" s="6">
        <f>VLOOKUP($N$1,$D$4:$J$15,MATCH(F$4,$D$4:$J$4,0),0)*角色成长!E96*角色成长!$L$15*AB83/AA83/(1+$Y$2*($Z$2-1))</f>
        <v>8428.8165079664086</v>
      </c>
      <c r="W83" s="6">
        <f>VLOOKUP($N$1,$D$4:$J$15,MATCH(G$4,$D$4:$J$4,0),0)*角色成长!F96*角色成长!$L$15/(1+X83/角色成长!$N$16)</f>
        <v>78109.592683449751</v>
      </c>
      <c r="X83" s="6">
        <f>VLOOKUP($N$1,$D$4:$J$15,MATCH(H$4,$D$4:$J$4,0),0)*角色成长!G96*角色成长!$L$15</f>
        <v>168576.33015932812</v>
      </c>
      <c r="Y83" s="1">
        <v>0.05</v>
      </c>
      <c r="Z83" s="1">
        <v>1.5</v>
      </c>
      <c r="AA83" s="1">
        <f>VLOOKUP($N$1,$D$4:$J$15,MATCH(I$4,$D$4:$J$4,0),0)*角色成长!J96</f>
        <v>0.9</v>
      </c>
      <c r="AB83" s="1">
        <f t="shared" si="8"/>
        <v>0.75</v>
      </c>
      <c r="AC83" s="6"/>
      <c r="AD83" s="22"/>
      <c r="AE83" s="22"/>
      <c r="AF83" s="22"/>
      <c r="AG83" s="9"/>
      <c r="AH83" s="9"/>
      <c r="AI83" s="9"/>
      <c r="AJ83" s="9"/>
      <c r="AK83" s="9"/>
      <c r="AL83" s="9"/>
    </row>
    <row r="84" spans="5:38" ht="14.25" customHeight="1" x14ac:dyDescent="0.2">
      <c r="E84" s="6"/>
      <c r="F84" s="6"/>
      <c r="G84" s="6"/>
      <c r="H84" s="6"/>
      <c r="I84" s="26"/>
      <c r="J84" s="6"/>
      <c r="K84" s="6"/>
      <c r="L84" s="6">
        <f t="shared" si="9"/>
        <v>0.44924957511317376</v>
      </c>
      <c r="M84" s="1">
        <v>80</v>
      </c>
      <c r="N84" s="6">
        <f>VLOOKUP($N$2,角色品星!$C$16:$D$20,2,0)*VLOOKUP($N$3,角色品星!$C$3:$E$14,3,0)*V84</f>
        <v>8850.2573333647324</v>
      </c>
      <c r="O84" s="6">
        <f>VLOOKUP($N$2,角色品星!$C$16:$D$20,2,0)*VLOOKUP($N$3,角色品星!$C$3:$E$14,3,0)*W84</f>
        <v>79519.486933127104</v>
      </c>
      <c r="P84" s="6">
        <f>VLOOKUP($N$2,角色品星!$C$16:$D$20,2,0)*VLOOKUP($N$3,角色品星!$C$3:$E$14,3,0)*X84</f>
        <v>177005.14666729461</v>
      </c>
      <c r="Q84" s="24">
        <f t="shared" si="10"/>
        <v>0.05</v>
      </c>
      <c r="R84" s="24">
        <f t="shared" si="11"/>
        <v>1.5</v>
      </c>
      <c r="S84" s="24">
        <f t="shared" si="12"/>
        <v>0.9</v>
      </c>
      <c r="T84" s="42">
        <f>N84*(1+Q84*(R84-1))*S84*战斗公式!$E$39+(P84*战斗公式!$E$40+1)*O84*战斗公式!$E$41</f>
        <v>424382.13115891302</v>
      </c>
      <c r="U84" s="42">
        <f t="shared" si="13"/>
        <v>21219.106557945488</v>
      </c>
      <c r="V84" s="6">
        <f>VLOOKUP($N$1,$D$4:$J$15,MATCH(F$4,$D$4:$J$4,0),0)*角色成长!E97*角色成长!$L$15*AB84/AA84/(1+$Y$2*($Z$2-1))</f>
        <v>8850.2573333647324</v>
      </c>
      <c r="W84" s="6">
        <f>VLOOKUP($N$1,$D$4:$J$15,MATCH(G$4,$D$4:$J$4,0),0)*角色成长!F97*角色成长!$L$15/(1+X84/角色成长!$N$16)</f>
        <v>79519.486933127104</v>
      </c>
      <c r="X84" s="6">
        <f>VLOOKUP($N$1,$D$4:$J$15,MATCH(H$4,$D$4:$J$4,0),0)*角色成长!G97*角色成长!$L$15</f>
        <v>177005.14666729461</v>
      </c>
      <c r="Y84" s="1">
        <v>0.05</v>
      </c>
      <c r="Z84" s="1">
        <v>1.5</v>
      </c>
      <c r="AA84" s="1">
        <f>VLOOKUP($N$1,$D$4:$J$15,MATCH(I$4,$D$4:$J$4,0),0)*角色成长!J97</f>
        <v>0.9</v>
      </c>
      <c r="AB84" s="1">
        <f t="shared" si="8"/>
        <v>0.75</v>
      </c>
      <c r="AC84" s="6"/>
      <c r="AD84" s="22"/>
      <c r="AE84" s="22"/>
      <c r="AF84" s="22"/>
      <c r="AG84" s="9"/>
      <c r="AH84" s="9"/>
      <c r="AI84" s="9"/>
      <c r="AJ84" s="9"/>
      <c r="AK84" s="9"/>
      <c r="AL84" s="9"/>
    </row>
    <row r="85" spans="5:38" ht="14.25" customHeight="1" x14ac:dyDescent="0.2">
      <c r="E85" s="6"/>
      <c r="F85" s="6"/>
      <c r="G85" s="6"/>
      <c r="H85" s="6"/>
      <c r="I85" s="26"/>
      <c r="J85" s="6"/>
      <c r="K85" s="6"/>
      <c r="L85" s="6">
        <f t="shared" si="9"/>
        <v>0.43534053476966078</v>
      </c>
      <c r="M85" s="1">
        <v>81</v>
      </c>
      <c r="N85" s="6">
        <f>VLOOKUP($N$2,角色品星!$C$16:$D$20,2,0)*VLOOKUP($N$3,角色品星!$C$3:$E$14,3,0)*V85</f>
        <v>9292.7702000329664</v>
      </c>
      <c r="O85" s="6">
        <f>VLOOKUP($N$2,角色品星!$C$16:$D$20,2,0)*VLOOKUP($N$3,角色品星!$C$3:$E$14,3,0)*W85</f>
        <v>80910.390967478379</v>
      </c>
      <c r="P85" s="6">
        <f>VLOOKUP($N$2,角色品星!$C$16:$D$20,2,0)*VLOOKUP($N$3,角色品星!$C$3:$E$14,3,0)*X85</f>
        <v>185855.40400065933</v>
      </c>
      <c r="Q85" s="24">
        <f t="shared" si="10"/>
        <v>0.05</v>
      </c>
      <c r="R85" s="24">
        <f t="shared" si="11"/>
        <v>1.5</v>
      </c>
      <c r="S85" s="24">
        <f t="shared" si="12"/>
        <v>0.9</v>
      </c>
      <c r="T85" s="42">
        <f>N85*(1+Q85*(R85-1))*S85*战斗公式!$E$39+(P85*战斗公式!$E$40+1)*O85*战斗公式!$E$41</f>
        <v>445601.23771685851</v>
      </c>
      <c r="U85" s="42">
        <f t="shared" si="13"/>
        <v>22280.06188584317</v>
      </c>
      <c r="V85" s="6">
        <f>VLOOKUP($N$1,$D$4:$J$15,MATCH(F$4,$D$4:$J$4,0),0)*角色成长!E98*角色成长!$L$15*AB85/AA85/(1+$Y$2*($Z$2-1))</f>
        <v>9292.7702000329664</v>
      </c>
      <c r="W85" s="6">
        <f>VLOOKUP($N$1,$D$4:$J$15,MATCH(G$4,$D$4:$J$4,0),0)*角色成长!F98*角色成长!$L$15/(1+X85/角色成长!$N$16)</f>
        <v>80910.390967478379</v>
      </c>
      <c r="X85" s="6">
        <f>VLOOKUP($N$1,$D$4:$J$15,MATCH(H$4,$D$4:$J$4,0),0)*角色成长!G98*角色成长!$L$15</f>
        <v>185855.40400065933</v>
      </c>
      <c r="Y85" s="1">
        <v>0.05</v>
      </c>
      <c r="Z85" s="1">
        <v>1.5</v>
      </c>
      <c r="AA85" s="1">
        <f>VLOOKUP($N$1,$D$4:$J$15,MATCH(I$4,$D$4:$J$4,0),0)*角色成长!J98</f>
        <v>0.9</v>
      </c>
      <c r="AB85" s="1">
        <f t="shared" si="8"/>
        <v>0.75</v>
      </c>
      <c r="AC85" s="6"/>
      <c r="AD85" s="22"/>
      <c r="AE85" s="22"/>
      <c r="AF85" s="22"/>
      <c r="AG85" s="9"/>
      <c r="AH85" s="9"/>
      <c r="AI85" s="9"/>
      <c r="AJ85" s="9"/>
      <c r="AK85" s="9"/>
      <c r="AL85" s="9"/>
    </row>
    <row r="86" spans="5:38" ht="14.25" customHeight="1" x14ac:dyDescent="0.2">
      <c r="E86" s="6"/>
      <c r="F86" s="6"/>
      <c r="G86" s="6"/>
      <c r="H86" s="6"/>
      <c r="I86" s="26"/>
      <c r="J86" s="6"/>
      <c r="K86" s="6"/>
      <c r="L86" s="6">
        <f t="shared" si="9"/>
        <v>0.42163379387814143</v>
      </c>
      <c r="M86" s="1">
        <v>82</v>
      </c>
      <c r="N86" s="6">
        <f>VLOOKUP($N$2,角色品星!$C$16:$D$20,2,0)*VLOOKUP($N$3,角色品星!$C$3:$E$14,3,0)*V86</f>
        <v>9757.4087100346169</v>
      </c>
      <c r="O86" s="6">
        <f>VLOOKUP($N$2,角色品星!$C$16:$D$20,2,0)*VLOOKUP($N$3,角色品星!$C$3:$E$14,3,0)*W86</f>
        <v>82281.065056630337</v>
      </c>
      <c r="P86" s="6">
        <f>VLOOKUP($N$2,角色品星!$C$16:$D$20,2,0)*VLOOKUP($N$3,角色品星!$C$3:$E$14,3,0)*X86</f>
        <v>195148.1742006923</v>
      </c>
      <c r="Q86" s="24">
        <f t="shared" si="10"/>
        <v>0.05</v>
      </c>
      <c r="R86" s="24">
        <f t="shared" si="11"/>
        <v>1.5</v>
      </c>
      <c r="S86" s="24">
        <f t="shared" si="12"/>
        <v>0.9</v>
      </c>
      <c r="T86" s="42">
        <f>N86*(1+Q86*(R86-1))*S86*战斗公式!$E$39+(P86*战斗公式!$E$40+1)*O86*战斗公式!$E$41</f>
        <v>467881.29960270168</v>
      </c>
      <c r="U86" s="42">
        <f t="shared" si="13"/>
        <v>23394.064980135066</v>
      </c>
      <c r="V86" s="6">
        <f>VLOOKUP($N$1,$D$4:$J$15,MATCH(F$4,$D$4:$J$4,0),0)*角色成长!E99*角色成长!$L$15*AB86/AA86/(1+$Y$2*($Z$2-1))</f>
        <v>9757.4087100346169</v>
      </c>
      <c r="W86" s="6">
        <f>VLOOKUP($N$1,$D$4:$J$15,MATCH(G$4,$D$4:$J$4,0),0)*角色成长!F99*角色成长!$L$15/(1+X86/角色成长!$N$16)</f>
        <v>82281.065056630337</v>
      </c>
      <c r="X86" s="6">
        <f>VLOOKUP($N$1,$D$4:$J$15,MATCH(H$4,$D$4:$J$4,0),0)*角色成长!G99*角色成长!$L$15</f>
        <v>195148.1742006923</v>
      </c>
      <c r="Y86" s="1">
        <v>0.05</v>
      </c>
      <c r="Z86" s="1">
        <v>1.5</v>
      </c>
      <c r="AA86" s="1">
        <f>VLOOKUP($N$1,$D$4:$J$15,MATCH(I$4,$D$4:$J$4,0),0)*角色成长!J99</f>
        <v>0.9</v>
      </c>
      <c r="AB86" s="1">
        <f t="shared" si="8"/>
        <v>0.75</v>
      </c>
      <c r="AC86" s="6"/>
      <c r="AD86" s="22"/>
      <c r="AE86" s="22"/>
      <c r="AF86" s="22"/>
      <c r="AG86" s="9"/>
      <c r="AH86" s="9"/>
      <c r="AI86" s="9"/>
      <c r="AJ86" s="9"/>
      <c r="AK86" s="9"/>
      <c r="AL86" s="9"/>
    </row>
    <row r="87" spans="5:38" ht="14.25" customHeight="1" x14ac:dyDescent="0.2">
      <c r="E87" s="6"/>
      <c r="F87" s="6"/>
      <c r="G87" s="6"/>
      <c r="H87" s="6"/>
      <c r="I87" s="26"/>
      <c r="J87" s="6"/>
      <c r="K87" s="6"/>
      <c r="L87" s="6">
        <f t="shared" si="9"/>
        <v>0.40814091777676786</v>
      </c>
      <c r="M87" s="1">
        <v>83</v>
      </c>
      <c r="N87" s="6">
        <f>VLOOKUP($N$2,角色品星!$C$16:$D$20,2,0)*VLOOKUP($N$3,角色品星!$C$3:$E$14,3,0)*V87</f>
        <v>10245.279145536349</v>
      </c>
      <c r="O87" s="6">
        <f>VLOOKUP($N$2,角色品星!$C$16:$D$20,2,0)*VLOOKUP($N$3,角色品星!$C$3:$E$14,3,0)*W87</f>
        <v>83630.352666767692</v>
      </c>
      <c r="P87" s="6">
        <f>VLOOKUP($N$2,角色品星!$C$16:$D$20,2,0)*VLOOKUP($N$3,角色品星!$C$3:$E$14,3,0)*X87</f>
        <v>204905.58291072692</v>
      </c>
      <c r="Q87" s="24">
        <f t="shared" si="10"/>
        <v>0.05</v>
      </c>
      <c r="R87" s="24">
        <f t="shared" si="11"/>
        <v>1.5</v>
      </c>
      <c r="S87" s="24">
        <f t="shared" si="12"/>
        <v>0.9</v>
      </c>
      <c r="T87" s="42">
        <f>N87*(1+Q87*(R87-1))*S87*战斗公式!$E$39+(P87*战斗公式!$E$40+1)*O87*战斗公式!$E$41</f>
        <v>491275.36458283674</v>
      </c>
      <c r="U87" s="42">
        <f t="shared" si="13"/>
        <v>24563.768229141773</v>
      </c>
      <c r="V87" s="6">
        <f>VLOOKUP($N$1,$D$4:$J$15,MATCH(F$4,$D$4:$J$4,0),0)*角色成长!E100*角色成长!$L$15*AB87/AA87/(1+$Y$2*($Z$2-1))</f>
        <v>10245.279145536349</v>
      </c>
      <c r="W87" s="6">
        <f>VLOOKUP($N$1,$D$4:$J$15,MATCH(G$4,$D$4:$J$4,0),0)*角色成长!F100*角色成长!$L$15/(1+X87/角色成长!$N$16)</f>
        <v>83630.352666767692</v>
      </c>
      <c r="X87" s="6">
        <f>VLOOKUP($N$1,$D$4:$J$15,MATCH(H$4,$D$4:$J$4,0),0)*角色成长!G100*角色成长!$L$15</f>
        <v>204905.58291072692</v>
      </c>
      <c r="Y87" s="1">
        <v>0.05</v>
      </c>
      <c r="Z87" s="1">
        <v>1.5</v>
      </c>
      <c r="AA87" s="1">
        <f>VLOOKUP($N$1,$D$4:$J$15,MATCH(I$4,$D$4:$J$4,0),0)*角色成长!J100</f>
        <v>0.9</v>
      </c>
      <c r="AB87" s="1">
        <f t="shared" si="8"/>
        <v>0.75</v>
      </c>
      <c r="AC87" s="6"/>
      <c r="AD87" s="22"/>
      <c r="AE87" s="22"/>
      <c r="AF87" s="22"/>
      <c r="AG87" s="9"/>
      <c r="AH87" s="9"/>
      <c r="AI87" s="9"/>
      <c r="AJ87" s="9"/>
      <c r="AK87" s="9"/>
      <c r="AL87" s="9"/>
    </row>
    <row r="88" spans="5:38" ht="14.25" customHeight="1" x14ac:dyDescent="0.2">
      <c r="E88" s="6"/>
      <c r="F88" s="6"/>
      <c r="G88" s="6"/>
      <c r="H88" s="6"/>
      <c r="I88" s="26"/>
      <c r="J88" s="6"/>
      <c r="K88" s="6"/>
      <c r="L88" s="6">
        <f t="shared" si="9"/>
        <v>0.39487261317479011</v>
      </c>
      <c r="M88" s="1">
        <v>84</v>
      </c>
      <c r="N88" s="6">
        <f>VLOOKUP($N$2,角色品星!$C$16:$D$20,2,0)*VLOOKUP($N$3,角色品星!$C$3:$E$14,3,0)*V88</f>
        <v>10757.543102813166</v>
      </c>
      <c r="O88" s="6">
        <f>VLOOKUP($N$2,角色品星!$C$16:$D$20,2,0)*VLOOKUP($N$3,角色品星!$C$3:$E$14,3,0)*W88</f>
        <v>84957.183126965465</v>
      </c>
      <c r="P88" s="6">
        <f>VLOOKUP($N$2,角色品星!$C$16:$D$20,2,0)*VLOOKUP($N$3,角色品星!$C$3:$E$14,3,0)*X88</f>
        <v>215150.86205626326</v>
      </c>
      <c r="Q88" s="24">
        <f t="shared" si="10"/>
        <v>0.05</v>
      </c>
      <c r="R88" s="24">
        <f t="shared" si="11"/>
        <v>1.5</v>
      </c>
      <c r="S88" s="24">
        <f t="shared" si="12"/>
        <v>0.9</v>
      </c>
      <c r="T88" s="42">
        <f>N88*(1+Q88*(R88-1))*S88*战斗公式!$E$39+(P88*战斗公式!$E$40+1)*O88*战斗公式!$E$41</f>
        <v>515839.13281197852</v>
      </c>
      <c r="U88" s="42">
        <f t="shared" si="13"/>
        <v>25791.956640599004</v>
      </c>
      <c r="V88" s="6">
        <f>VLOOKUP($N$1,$D$4:$J$15,MATCH(F$4,$D$4:$J$4,0),0)*角色成长!E101*角色成长!$L$15*AB88/AA88/(1+$Y$2*($Z$2-1))</f>
        <v>10757.543102813166</v>
      </c>
      <c r="W88" s="6">
        <f>VLOOKUP($N$1,$D$4:$J$15,MATCH(G$4,$D$4:$J$4,0),0)*角色成长!F101*角色成长!$L$15/(1+X88/角色成长!$N$16)</f>
        <v>84957.183126965465</v>
      </c>
      <c r="X88" s="6">
        <f>VLOOKUP($N$1,$D$4:$J$15,MATCH(H$4,$D$4:$J$4,0),0)*角色成长!G101*角色成长!$L$15</f>
        <v>215150.86205626326</v>
      </c>
      <c r="Y88" s="1">
        <v>0.05</v>
      </c>
      <c r="Z88" s="1">
        <v>1.5</v>
      </c>
      <c r="AA88" s="1">
        <f>VLOOKUP($N$1,$D$4:$J$15,MATCH(I$4,$D$4:$J$4,0),0)*角色成长!J101</f>
        <v>0.9</v>
      </c>
      <c r="AB88" s="1">
        <f t="shared" si="8"/>
        <v>0.75</v>
      </c>
      <c r="AC88" s="6"/>
      <c r="AD88" s="22"/>
      <c r="AE88" s="22"/>
      <c r="AF88" s="22"/>
      <c r="AG88" s="9"/>
      <c r="AH88" s="9"/>
      <c r="AI88" s="9"/>
      <c r="AJ88" s="9"/>
      <c r="AK88" s="9"/>
      <c r="AL88" s="9"/>
    </row>
    <row r="89" spans="5:38" ht="14.25" customHeight="1" x14ac:dyDescent="0.2">
      <c r="E89" s="6"/>
      <c r="F89" s="6"/>
      <c r="G89" s="6"/>
      <c r="H89" s="6"/>
      <c r="I89" s="26"/>
      <c r="J89" s="6"/>
      <c r="K89" s="6"/>
      <c r="L89" s="6">
        <f t="shared" si="9"/>
        <v>0.3818387082827856</v>
      </c>
      <c r="M89" s="1">
        <v>85</v>
      </c>
      <c r="N89" s="6">
        <f>VLOOKUP($N$2,角色品星!$C$16:$D$20,2,0)*VLOOKUP($N$3,角色品星!$C$3:$E$14,3,0)*V89</f>
        <v>11295.420257953825</v>
      </c>
      <c r="O89" s="6">
        <f>VLOOKUP($N$2,角色品星!$C$16:$D$20,2,0)*VLOOKUP($N$3,角色品星!$C$3:$E$14,3,0)*W89</f>
        <v>86260.573616165915</v>
      </c>
      <c r="P89" s="6">
        <f>VLOOKUP($N$2,角色品星!$C$16:$D$20,2,0)*VLOOKUP($N$3,角色品星!$C$3:$E$14,3,0)*X89</f>
        <v>225908.40515907641</v>
      </c>
      <c r="Q89" s="24">
        <f t="shared" si="10"/>
        <v>0.05</v>
      </c>
      <c r="R89" s="24">
        <f t="shared" si="11"/>
        <v>1.5</v>
      </c>
      <c r="S89" s="24">
        <f t="shared" si="12"/>
        <v>0.9</v>
      </c>
      <c r="T89" s="42">
        <f>N89*(1+Q89*(R89-1))*S89*战斗公式!$E$39+(P89*战斗公式!$E$40+1)*O89*战斗公式!$E$41</f>
        <v>541631.08945257752</v>
      </c>
      <c r="U89" s="42">
        <f t="shared" si="13"/>
        <v>27081.554472628748</v>
      </c>
      <c r="V89" s="6">
        <f>VLOOKUP($N$1,$D$4:$J$15,MATCH(F$4,$D$4:$J$4,0),0)*角色成长!E102*角色成长!$L$15*AB89/AA89/(1+$Y$2*($Z$2-1))</f>
        <v>11295.420257953825</v>
      </c>
      <c r="W89" s="6">
        <f>VLOOKUP($N$1,$D$4:$J$15,MATCH(G$4,$D$4:$J$4,0),0)*角色成长!F102*角色成长!$L$15/(1+X89/角色成长!$N$16)</f>
        <v>86260.573616165915</v>
      </c>
      <c r="X89" s="6">
        <f>VLOOKUP($N$1,$D$4:$J$15,MATCH(H$4,$D$4:$J$4,0),0)*角色成长!G102*角色成长!$L$15</f>
        <v>225908.40515907641</v>
      </c>
      <c r="Y89" s="1">
        <v>0.05</v>
      </c>
      <c r="Z89" s="1">
        <v>1.5</v>
      </c>
      <c r="AA89" s="1">
        <f>VLOOKUP($N$1,$D$4:$J$15,MATCH(I$4,$D$4:$J$4,0),0)*角色成长!J102</f>
        <v>0.9</v>
      </c>
      <c r="AB89" s="1">
        <f t="shared" si="8"/>
        <v>0.75</v>
      </c>
      <c r="AC89" s="6"/>
      <c r="AD89" s="22"/>
      <c r="AE89" s="22"/>
      <c r="AF89" s="22"/>
      <c r="AG89" s="9"/>
      <c r="AH89" s="9"/>
      <c r="AI89" s="9"/>
      <c r="AJ89" s="9"/>
      <c r="AK89" s="9"/>
      <c r="AL89" s="9"/>
    </row>
    <row r="90" spans="5:38" ht="14.25" customHeight="1" x14ac:dyDescent="0.2">
      <c r="E90" s="6"/>
      <c r="F90" s="6"/>
      <c r="G90" s="6"/>
      <c r="H90" s="6"/>
      <c r="I90" s="26"/>
      <c r="J90" s="6"/>
      <c r="K90" s="6"/>
      <c r="L90" s="6">
        <f t="shared" si="9"/>
        <v>0.36904813962457345</v>
      </c>
      <c r="M90" s="1">
        <v>86</v>
      </c>
      <c r="N90" s="6">
        <f>VLOOKUP($N$2,角色品星!$C$16:$D$20,2,0)*VLOOKUP($N$3,角色品星!$C$3:$E$14,3,0)*V90</f>
        <v>11860.191270851512</v>
      </c>
      <c r="O90" s="6">
        <f>VLOOKUP($N$2,角色品星!$C$16:$D$20,2,0)*VLOOKUP($N$3,角色品星!$C$3:$E$14,3,0)*W90</f>
        <v>87539.630481987115</v>
      </c>
      <c r="P90" s="6">
        <f>VLOOKUP($N$2,角色品星!$C$16:$D$20,2,0)*VLOOKUP($N$3,角色品星!$C$3:$E$14,3,0)*X90</f>
        <v>237203.82541703022</v>
      </c>
      <c r="Q90" s="24">
        <f t="shared" si="10"/>
        <v>0.05</v>
      </c>
      <c r="R90" s="24">
        <f t="shared" si="11"/>
        <v>1.5</v>
      </c>
      <c r="S90" s="24">
        <f t="shared" si="12"/>
        <v>0.9</v>
      </c>
      <c r="T90" s="42">
        <f>N90*(1+Q90*(R90-1))*S90*战斗公式!$E$39+(P90*战斗公式!$E$40+1)*O90*战斗公式!$E$41</f>
        <v>568712.64392520627</v>
      </c>
      <c r="U90" s="42">
        <f t="shared" si="13"/>
        <v>28435.632196260267</v>
      </c>
      <c r="V90" s="6">
        <f>VLOOKUP($N$1,$D$4:$J$15,MATCH(F$4,$D$4:$J$4,0),0)*角色成长!E103*角色成长!$L$15*AB90/AA90/(1+$Y$2*($Z$2-1))</f>
        <v>11860.191270851512</v>
      </c>
      <c r="W90" s="6">
        <f>VLOOKUP($N$1,$D$4:$J$15,MATCH(G$4,$D$4:$J$4,0),0)*角色成长!F103*角色成长!$L$15/(1+X90/角色成长!$N$16)</f>
        <v>87539.630481987115</v>
      </c>
      <c r="X90" s="6">
        <f>VLOOKUP($N$1,$D$4:$J$15,MATCH(H$4,$D$4:$J$4,0),0)*角色成长!G103*角色成长!$L$15</f>
        <v>237203.82541703022</v>
      </c>
      <c r="Y90" s="1">
        <v>0.05</v>
      </c>
      <c r="Z90" s="1">
        <v>1.5</v>
      </c>
      <c r="AA90" s="1">
        <f>VLOOKUP($N$1,$D$4:$J$15,MATCH(I$4,$D$4:$J$4,0),0)*角色成长!J103</f>
        <v>0.9</v>
      </c>
      <c r="AB90" s="1">
        <f t="shared" si="8"/>
        <v>0.75</v>
      </c>
      <c r="AC90" s="6"/>
      <c r="AD90" s="22"/>
      <c r="AE90" s="22"/>
      <c r="AF90" s="22"/>
      <c r="AG90" s="9"/>
      <c r="AH90" s="9"/>
      <c r="AI90" s="9"/>
      <c r="AJ90" s="9"/>
      <c r="AK90" s="9"/>
      <c r="AL90" s="9"/>
    </row>
    <row r="91" spans="5:38" ht="14.25" customHeight="1" x14ac:dyDescent="0.2">
      <c r="E91" s="6"/>
      <c r="F91" s="6"/>
      <c r="G91" s="6"/>
      <c r="H91" s="6"/>
      <c r="I91" s="26"/>
      <c r="J91" s="6"/>
      <c r="K91" s="6"/>
      <c r="L91" s="6">
        <f t="shared" si="9"/>
        <v>0.35650894533685906</v>
      </c>
      <c r="M91" s="1">
        <v>87</v>
      </c>
      <c r="N91" s="6">
        <f>VLOOKUP($N$2,角色品星!$C$16:$D$20,2,0)*VLOOKUP($N$3,角色品星!$C$3:$E$14,3,0)*V91</f>
        <v>12453.200834394089</v>
      </c>
      <c r="O91" s="6">
        <f>VLOOKUP($N$2,角色品星!$C$16:$D$20,2,0)*VLOOKUP($N$3,角色品星!$C$3:$E$14,3,0)*W91</f>
        <v>88793.549910758578</v>
      </c>
      <c r="P91" s="6">
        <f>VLOOKUP($N$2,角色品星!$C$16:$D$20,2,0)*VLOOKUP($N$3,角色品星!$C$3:$E$14,3,0)*X91</f>
        <v>249064.01668788173</v>
      </c>
      <c r="Q91" s="24">
        <f t="shared" si="10"/>
        <v>0.05</v>
      </c>
      <c r="R91" s="24">
        <f t="shared" si="11"/>
        <v>1.5</v>
      </c>
      <c r="S91" s="24">
        <f t="shared" si="12"/>
        <v>0.9</v>
      </c>
      <c r="T91" s="42">
        <f>N91*(1+Q91*(R91-1))*S91*战斗公式!$E$39+(P91*战斗公式!$E$40+1)*O91*战斗公式!$E$41</f>
        <v>597148.27612146654</v>
      </c>
      <c r="U91" s="42">
        <f t="shared" si="13"/>
        <v>29857.413806073484</v>
      </c>
      <c r="V91" s="6">
        <f>VLOOKUP($N$1,$D$4:$J$15,MATCH(F$4,$D$4:$J$4,0),0)*角色成长!E104*角色成长!$L$15*AB91/AA91/(1+$Y$2*($Z$2-1))</f>
        <v>12453.200834394089</v>
      </c>
      <c r="W91" s="6">
        <f>VLOOKUP($N$1,$D$4:$J$15,MATCH(G$4,$D$4:$J$4,0),0)*角色成长!F104*角色成长!$L$15/(1+X91/角色成长!$N$16)</f>
        <v>88793.549910758578</v>
      </c>
      <c r="X91" s="6">
        <f>VLOOKUP($N$1,$D$4:$J$15,MATCH(H$4,$D$4:$J$4,0),0)*角色成长!G104*角色成长!$L$15</f>
        <v>249064.01668788173</v>
      </c>
      <c r="Y91" s="1">
        <v>0.05</v>
      </c>
      <c r="Z91" s="1">
        <v>1.5</v>
      </c>
      <c r="AA91" s="1">
        <f>VLOOKUP($N$1,$D$4:$J$15,MATCH(I$4,$D$4:$J$4,0),0)*角色成长!J104</f>
        <v>0.9</v>
      </c>
      <c r="AB91" s="1">
        <f t="shared" si="8"/>
        <v>0.75</v>
      </c>
      <c r="AC91" s="6"/>
      <c r="AD91" s="22"/>
      <c r="AE91" s="22"/>
      <c r="AF91" s="22"/>
      <c r="AG91" s="9"/>
      <c r="AH91" s="9"/>
      <c r="AI91" s="9"/>
      <c r="AJ91" s="9"/>
      <c r="AK91" s="9"/>
      <c r="AL91" s="9"/>
    </row>
    <row r="92" spans="5:38" ht="14.25" customHeight="1" x14ac:dyDescent="0.2">
      <c r="E92" s="6"/>
      <c r="F92" s="6"/>
      <c r="G92" s="6"/>
      <c r="H92" s="6"/>
      <c r="I92" s="26"/>
      <c r="J92" s="6"/>
      <c r="K92" s="6"/>
      <c r="L92" s="6">
        <f t="shared" si="9"/>
        <v>0.3442282646933032</v>
      </c>
      <c r="M92" s="1">
        <v>88</v>
      </c>
      <c r="N92" s="6">
        <f>VLOOKUP($N$2,角色品星!$C$16:$D$20,2,0)*VLOOKUP($N$3,角色品星!$C$3:$E$14,3,0)*V92</f>
        <v>13075.860876113797</v>
      </c>
      <c r="O92" s="6">
        <f>VLOOKUP($N$2,角色品星!$C$16:$D$20,2,0)*VLOOKUP($N$3,角色品星!$C$3:$E$14,3,0)*W92</f>
        <v>90021.617975114132</v>
      </c>
      <c r="P92" s="6">
        <f>VLOOKUP($N$2,角色品星!$C$16:$D$20,2,0)*VLOOKUP($N$3,角色品星!$C$3:$E$14,3,0)*X92</f>
        <v>261517.2175222759</v>
      </c>
      <c r="Q92" s="24">
        <f t="shared" si="10"/>
        <v>0.05</v>
      </c>
      <c r="R92" s="24">
        <f t="shared" si="11"/>
        <v>1.5</v>
      </c>
      <c r="S92" s="24">
        <f t="shared" si="12"/>
        <v>0.9</v>
      </c>
      <c r="T92" s="42">
        <f>N92*(1+Q92*(R92-1))*S92*战斗公式!$E$39+(P92*战斗公式!$E$40+1)*O92*战斗公式!$E$41</f>
        <v>627005.68992754002</v>
      </c>
      <c r="U92" s="42">
        <f t="shared" si="13"/>
        <v>31350.284496376989</v>
      </c>
      <c r="V92" s="6">
        <f>VLOOKUP($N$1,$D$4:$J$15,MATCH(F$4,$D$4:$J$4,0),0)*角色成长!E105*角色成长!$L$15*AB92/AA92/(1+$Y$2*($Z$2-1))</f>
        <v>13075.860876113797</v>
      </c>
      <c r="W92" s="6">
        <f>VLOOKUP($N$1,$D$4:$J$15,MATCH(G$4,$D$4:$J$4,0),0)*角色成长!F105*角色成长!$L$15/(1+X92/角色成长!$N$16)</f>
        <v>90021.617975114132</v>
      </c>
      <c r="X92" s="6">
        <f>VLOOKUP($N$1,$D$4:$J$15,MATCH(H$4,$D$4:$J$4,0),0)*角色成长!G105*角色成长!$L$15</f>
        <v>261517.2175222759</v>
      </c>
      <c r="Y92" s="1">
        <v>0.05</v>
      </c>
      <c r="Z92" s="1">
        <v>1.5</v>
      </c>
      <c r="AA92" s="1">
        <f>VLOOKUP($N$1,$D$4:$J$15,MATCH(I$4,$D$4:$J$4,0),0)*角色成长!J105</f>
        <v>0.9</v>
      </c>
      <c r="AB92" s="1">
        <f t="shared" si="8"/>
        <v>0.75</v>
      </c>
      <c r="AC92" s="6"/>
      <c r="AD92" s="22"/>
      <c r="AE92" s="22"/>
      <c r="AF92" s="22"/>
      <c r="AG92" s="9"/>
      <c r="AH92" s="9"/>
      <c r="AI92" s="9"/>
      <c r="AJ92" s="9"/>
      <c r="AK92" s="9"/>
      <c r="AL92" s="9"/>
    </row>
    <row r="93" spans="5:38" ht="14.25" customHeight="1" x14ac:dyDescent="0.2">
      <c r="E93" s="6"/>
      <c r="F93" s="6"/>
      <c r="G93" s="6"/>
      <c r="H93" s="6"/>
      <c r="I93" s="26"/>
      <c r="J93" s="6"/>
      <c r="K93" s="6"/>
      <c r="L93" s="6">
        <f t="shared" si="9"/>
        <v>0.33221234352892803</v>
      </c>
      <c r="M93" s="1">
        <v>89</v>
      </c>
      <c r="N93" s="6">
        <f>VLOOKUP($N$2,角色品星!$C$16:$D$20,2,0)*VLOOKUP($N$3,角色品星!$C$3:$E$14,3,0)*V93</f>
        <v>13729.653919919487</v>
      </c>
      <c r="O93" s="6">
        <f>VLOOKUP($N$2,角色品星!$C$16:$D$20,2,0)*VLOOKUP($N$3,角色品星!$C$3:$E$14,3,0)*W93</f>
        <v>91223.210091551678</v>
      </c>
      <c r="P93" s="6">
        <f>VLOOKUP($N$2,角色品星!$C$16:$D$20,2,0)*VLOOKUP($N$3,角色品星!$C$3:$E$14,3,0)*X93</f>
        <v>274593.07839838963</v>
      </c>
      <c r="Q93" s="24">
        <f t="shared" si="10"/>
        <v>0.05</v>
      </c>
      <c r="R93" s="24">
        <f t="shared" si="11"/>
        <v>1.5</v>
      </c>
      <c r="S93" s="24">
        <f t="shared" si="12"/>
        <v>0.9</v>
      </c>
      <c r="T93" s="42">
        <f>N93*(1+Q93*(R93-1))*S93*战斗公式!$E$39+(P93*战斗公式!$E$40+1)*O93*战斗公式!$E$41</f>
        <v>658355.97442391701</v>
      </c>
      <c r="U93" s="42">
        <f t="shared" si="13"/>
        <v>32917.798721195781</v>
      </c>
      <c r="V93" s="6">
        <f>VLOOKUP($N$1,$D$4:$J$15,MATCH(F$4,$D$4:$J$4,0),0)*角色成长!E106*角色成长!$L$15*AB93/AA93/(1+$Y$2*($Z$2-1))</f>
        <v>13729.653919919487</v>
      </c>
      <c r="W93" s="6">
        <f>VLOOKUP($N$1,$D$4:$J$15,MATCH(G$4,$D$4:$J$4,0),0)*角色成长!F106*角色成长!$L$15/(1+X93/角色成长!$N$16)</f>
        <v>91223.210091551678</v>
      </c>
      <c r="X93" s="6">
        <f>VLOOKUP($N$1,$D$4:$J$15,MATCH(H$4,$D$4:$J$4,0),0)*角色成长!G106*角色成长!$L$15</f>
        <v>274593.07839838963</v>
      </c>
      <c r="Y93" s="1">
        <v>0.05</v>
      </c>
      <c r="Z93" s="1">
        <v>1.5</v>
      </c>
      <c r="AA93" s="1">
        <f>VLOOKUP($N$1,$D$4:$J$15,MATCH(I$4,$D$4:$J$4,0),0)*角色成长!J106</f>
        <v>0.9</v>
      </c>
      <c r="AB93" s="1">
        <f t="shared" si="8"/>
        <v>0.75</v>
      </c>
      <c r="AC93" s="6"/>
      <c r="AD93" s="22"/>
      <c r="AE93" s="22"/>
      <c r="AF93" s="22"/>
      <c r="AG93" s="9"/>
      <c r="AH93" s="9"/>
      <c r="AI93" s="9"/>
      <c r="AJ93" s="9"/>
      <c r="AK93" s="9"/>
      <c r="AL93" s="9"/>
    </row>
    <row r="94" spans="5:38" ht="14.25" customHeight="1" x14ac:dyDescent="0.2">
      <c r="E94" s="6"/>
      <c r="F94" s="6"/>
      <c r="G94" s="6"/>
      <c r="H94" s="6"/>
      <c r="I94" s="26"/>
      <c r="J94" s="6"/>
      <c r="K94" s="6"/>
      <c r="L94" s="6">
        <f t="shared" si="9"/>
        <v>0.320466545189111</v>
      </c>
      <c r="M94" s="1">
        <v>90</v>
      </c>
      <c r="N94" s="6">
        <f>VLOOKUP($N$2,角色品星!$C$16:$D$20,2,0)*VLOOKUP($N$3,角色品星!$C$3:$E$14,3,0)*V94</f>
        <v>14416.13661591546</v>
      </c>
      <c r="O94" s="6">
        <f>VLOOKUP($N$2,角色品星!$C$16:$D$20,2,0)*VLOOKUP($N$3,角色品星!$C$3:$E$14,3,0)*W94</f>
        <v>92397.789925533361</v>
      </c>
      <c r="P94" s="6">
        <f>VLOOKUP($N$2,角色品星!$C$16:$D$20,2,0)*VLOOKUP($N$3,角色品星!$C$3:$E$14,3,0)*X94</f>
        <v>288322.73231830914</v>
      </c>
      <c r="Q94" s="24">
        <f t="shared" si="10"/>
        <v>0.05</v>
      </c>
      <c r="R94" s="24">
        <f t="shared" si="11"/>
        <v>1.5</v>
      </c>
      <c r="S94" s="24">
        <f t="shared" si="12"/>
        <v>0.9</v>
      </c>
      <c r="T94" s="42">
        <f>N94*(1+Q94*(R94-1))*S94*战斗公式!$E$39+(P94*战斗公式!$E$40+1)*O94*战斗公式!$E$41</f>
        <v>691273.77314511279</v>
      </c>
      <c r="U94" s="42">
        <f t="shared" si="13"/>
        <v>34563.688657255727</v>
      </c>
      <c r="V94" s="6">
        <f>VLOOKUP($N$1,$D$4:$J$15,MATCH(F$4,$D$4:$J$4,0),0)*角色成长!E107*角色成长!$L$15*AB94/AA94/(1+$Y$2*($Z$2-1))</f>
        <v>14416.13661591546</v>
      </c>
      <c r="W94" s="6">
        <f>VLOOKUP($N$1,$D$4:$J$15,MATCH(G$4,$D$4:$J$4,0),0)*角色成长!F107*角色成长!$L$15/(1+X94/角色成长!$N$16)</f>
        <v>92397.789925533361</v>
      </c>
      <c r="X94" s="6">
        <f>VLOOKUP($N$1,$D$4:$J$15,MATCH(H$4,$D$4:$J$4,0),0)*角色成长!G107*角色成长!$L$15</f>
        <v>288322.73231830914</v>
      </c>
      <c r="Y94" s="1">
        <v>0.05</v>
      </c>
      <c r="Z94" s="1">
        <v>1.5</v>
      </c>
      <c r="AA94" s="1">
        <f>VLOOKUP($N$1,$D$4:$J$15,MATCH(I$4,$D$4:$J$4,0),0)*角色成长!J107</f>
        <v>0.9</v>
      </c>
      <c r="AB94" s="1">
        <f t="shared" si="8"/>
        <v>0.75</v>
      </c>
      <c r="AC94" s="6"/>
      <c r="AD94" s="22"/>
      <c r="AE94" s="22"/>
      <c r="AF94" s="22"/>
      <c r="AG94" s="9"/>
      <c r="AH94" s="9"/>
      <c r="AI94" s="9"/>
      <c r="AJ94" s="9"/>
      <c r="AK94" s="9"/>
      <c r="AL94" s="9"/>
    </row>
    <row r="95" spans="5:38" ht="14.25" customHeight="1" x14ac:dyDescent="0.2">
      <c r="E95" s="6"/>
      <c r="F95" s="6"/>
      <c r="G95" s="6"/>
      <c r="H95" s="6"/>
      <c r="I95" s="26"/>
      <c r="J95" s="6"/>
      <c r="K95" s="6"/>
      <c r="L95" s="6">
        <f t="shared" si="9"/>
        <v>0.30899536658521232</v>
      </c>
      <c r="M95" s="1">
        <v>91</v>
      </c>
      <c r="N95" s="6">
        <f>VLOOKUP($N$2,角色品星!$C$16:$D$20,2,0)*VLOOKUP($N$3,角色品星!$C$3:$E$14,3,0)*V95</f>
        <v>15136.943446711233</v>
      </c>
      <c r="O95" s="6">
        <f>VLOOKUP($N$2,角色品星!$C$16:$D$20,2,0)*VLOOKUP($N$3,角色品星!$C$3:$E$14,3,0)*W95</f>
        <v>93544.907785923249</v>
      </c>
      <c r="P95" s="6">
        <f>VLOOKUP($N$2,角色品星!$C$16:$D$20,2,0)*VLOOKUP($N$3,角色品星!$C$3:$E$14,3,0)*X95</f>
        <v>302738.86893422453</v>
      </c>
      <c r="Q95" s="24">
        <f t="shared" si="10"/>
        <v>0.05</v>
      </c>
      <c r="R95" s="24">
        <f t="shared" si="11"/>
        <v>1.5</v>
      </c>
      <c r="S95" s="24">
        <f t="shared" si="12"/>
        <v>0.9</v>
      </c>
      <c r="T95" s="42">
        <f>N95*(1+Q95*(R95-1))*S95*战斗公式!$E$39+(P95*战斗公式!$E$40+1)*O95*战斗公式!$E$41</f>
        <v>725837.46180236852</v>
      </c>
      <c r="U95" s="42">
        <f t="shared" si="13"/>
        <v>36291.873090118403</v>
      </c>
      <c r="V95" s="6">
        <f>VLOOKUP($N$1,$D$4:$J$15,MATCH(F$4,$D$4:$J$4,0),0)*角色成长!E108*角色成长!$L$15*AB95/AA95/(1+$Y$2*($Z$2-1))</f>
        <v>15136.943446711233</v>
      </c>
      <c r="W95" s="6">
        <f>VLOOKUP($N$1,$D$4:$J$15,MATCH(G$4,$D$4:$J$4,0),0)*角色成长!F108*角色成长!$L$15/(1+X95/角色成长!$N$16)</f>
        <v>93544.907785923249</v>
      </c>
      <c r="X95" s="6">
        <f>VLOOKUP($N$1,$D$4:$J$15,MATCH(H$4,$D$4:$J$4,0),0)*角色成长!G108*角色成长!$L$15</f>
        <v>302738.86893422453</v>
      </c>
      <c r="Y95" s="1">
        <v>0.05</v>
      </c>
      <c r="Z95" s="1">
        <v>1.5</v>
      </c>
      <c r="AA95" s="1">
        <f>VLOOKUP($N$1,$D$4:$J$15,MATCH(I$4,$D$4:$J$4,0),0)*角色成长!J108</f>
        <v>0.9</v>
      </c>
      <c r="AB95" s="1">
        <f t="shared" si="8"/>
        <v>0.75</v>
      </c>
      <c r="AC95" s="6"/>
      <c r="AD95" s="22"/>
      <c r="AE95" s="22"/>
      <c r="AF95" s="22"/>
      <c r="AG95" s="9"/>
      <c r="AH95" s="9"/>
      <c r="AI95" s="9"/>
      <c r="AJ95" s="9"/>
      <c r="AK95" s="9"/>
      <c r="AL95" s="9"/>
    </row>
    <row r="96" spans="5:38" ht="14.25" customHeight="1" x14ac:dyDescent="0.2">
      <c r="E96" s="6"/>
      <c r="F96" s="6"/>
      <c r="G96" s="6"/>
      <c r="H96" s="6"/>
      <c r="I96" s="26"/>
      <c r="J96" s="6"/>
      <c r="K96" s="6"/>
      <c r="L96" s="6">
        <f t="shared" si="9"/>
        <v>0.29780245890614221</v>
      </c>
      <c r="M96" s="1">
        <v>92</v>
      </c>
      <c r="N96" s="6">
        <f>VLOOKUP($N$2,角色品星!$C$16:$D$20,2,0)*VLOOKUP($N$3,角色品星!$C$3:$E$14,3,0)*V96</f>
        <v>15893.790619046795</v>
      </c>
      <c r="O96" s="6">
        <f>VLOOKUP($N$2,角色品星!$C$16:$D$20,2,0)*VLOOKUP($N$3,角色品星!$C$3:$E$14,3,0)*W96</f>
        <v>94664.19855383024</v>
      </c>
      <c r="P96" s="6">
        <f>VLOOKUP($N$2,角色品星!$C$16:$D$20,2,0)*VLOOKUP($N$3,角色品星!$C$3:$E$14,3,0)*X96</f>
        <v>317875.81238093594</v>
      </c>
      <c r="Q96" s="24">
        <f t="shared" si="10"/>
        <v>0.05</v>
      </c>
      <c r="R96" s="24">
        <f t="shared" si="11"/>
        <v>1.5</v>
      </c>
      <c r="S96" s="24">
        <f t="shared" si="12"/>
        <v>0.9</v>
      </c>
      <c r="T96" s="42">
        <f>N96*(1+Q96*(R96-1))*S96*战斗公式!$E$39+(P96*战斗公式!$E$40+1)*O96*战斗公式!$E$41</f>
        <v>762129.33489248692</v>
      </c>
      <c r="U96" s="42">
        <f t="shared" si="13"/>
        <v>38106.466744624311</v>
      </c>
      <c r="V96" s="6">
        <f>VLOOKUP($N$1,$D$4:$J$15,MATCH(F$4,$D$4:$J$4,0),0)*角色成长!E109*角色成长!$L$15*AB96/AA96/(1+$Y$2*($Z$2-1))</f>
        <v>15893.790619046795</v>
      </c>
      <c r="W96" s="6">
        <f>VLOOKUP($N$1,$D$4:$J$15,MATCH(G$4,$D$4:$J$4,0),0)*角色成长!F109*角色成长!$L$15/(1+X96/角色成长!$N$16)</f>
        <v>94664.19855383024</v>
      </c>
      <c r="X96" s="6">
        <f>VLOOKUP($N$1,$D$4:$J$15,MATCH(H$4,$D$4:$J$4,0),0)*角色成长!G109*角色成长!$L$15</f>
        <v>317875.81238093594</v>
      </c>
      <c r="Y96" s="1">
        <v>0.05</v>
      </c>
      <c r="Z96" s="1">
        <v>1.5</v>
      </c>
      <c r="AA96" s="1">
        <f>VLOOKUP($N$1,$D$4:$J$15,MATCH(I$4,$D$4:$J$4,0),0)*角色成长!J109</f>
        <v>0.9</v>
      </c>
      <c r="AB96" s="1">
        <f t="shared" si="8"/>
        <v>0.75</v>
      </c>
      <c r="AC96" s="6"/>
      <c r="AD96" s="22"/>
      <c r="AE96" s="22"/>
      <c r="AF96" s="22"/>
      <c r="AG96" s="9"/>
      <c r="AH96" s="9"/>
      <c r="AI96" s="9"/>
      <c r="AJ96" s="9"/>
      <c r="AK96" s="9"/>
      <c r="AL96" s="9"/>
    </row>
    <row r="97" spans="5:38" ht="14.25" customHeight="1" x14ac:dyDescent="0.2">
      <c r="E97" s="6"/>
      <c r="F97" s="6"/>
      <c r="G97" s="6"/>
      <c r="H97" s="6"/>
      <c r="I97" s="26"/>
      <c r="J97" s="6"/>
      <c r="K97" s="6"/>
      <c r="L97" s="6">
        <f t="shared" si="9"/>
        <v>0.28689065251178864</v>
      </c>
      <c r="M97" s="1">
        <v>93</v>
      </c>
      <c r="N97" s="6">
        <f>VLOOKUP($N$2,角色品星!$C$16:$D$20,2,0)*VLOOKUP($N$3,角色品星!$C$3:$E$14,3,0)*V97</f>
        <v>16688.480149999134</v>
      </c>
      <c r="O97" s="6">
        <f>VLOOKUP($N$2,角色品星!$C$16:$D$20,2,0)*VLOOKUP($N$3,角色品星!$C$3:$E$14,3,0)*W97</f>
        <v>95755.379193265631</v>
      </c>
      <c r="P97" s="6">
        <f>VLOOKUP($N$2,角色品星!$C$16:$D$20,2,0)*VLOOKUP($N$3,角色品星!$C$3:$E$14,3,0)*X97</f>
        <v>333769.60299998254</v>
      </c>
      <c r="Q97" s="24">
        <f t="shared" si="10"/>
        <v>0.05</v>
      </c>
      <c r="R97" s="24">
        <f t="shared" si="11"/>
        <v>1.5</v>
      </c>
      <c r="S97" s="24">
        <f t="shared" si="12"/>
        <v>0.9</v>
      </c>
      <c r="T97" s="42">
        <f>N97*(1+Q97*(R97-1))*S97*战斗公式!$E$39+(P97*战斗公式!$E$40+1)*O97*战斗公式!$E$41</f>
        <v>800235.80163711123</v>
      </c>
      <c r="U97" s="42">
        <f t="shared" si="13"/>
        <v>40011.790081855608</v>
      </c>
      <c r="V97" s="6">
        <f>VLOOKUP($N$1,$D$4:$J$15,MATCH(F$4,$D$4:$J$4,0),0)*角色成长!E110*角色成长!$L$15*AB97/AA97/(1+$Y$2*($Z$2-1))</f>
        <v>16688.480149999134</v>
      </c>
      <c r="W97" s="6">
        <f>VLOOKUP($N$1,$D$4:$J$15,MATCH(G$4,$D$4:$J$4,0),0)*角色成长!F110*角色成长!$L$15/(1+X97/角色成长!$N$16)</f>
        <v>95755.379193265631</v>
      </c>
      <c r="X97" s="6">
        <f>VLOOKUP($N$1,$D$4:$J$15,MATCH(H$4,$D$4:$J$4,0),0)*角色成长!G110*角色成长!$L$15</f>
        <v>333769.60299998254</v>
      </c>
      <c r="Y97" s="1">
        <v>0.05</v>
      </c>
      <c r="Z97" s="1">
        <v>1.5</v>
      </c>
      <c r="AA97" s="1">
        <f>VLOOKUP($N$1,$D$4:$J$15,MATCH(I$4,$D$4:$J$4,0),0)*角色成长!J110</f>
        <v>0.9</v>
      </c>
      <c r="AB97" s="1">
        <f t="shared" si="8"/>
        <v>0.75</v>
      </c>
      <c r="AC97" s="6"/>
      <c r="AD97" s="22"/>
      <c r="AE97" s="22"/>
      <c r="AF97" s="22"/>
      <c r="AG97" s="9"/>
      <c r="AH97" s="9"/>
      <c r="AI97" s="9"/>
      <c r="AJ97" s="9"/>
      <c r="AK97" s="9"/>
      <c r="AL97" s="9"/>
    </row>
    <row r="98" spans="5:38" ht="14.25" customHeight="1" x14ac:dyDescent="0.2">
      <c r="E98" s="6"/>
      <c r="F98" s="6"/>
      <c r="G98" s="6"/>
      <c r="H98" s="6"/>
      <c r="I98" s="26"/>
      <c r="J98" s="6"/>
      <c r="K98" s="6"/>
      <c r="L98" s="6">
        <f t="shared" si="9"/>
        <v>0.27626198551977177</v>
      </c>
      <c r="M98" s="1">
        <v>94</v>
      </c>
      <c r="N98" s="6">
        <f>VLOOKUP($N$2,角色品星!$C$16:$D$20,2,0)*VLOOKUP($N$3,角色品星!$C$3:$E$14,3,0)*V98</f>
        <v>17522.904157499092</v>
      </c>
      <c r="O98" s="6">
        <f>VLOOKUP($N$2,角色品星!$C$16:$D$20,2,0)*VLOOKUP($N$3,角色品星!$C$3:$E$14,3,0)*W98</f>
        <v>96818.245892467254</v>
      </c>
      <c r="P98" s="6">
        <f>VLOOKUP($N$2,角色品星!$C$16:$D$20,2,0)*VLOOKUP($N$3,角色品星!$C$3:$E$14,3,0)*X98</f>
        <v>350458.08314998186</v>
      </c>
      <c r="Q98" s="24">
        <f t="shared" si="10"/>
        <v>0.05</v>
      </c>
      <c r="R98" s="24">
        <f t="shared" si="11"/>
        <v>1.5</v>
      </c>
      <c r="S98" s="24">
        <f t="shared" si="12"/>
        <v>0.9</v>
      </c>
      <c r="T98" s="42">
        <f>N98*(1+Q98*(R98-1))*S98*战斗公式!$E$39+(P98*战斗公式!$E$40+1)*O98*战斗公式!$E$41</f>
        <v>840247.59171896684</v>
      </c>
      <c r="U98" s="42">
        <f t="shared" si="13"/>
        <v>42012.379585948074</v>
      </c>
      <c r="V98" s="6">
        <f>VLOOKUP($N$1,$D$4:$J$15,MATCH(F$4,$D$4:$J$4,0),0)*角色成长!E111*角色成长!$L$15*AB98/AA98/(1+$Y$2*($Z$2-1))</f>
        <v>17522.904157499092</v>
      </c>
      <c r="W98" s="6">
        <f>VLOOKUP($N$1,$D$4:$J$15,MATCH(G$4,$D$4:$J$4,0),0)*角色成长!F111*角色成长!$L$15/(1+X98/角色成长!$N$16)</f>
        <v>96818.245892467254</v>
      </c>
      <c r="X98" s="6">
        <f>VLOOKUP($N$1,$D$4:$J$15,MATCH(H$4,$D$4:$J$4,0),0)*角色成长!G111*角色成长!$L$15</f>
        <v>350458.08314998186</v>
      </c>
      <c r="Y98" s="1">
        <v>0.05</v>
      </c>
      <c r="Z98" s="1">
        <v>1.5</v>
      </c>
      <c r="AA98" s="1">
        <f>VLOOKUP($N$1,$D$4:$J$15,MATCH(I$4,$D$4:$J$4,0),0)*角色成长!J111</f>
        <v>0.9</v>
      </c>
      <c r="AB98" s="1">
        <f t="shared" si="8"/>
        <v>0.75</v>
      </c>
      <c r="AC98" s="6"/>
      <c r="AD98" s="22"/>
      <c r="AE98" s="22"/>
      <c r="AF98" s="22"/>
      <c r="AG98" s="9"/>
      <c r="AH98" s="9"/>
      <c r="AI98" s="9"/>
      <c r="AJ98" s="9"/>
      <c r="AK98" s="9"/>
      <c r="AL98" s="9"/>
    </row>
    <row r="99" spans="5:38" ht="14.25" customHeight="1" x14ac:dyDescent="0.2">
      <c r="E99" s="6"/>
      <c r="F99" s="6"/>
      <c r="G99" s="6"/>
      <c r="H99" s="6"/>
      <c r="I99" s="26"/>
      <c r="J99" s="6"/>
      <c r="K99" s="6"/>
      <c r="L99" s="6">
        <f t="shared" si="9"/>
        <v>0.26591773559099718</v>
      </c>
      <c r="M99" s="1">
        <v>95</v>
      </c>
      <c r="N99" s="6">
        <f>VLOOKUP($N$2,角色品星!$C$16:$D$20,2,0)*VLOOKUP($N$3,角色品星!$C$3:$E$14,3,0)*V99</f>
        <v>18399.049365374045</v>
      </c>
      <c r="O99" s="6">
        <f>VLOOKUP($N$2,角色品星!$C$16:$D$20,2,0)*VLOOKUP($N$3,角色品星!$C$3:$E$14,3,0)*W99</f>
        <v>97852.670885344749</v>
      </c>
      <c r="P99" s="6">
        <f>VLOOKUP($N$2,角色品星!$C$16:$D$20,2,0)*VLOOKUP($N$3,角色品星!$C$3:$E$14,3,0)*X99</f>
        <v>367980.98730748071</v>
      </c>
      <c r="Q99" s="24">
        <f t="shared" si="10"/>
        <v>0.05</v>
      </c>
      <c r="R99" s="24">
        <f t="shared" si="11"/>
        <v>1.5</v>
      </c>
      <c r="S99" s="24">
        <f t="shared" si="12"/>
        <v>0.9</v>
      </c>
      <c r="T99" s="42">
        <f>N99*(1+Q99*(R99-1))*S99*战斗公式!$E$39+(P99*战斗公式!$E$40+1)*O99*战斗公式!$E$41</f>
        <v>882259.97130491491</v>
      </c>
      <c r="U99" s="42">
        <f t="shared" si="13"/>
        <v>44112.998565246235</v>
      </c>
      <c r="V99" s="6">
        <f>VLOOKUP($N$1,$D$4:$J$15,MATCH(F$4,$D$4:$J$4,0),0)*角色成长!E112*角色成长!$L$15*AB99/AA99/(1+$Y$2*($Z$2-1))</f>
        <v>18399.049365374045</v>
      </c>
      <c r="W99" s="6">
        <f>VLOOKUP($N$1,$D$4:$J$15,MATCH(G$4,$D$4:$J$4,0),0)*角色成长!F112*角色成长!$L$15/(1+X99/角色成长!$N$16)</f>
        <v>97852.670885344749</v>
      </c>
      <c r="X99" s="6">
        <f>VLOOKUP($N$1,$D$4:$J$15,MATCH(H$4,$D$4:$J$4,0),0)*角色成长!G112*角色成长!$L$15</f>
        <v>367980.98730748071</v>
      </c>
      <c r="Y99" s="1">
        <v>0.05</v>
      </c>
      <c r="Z99" s="1">
        <v>1.5</v>
      </c>
      <c r="AA99" s="1">
        <f>VLOOKUP($N$1,$D$4:$J$15,MATCH(I$4,$D$4:$J$4,0),0)*角色成长!J112</f>
        <v>0.9</v>
      </c>
      <c r="AB99" s="1">
        <f t="shared" si="8"/>
        <v>0.75</v>
      </c>
      <c r="AC99" s="6"/>
      <c r="AD99" s="22"/>
      <c r="AE99" s="22"/>
      <c r="AF99" s="22"/>
      <c r="AG99" s="9"/>
      <c r="AH99" s="9"/>
      <c r="AI99" s="9"/>
      <c r="AJ99" s="9"/>
      <c r="AK99" s="9"/>
      <c r="AL99" s="9"/>
    </row>
    <row r="100" spans="5:38" ht="14.25" customHeight="1" x14ac:dyDescent="0.2">
      <c r="E100" s="6"/>
      <c r="F100" s="6"/>
      <c r="G100" s="6"/>
      <c r="H100" s="6"/>
      <c r="I100" s="26"/>
      <c r="J100" s="6"/>
      <c r="K100" s="6"/>
      <c r="L100" s="6">
        <f t="shared" si="9"/>
        <v>0.25585845442120253</v>
      </c>
      <c r="M100" s="1">
        <v>96</v>
      </c>
      <c r="N100" s="6">
        <f>VLOOKUP($N$2,角色品星!$C$16:$D$20,2,0)*VLOOKUP($N$3,角色品星!$C$3:$E$14,3,0)*V100</f>
        <v>19319.001833642749</v>
      </c>
      <c r="O100" s="6">
        <f>VLOOKUP($N$2,角色品星!$C$16:$D$20,2,0)*VLOOKUP($N$3,角色品星!$C$3:$E$14,3,0)*W100</f>
        <v>98858.599002324219</v>
      </c>
      <c r="P100" s="6">
        <f>VLOOKUP($N$2,角色品星!$C$16:$D$20,2,0)*VLOOKUP($N$3,角色品星!$C$3:$E$14,3,0)*X100</f>
        <v>386380.03667285497</v>
      </c>
      <c r="Q100" s="24">
        <f t="shared" si="10"/>
        <v>0.05</v>
      </c>
      <c r="R100" s="24">
        <f t="shared" si="11"/>
        <v>1.5</v>
      </c>
      <c r="S100" s="24">
        <f t="shared" si="12"/>
        <v>0.9</v>
      </c>
      <c r="T100" s="42">
        <f>N100*(1+Q100*(R100-1))*S100*战斗公式!$E$39+(P100*战斗公式!$E$40+1)*O100*战斗公式!$E$41</f>
        <v>926372.96987016115</v>
      </c>
      <c r="U100" s="42">
        <f t="shared" si="13"/>
        <v>46318.648493507877</v>
      </c>
      <c r="V100" s="6">
        <f>VLOOKUP($N$1,$D$4:$J$15,MATCH(F$4,$D$4:$J$4,0),0)*角色成长!E113*角色成长!$L$15*AB100/AA100/(1+$Y$2*($Z$2-1))</f>
        <v>19319.001833642749</v>
      </c>
      <c r="W100" s="6">
        <f>VLOOKUP($N$1,$D$4:$J$15,MATCH(G$4,$D$4:$J$4,0),0)*角色成长!F113*角色成长!$L$15/(1+X100/角色成长!$N$16)</f>
        <v>98858.599002324219</v>
      </c>
      <c r="X100" s="6">
        <f>VLOOKUP($N$1,$D$4:$J$15,MATCH(H$4,$D$4:$J$4,0),0)*角色成长!G113*角色成长!$L$15</f>
        <v>386380.03667285497</v>
      </c>
      <c r="Y100" s="1">
        <v>0.05</v>
      </c>
      <c r="Z100" s="1">
        <v>1.5</v>
      </c>
      <c r="AA100" s="1">
        <f>VLOOKUP($N$1,$D$4:$J$15,MATCH(I$4,$D$4:$J$4,0),0)*角色成长!J113</f>
        <v>0.9</v>
      </c>
      <c r="AB100" s="1">
        <f t="shared" si="8"/>
        <v>0.75</v>
      </c>
      <c r="AC100" s="6"/>
      <c r="AD100" s="22"/>
      <c r="AE100" s="22"/>
      <c r="AF100" s="22"/>
      <c r="AG100" s="9"/>
      <c r="AH100" s="9"/>
      <c r="AI100" s="9"/>
      <c r="AJ100" s="9"/>
      <c r="AK100" s="9"/>
      <c r="AL100" s="9"/>
    </row>
    <row r="101" spans="5:38" ht="14.25" customHeight="1" x14ac:dyDescent="0.2">
      <c r="E101" s="6"/>
      <c r="F101" s="6"/>
      <c r="G101" s="6"/>
      <c r="H101" s="6"/>
      <c r="I101" s="26"/>
      <c r="J101" s="6"/>
      <c r="K101" s="6"/>
      <c r="L101" s="6">
        <f t="shared" si="9"/>
        <v>0.24608400445445078</v>
      </c>
      <c r="M101" s="1">
        <v>97</v>
      </c>
      <c r="N101" s="6">
        <f>VLOOKUP($N$2,角色品星!$C$16:$D$20,2,0)*VLOOKUP($N$3,角色品星!$C$3:$E$14,3,0)*V101</f>
        <v>20284.951925324887</v>
      </c>
      <c r="O101" s="6">
        <f>VLOOKUP($N$2,角色品星!$C$16:$D$20,2,0)*VLOOKUP($N$3,角色品星!$C$3:$E$14,3,0)*W101</f>
        <v>99836.043998999376</v>
      </c>
      <c r="P101" s="6">
        <f>VLOOKUP($N$2,角色品星!$C$16:$D$20,2,0)*VLOOKUP($N$3,角色品星!$C$3:$E$14,3,0)*X101</f>
        <v>405699.03850649769</v>
      </c>
      <c r="Q101" s="24">
        <f t="shared" si="10"/>
        <v>0.05</v>
      </c>
      <c r="R101" s="24">
        <f t="shared" si="11"/>
        <v>1.5</v>
      </c>
      <c r="S101" s="24">
        <f t="shared" si="12"/>
        <v>0.9</v>
      </c>
      <c r="T101" s="42">
        <f>N101*(1+Q101*(R101-1))*S101*战斗公式!$E$39+(P101*战斗公式!$E$40+1)*O101*战斗公式!$E$41</f>
        <v>972691.61836366903</v>
      </c>
      <c r="U101" s="42">
        <f t="shared" si="13"/>
        <v>48634.580918183667</v>
      </c>
      <c r="V101" s="6">
        <f>VLOOKUP($N$1,$D$4:$J$15,MATCH(F$4,$D$4:$J$4,0),0)*角色成长!E114*角色成长!$L$15*AB101/AA101/(1+$Y$2*($Z$2-1))</f>
        <v>20284.951925324887</v>
      </c>
      <c r="W101" s="6">
        <f>VLOOKUP($N$1,$D$4:$J$15,MATCH(G$4,$D$4:$J$4,0),0)*角色成长!F114*角色成长!$L$15/(1+X101/角色成长!$N$16)</f>
        <v>99836.043998999376</v>
      </c>
      <c r="X101" s="6">
        <f>VLOOKUP($N$1,$D$4:$J$15,MATCH(H$4,$D$4:$J$4,0),0)*角色成长!G114*角色成长!$L$15</f>
        <v>405699.03850649769</v>
      </c>
      <c r="Y101" s="1">
        <v>0.05</v>
      </c>
      <c r="Z101" s="1">
        <v>1.5</v>
      </c>
      <c r="AA101" s="1">
        <f>VLOOKUP($N$1,$D$4:$J$15,MATCH(I$4,$D$4:$J$4,0),0)*角色成长!J114</f>
        <v>0.9</v>
      </c>
      <c r="AB101" s="1">
        <f t="shared" si="8"/>
        <v>0.75</v>
      </c>
      <c r="AC101" s="6"/>
      <c r="AD101" s="22"/>
      <c r="AE101" s="22"/>
      <c r="AF101" s="22"/>
      <c r="AG101" s="9"/>
      <c r="AH101" s="9"/>
      <c r="AI101" s="9"/>
      <c r="AJ101" s="9"/>
      <c r="AK101" s="9"/>
      <c r="AL101" s="9"/>
    </row>
    <row r="102" spans="5:38" ht="14.25" customHeight="1" x14ac:dyDescent="0.2">
      <c r="E102" s="6"/>
      <c r="F102" s="6"/>
      <c r="G102" s="6"/>
      <c r="H102" s="6"/>
      <c r="I102" s="26"/>
      <c r="J102" s="6"/>
      <c r="K102" s="6"/>
      <c r="L102" s="6">
        <f t="shared" si="9"/>
        <v>0.23659359734937563</v>
      </c>
      <c r="M102" s="1">
        <v>98</v>
      </c>
      <c r="N102" s="6">
        <f>VLOOKUP($N$2,角色品星!$C$16:$D$20,2,0)*VLOOKUP($N$3,角色品星!$C$3:$E$14,3,0)*V102</f>
        <v>21299.199521591134</v>
      </c>
      <c r="O102" s="6">
        <f>VLOOKUP($N$2,角色品星!$C$16:$D$20,2,0)*VLOOKUP($N$3,角色品星!$C$3:$E$14,3,0)*W102</f>
        <v>100785.0847095069</v>
      </c>
      <c r="P102" s="6">
        <f>VLOOKUP($N$2,角色品星!$C$16:$D$20,2,0)*VLOOKUP($N$3,角色品星!$C$3:$E$14,3,0)*X102</f>
        <v>425983.99043182255</v>
      </c>
      <c r="Q102" s="24">
        <f t="shared" si="10"/>
        <v>0.05</v>
      </c>
      <c r="R102" s="24">
        <f t="shared" si="11"/>
        <v>1.5</v>
      </c>
      <c r="S102" s="24">
        <f t="shared" si="12"/>
        <v>0.9</v>
      </c>
      <c r="T102" s="42">
        <f>N102*(1+Q102*(R102-1))*S102*战斗公式!$E$39+(P102*战斗公式!$E$40+1)*O102*战斗公式!$E$41</f>
        <v>1021326.1992818527</v>
      </c>
      <c r="U102" s="42">
        <f t="shared" si="13"/>
        <v>51066.309964092448</v>
      </c>
      <c r="V102" s="6">
        <f>VLOOKUP($N$1,$D$4:$J$15,MATCH(F$4,$D$4:$J$4,0),0)*角色成长!E115*角色成长!$L$15*AB102/AA102/(1+$Y$2*($Z$2-1))</f>
        <v>21299.199521591134</v>
      </c>
      <c r="W102" s="6">
        <f>VLOOKUP($N$1,$D$4:$J$15,MATCH(G$4,$D$4:$J$4,0),0)*角色成长!F115*角色成长!$L$15/(1+X102/角色成长!$N$16)</f>
        <v>100785.0847095069</v>
      </c>
      <c r="X102" s="6">
        <f>VLOOKUP($N$1,$D$4:$J$15,MATCH(H$4,$D$4:$J$4,0),0)*角色成长!G115*角色成长!$L$15</f>
        <v>425983.99043182255</v>
      </c>
      <c r="Y102" s="1">
        <v>0.05</v>
      </c>
      <c r="Z102" s="1">
        <v>1.5</v>
      </c>
      <c r="AA102" s="1">
        <f>VLOOKUP($N$1,$D$4:$J$15,MATCH(I$4,$D$4:$J$4,0),0)*角色成长!J115</f>
        <v>0.9</v>
      </c>
      <c r="AB102" s="1">
        <f t="shared" si="8"/>
        <v>0.75</v>
      </c>
      <c r="AC102" s="6"/>
      <c r="AD102" s="22"/>
      <c r="AE102" s="22"/>
      <c r="AF102" s="22"/>
      <c r="AG102" s="9"/>
      <c r="AH102" s="9"/>
      <c r="AI102" s="9"/>
      <c r="AJ102" s="9"/>
      <c r="AK102" s="9"/>
      <c r="AL102" s="9"/>
    </row>
    <row r="103" spans="5:38" ht="14.25" customHeight="1" x14ac:dyDescent="0.2">
      <c r="E103" s="6"/>
      <c r="F103" s="6"/>
      <c r="G103" s="6"/>
      <c r="H103" s="6"/>
      <c r="I103" s="26"/>
      <c r="J103" s="6"/>
      <c r="K103" s="6"/>
      <c r="L103" s="6">
        <f t="shared" si="9"/>
        <v>0.22738583374913732</v>
      </c>
      <c r="M103" s="1">
        <v>99</v>
      </c>
      <c r="N103" s="6">
        <f>VLOOKUP($N$2,角色品星!$C$16:$D$20,2,0)*VLOOKUP($N$3,角色品星!$C$3:$E$14,3,0)*V103</f>
        <v>22364.159497670687</v>
      </c>
      <c r="O103" s="6">
        <f>VLOOKUP($N$2,角色品星!$C$16:$D$20,2,0)*VLOOKUP($N$3,角色品星!$C$3:$E$14,3,0)*W103</f>
        <v>101705.86106953073</v>
      </c>
      <c r="P103" s="6">
        <f>VLOOKUP($N$2,角色品星!$C$16:$D$20,2,0)*VLOOKUP($N$3,角色品星!$C$3:$E$14,3,0)*X103</f>
        <v>447283.18995341368</v>
      </c>
      <c r="Q103" s="24">
        <f t="shared" si="10"/>
        <v>0.05</v>
      </c>
      <c r="R103" s="24">
        <f t="shared" si="11"/>
        <v>1.5</v>
      </c>
      <c r="S103" s="24">
        <f t="shared" si="12"/>
        <v>0.9</v>
      </c>
      <c r="T103" s="42">
        <f>N103*(1+Q103*(R103-1))*S103*战斗公式!$E$39+(P103*战斗公式!$E$40+1)*O103*战斗公式!$E$41</f>
        <v>1072392.5092459451</v>
      </c>
      <c r="U103" s="42">
        <f t="shared" si="13"/>
        <v>53619.62546229735</v>
      </c>
      <c r="V103" s="6">
        <f>VLOOKUP($N$1,$D$4:$J$15,MATCH(F$4,$D$4:$J$4,0),0)*角色成长!E116*角色成长!$L$15*AB103/AA103/(1+$Y$2*($Z$2-1))</f>
        <v>22364.159497670687</v>
      </c>
      <c r="W103" s="6">
        <f>VLOOKUP($N$1,$D$4:$J$15,MATCH(G$4,$D$4:$J$4,0),0)*角色成长!F116*角色成长!$L$15/(1+X103/角色成长!$N$16)</f>
        <v>101705.86106953073</v>
      </c>
      <c r="X103" s="6">
        <f>VLOOKUP($N$1,$D$4:$J$15,MATCH(H$4,$D$4:$J$4,0),0)*角色成长!G116*角色成长!$L$15</f>
        <v>447283.18995341368</v>
      </c>
      <c r="Y103" s="1">
        <v>0.05</v>
      </c>
      <c r="Z103" s="1">
        <v>1.5</v>
      </c>
      <c r="AA103" s="1">
        <f>VLOOKUP($N$1,$D$4:$J$15,MATCH(I$4,$D$4:$J$4,0),0)*角色成长!J116</f>
        <v>0.9</v>
      </c>
      <c r="AB103" s="1">
        <f t="shared" si="8"/>
        <v>0.75</v>
      </c>
      <c r="AC103" s="6"/>
      <c r="AD103" s="22"/>
      <c r="AE103" s="22"/>
      <c r="AF103" s="22"/>
      <c r="AG103" s="9"/>
      <c r="AH103" s="9"/>
      <c r="AI103" s="9"/>
      <c r="AJ103" s="9"/>
      <c r="AK103" s="9"/>
      <c r="AL103" s="9"/>
    </row>
    <row r="104" spans="5:38" ht="14.25" customHeight="1" x14ac:dyDescent="0.2">
      <c r="E104" s="6"/>
      <c r="F104" s="6"/>
      <c r="G104" s="6"/>
      <c r="H104" s="6"/>
      <c r="I104" s="26"/>
      <c r="J104" s="6"/>
      <c r="K104" s="6"/>
      <c r="L104" s="6">
        <f t="shared" si="9"/>
        <v>0.2184587439305386</v>
      </c>
      <c r="M104" s="1">
        <v>100</v>
      </c>
      <c r="N104" s="6">
        <f>VLOOKUP($N$2,角色品星!$C$16:$D$20,2,0)*VLOOKUP($N$3,角色品星!$C$3:$E$14,3,0)*V104</f>
        <v>23482.367472554222</v>
      </c>
      <c r="O104" s="6">
        <f>VLOOKUP($N$2,角色品星!$C$16:$D$20,2,0)*VLOOKUP($N$3,角色品星!$C$3:$E$14,3,0)*W104</f>
        <v>102598.57005139062</v>
      </c>
      <c r="P104" s="6">
        <f>VLOOKUP($N$2,角色品星!$C$16:$D$20,2,0)*VLOOKUP($N$3,角色品星!$C$3:$E$14,3,0)*X104</f>
        <v>469647.34945108439</v>
      </c>
      <c r="Q104" s="24">
        <f t="shared" si="10"/>
        <v>0.05</v>
      </c>
      <c r="R104" s="24">
        <f t="shared" si="11"/>
        <v>1.5</v>
      </c>
      <c r="S104" s="24">
        <f t="shared" si="12"/>
        <v>0.9</v>
      </c>
      <c r="T104" s="42">
        <f>N104*(1+Q104*(R104-1))*S104*战斗公式!$E$39+(P104*战斗公式!$E$40+1)*O104*战斗公式!$E$41</f>
        <v>1126012.1347082425</v>
      </c>
      <c r="U104" s="42">
        <f t="shared" si="13"/>
        <v>-1126012.1347082425</v>
      </c>
      <c r="V104" s="6">
        <f>VLOOKUP($N$1,$D$4:$J$15,MATCH(F$4,$D$4:$J$4,0),0)*角色成长!E117*角色成长!$L$15*AB104/AA104/(1+$Y$2*($Z$2-1))</f>
        <v>23482.367472554222</v>
      </c>
      <c r="W104" s="6">
        <f>VLOOKUP($N$1,$D$4:$J$15,MATCH(G$4,$D$4:$J$4,0),0)*角色成长!F117*角色成长!$L$15/(1+X104/角色成长!$N$16)</f>
        <v>102598.57005139062</v>
      </c>
      <c r="X104" s="6">
        <f>VLOOKUP($N$1,$D$4:$J$15,MATCH(H$4,$D$4:$J$4,0),0)*角色成长!G117*角色成长!$L$15</f>
        <v>469647.34945108439</v>
      </c>
      <c r="Y104" s="1">
        <v>0.05</v>
      </c>
      <c r="Z104" s="1">
        <v>1.5</v>
      </c>
      <c r="AA104" s="1">
        <f>VLOOKUP($N$1,$D$4:$J$15,MATCH(I$4,$D$4:$J$4,0),0)*角色成长!J117</f>
        <v>0.9</v>
      </c>
      <c r="AB104" s="1">
        <f t="shared" si="8"/>
        <v>0.75</v>
      </c>
      <c r="AC104" s="6"/>
      <c r="AD104" s="22"/>
      <c r="AE104" s="22"/>
      <c r="AF104" s="22"/>
      <c r="AG104" s="9"/>
      <c r="AH104" s="9"/>
      <c r="AI104" s="9"/>
      <c r="AJ104" s="9"/>
      <c r="AK104" s="9"/>
      <c r="AL104" s="9"/>
    </row>
    <row r="105" spans="5:38" ht="14.25" customHeight="1" x14ac:dyDescent="0.2">
      <c r="E105" s="6"/>
      <c r="F105" s="6"/>
      <c r="G105" s="6"/>
      <c r="H105" s="6"/>
      <c r="I105" s="26"/>
      <c r="J105" s="6"/>
      <c r="K105" s="6"/>
      <c r="L105" s="6"/>
      <c r="M105" s="6"/>
      <c r="N105" s="6"/>
      <c r="O105" s="6"/>
      <c r="P105" s="6"/>
      <c r="Q105" s="38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22"/>
      <c r="AE105" s="22"/>
      <c r="AF105" s="22"/>
      <c r="AG105" s="9"/>
      <c r="AH105" s="9"/>
      <c r="AI105" s="9"/>
      <c r="AJ105" s="9"/>
      <c r="AK105" s="9"/>
      <c r="AL105" s="9"/>
    </row>
    <row r="106" spans="5:38" ht="14.25" customHeight="1" x14ac:dyDescent="0.2">
      <c r="E106" s="6"/>
      <c r="F106" s="6"/>
      <c r="G106" s="6"/>
      <c r="H106" s="6"/>
      <c r="I106" s="26"/>
      <c r="J106" s="6"/>
      <c r="K106" s="6"/>
      <c r="L106" s="6"/>
      <c r="M106" s="6"/>
      <c r="N106" s="6"/>
      <c r="O106" s="6"/>
      <c r="P106" s="6"/>
      <c r="Q106" s="38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22"/>
      <c r="AE106" s="22"/>
      <c r="AF106" s="22"/>
      <c r="AG106" s="9"/>
      <c r="AH106" s="9"/>
      <c r="AI106" s="9"/>
      <c r="AJ106" s="9"/>
      <c r="AK106" s="9"/>
      <c r="AL106" s="9"/>
    </row>
    <row r="107" spans="5:38" ht="14.25" customHeight="1" x14ac:dyDescent="0.2">
      <c r="E107" s="6"/>
      <c r="F107" s="6"/>
      <c r="G107" s="6"/>
      <c r="H107" s="6"/>
      <c r="I107" s="26"/>
      <c r="J107" s="6"/>
      <c r="K107" s="6"/>
      <c r="L107" s="6"/>
      <c r="M107" s="6"/>
      <c r="N107" s="6"/>
      <c r="O107" s="6"/>
      <c r="P107" s="6"/>
      <c r="Q107" s="38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22"/>
      <c r="AE107" s="22"/>
      <c r="AF107" s="22"/>
      <c r="AG107" s="9"/>
      <c r="AH107" s="9"/>
      <c r="AI107" s="9"/>
      <c r="AJ107" s="9"/>
      <c r="AK107" s="9"/>
      <c r="AL107" s="9"/>
    </row>
    <row r="108" spans="5:38" ht="14.25" customHeight="1" x14ac:dyDescent="0.2">
      <c r="E108" s="6"/>
      <c r="F108" s="6"/>
      <c r="G108" s="6"/>
      <c r="H108" s="6"/>
      <c r="I108" s="26"/>
      <c r="J108" s="6"/>
      <c r="K108" s="6"/>
      <c r="L108" s="6"/>
      <c r="M108" s="6"/>
      <c r="N108" s="6"/>
      <c r="O108" s="6"/>
      <c r="P108" s="6"/>
      <c r="Q108" s="38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22"/>
      <c r="AE108" s="22"/>
      <c r="AF108" s="22"/>
      <c r="AG108" s="9"/>
      <c r="AH108" s="9"/>
      <c r="AI108" s="9"/>
      <c r="AJ108" s="9"/>
      <c r="AK108" s="9"/>
      <c r="AL108" s="9"/>
    </row>
    <row r="109" spans="5:38" ht="14.25" customHeight="1" x14ac:dyDescent="0.2">
      <c r="E109" s="6"/>
      <c r="F109" s="6"/>
      <c r="G109" s="6"/>
      <c r="H109" s="6"/>
      <c r="I109" s="26"/>
      <c r="J109" s="6"/>
      <c r="K109" s="6"/>
      <c r="L109" s="6"/>
      <c r="M109" s="6"/>
      <c r="N109" s="6"/>
      <c r="O109" s="6"/>
      <c r="P109" s="6"/>
      <c r="Q109" s="38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22"/>
      <c r="AE109" s="22"/>
      <c r="AF109" s="22"/>
      <c r="AG109" s="9"/>
      <c r="AH109" s="9"/>
      <c r="AI109" s="9"/>
      <c r="AJ109" s="9"/>
      <c r="AK109" s="9"/>
      <c r="AL109" s="9"/>
    </row>
    <row r="110" spans="5:38" ht="14.25" customHeight="1" x14ac:dyDescent="0.2">
      <c r="E110" s="6"/>
      <c r="F110" s="6"/>
      <c r="G110" s="6"/>
      <c r="H110" s="6"/>
      <c r="I110" s="26"/>
      <c r="J110" s="6"/>
      <c r="K110" s="6"/>
      <c r="L110" s="6"/>
      <c r="M110" s="6"/>
      <c r="N110" s="6"/>
      <c r="O110" s="6"/>
      <c r="P110" s="6"/>
      <c r="Q110" s="38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22"/>
      <c r="AE110" s="22"/>
      <c r="AF110" s="22"/>
      <c r="AG110" s="9"/>
      <c r="AH110" s="9"/>
      <c r="AI110" s="9"/>
      <c r="AJ110" s="9"/>
      <c r="AK110" s="9"/>
      <c r="AL110" s="9"/>
    </row>
    <row r="111" spans="5:38" ht="14.25" customHeight="1" x14ac:dyDescent="0.2">
      <c r="E111" s="6"/>
      <c r="F111" s="6"/>
      <c r="G111" s="6"/>
      <c r="H111" s="6"/>
      <c r="I111" s="26"/>
      <c r="J111" s="6"/>
      <c r="K111" s="6"/>
      <c r="L111" s="6"/>
      <c r="M111" s="6"/>
      <c r="N111" s="6"/>
      <c r="O111" s="6"/>
      <c r="P111" s="6"/>
      <c r="Q111" s="38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22"/>
      <c r="AE111" s="22"/>
      <c r="AF111" s="22"/>
      <c r="AG111" s="9"/>
      <c r="AH111" s="9"/>
      <c r="AI111" s="9"/>
      <c r="AJ111" s="9"/>
      <c r="AK111" s="9"/>
      <c r="AL111" s="9"/>
    </row>
    <row r="112" spans="5:38" ht="14.25" customHeight="1" x14ac:dyDescent="0.2">
      <c r="E112" s="6"/>
      <c r="F112" s="6"/>
      <c r="G112" s="6"/>
      <c r="H112" s="6"/>
      <c r="I112" s="26"/>
      <c r="J112" s="6"/>
      <c r="K112" s="6"/>
      <c r="L112" s="6"/>
      <c r="M112" s="6"/>
      <c r="N112" s="6"/>
      <c r="O112" s="6"/>
      <c r="P112" s="6"/>
      <c r="Q112" s="38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22"/>
      <c r="AE112" s="22"/>
      <c r="AF112" s="22"/>
      <c r="AG112" s="9"/>
      <c r="AH112" s="9"/>
      <c r="AI112" s="9"/>
      <c r="AJ112" s="9"/>
      <c r="AK112" s="9"/>
      <c r="AL112" s="9"/>
    </row>
    <row r="113" spans="5:38" ht="14.25" customHeight="1" x14ac:dyDescent="0.2">
      <c r="E113" s="6"/>
      <c r="F113" s="6"/>
      <c r="G113" s="6"/>
      <c r="H113" s="6"/>
      <c r="I113" s="26"/>
      <c r="J113" s="6"/>
      <c r="K113" s="6"/>
      <c r="L113" s="6"/>
      <c r="M113" s="6"/>
      <c r="N113" s="6"/>
      <c r="O113" s="6"/>
      <c r="P113" s="6"/>
      <c r="Q113" s="38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22"/>
      <c r="AE113" s="22"/>
      <c r="AF113" s="22"/>
      <c r="AG113" s="9"/>
      <c r="AH113" s="9"/>
      <c r="AI113" s="9"/>
      <c r="AJ113" s="9"/>
      <c r="AK113" s="9"/>
      <c r="AL113" s="9"/>
    </row>
    <row r="114" spans="5:38" ht="14.25" customHeight="1" x14ac:dyDescent="0.2">
      <c r="E114" s="6"/>
      <c r="F114" s="6"/>
      <c r="G114" s="6"/>
      <c r="H114" s="6"/>
      <c r="I114" s="26"/>
      <c r="J114" s="6"/>
      <c r="K114" s="6"/>
      <c r="L114" s="6"/>
      <c r="M114" s="6"/>
      <c r="N114" s="6"/>
      <c r="O114" s="6"/>
      <c r="P114" s="6"/>
      <c r="Q114" s="38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22"/>
      <c r="AE114" s="22"/>
      <c r="AF114" s="22"/>
      <c r="AG114" s="9"/>
      <c r="AH114" s="9"/>
      <c r="AI114" s="9"/>
      <c r="AJ114" s="9"/>
      <c r="AK114" s="9"/>
      <c r="AL114" s="9"/>
    </row>
    <row r="115" spans="5:38" ht="14.25" customHeight="1" x14ac:dyDescent="0.2">
      <c r="E115" s="6"/>
      <c r="F115" s="6"/>
      <c r="G115" s="6"/>
      <c r="H115" s="6"/>
      <c r="I115" s="26"/>
      <c r="J115" s="6"/>
      <c r="K115" s="6"/>
      <c r="L115" s="6"/>
      <c r="M115" s="6"/>
      <c r="N115" s="6"/>
      <c r="O115" s="6"/>
      <c r="P115" s="6"/>
      <c r="Q115" s="38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22"/>
      <c r="AE115" s="22"/>
      <c r="AF115" s="22"/>
      <c r="AG115" s="9"/>
      <c r="AH115" s="9"/>
      <c r="AI115" s="9"/>
      <c r="AJ115" s="9"/>
      <c r="AK115" s="9"/>
      <c r="AL115" s="9"/>
    </row>
    <row r="116" spans="5:38" ht="14.25" customHeight="1" x14ac:dyDescent="0.2">
      <c r="E116" s="6"/>
      <c r="F116" s="6"/>
      <c r="G116" s="6"/>
      <c r="H116" s="6"/>
      <c r="I116" s="26"/>
      <c r="J116" s="6"/>
      <c r="K116" s="6"/>
      <c r="L116" s="6"/>
      <c r="M116" s="6"/>
      <c r="N116" s="6"/>
      <c r="O116" s="6"/>
      <c r="P116" s="6"/>
      <c r="Q116" s="38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22"/>
      <c r="AE116" s="22"/>
      <c r="AF116" s="22"/>
      <c r="AG116" s="9"/>
      <c r="AH116" s="9"/>
      <c r="AI116" s="9"/>
      <c r="AJ116" s="9"/>
      <c r="AK116" s="9"/>
      <c r="AL116" s="9"/>
    </row>
    <row r="117" spans="5:38" ht="14.25" customHeight="1" x14ac:dyDescent="0.2">
      <c r="E117" s="6"/>
      <c r="F117" s="6"/>
      <c r="G117" s="6"/>
      <c r="H117" s="6"/>
      <c r="I117" s="26"/>
      <c r="J117" s="6"/>
      <c r="K117" s="6"/>
      <c r="L117" s="6"/>
      <c r="M117" s="6"/>
      <c r="N117" s="6"/>
      <c r="O117" s="6"/>
      <c r="P117" s="6"/>
      <c r="Q117" s="38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22"/>
      <c r="AE117" s="22"/>
      <c r="AF117" s="22"/>
      <c r="AG117" s="9"/>
      <c r="AH117" s="9"/>
      <c r="AI117" s="9"/>
      <c r="AJ117" s="9"/>
      <c r="AK117" s="9"/>
      <c r="AL117" s="9"/>
    </row>
    <row r="118" spans="5:38" ht="14.25" customHeight="1" x14ac:dyDescent="0.2">
      <c r="K118" s="6"/>
      <c r="L118" s="6"/>
      <c r="S118" s="6"/>
      <c r="T118" s="6"/>
      <c r="U118" s="6"/>
      <c r="AJ118" s="9"/>
      <c r="AK118" s="9"/>
      <c r="AL118" s="9"/>
    </row>
    <row r="119" spans="5:38" ht="14.25" customHeight="1" x14ac:dyDescent="0.2">
      <c r="J119" s="6"/>
      <c r="K119" s="6"/>
      <c r="L119" s="6"/>
    </row>
    <row r="121" spans="5:38" ht="14.25" customHeight="1" x14ac:dyDescent="0.2">
      <c r="J121" s="8"/>
      <c r="K121" s="8"/>
      <c r="L121" s="8"/>
    </row>
  </sheetData>
  <mergeCells count="3">
    <mergeCell ref="A1:B2"/>
    <mergeCell ref="V3:AB3"/>
    <mergeCell ref="O3:S3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7D986-83F9-4E85-97B2-5BA7C2B27C9E}">
          <x14:formula1>
            <xm:f>角色品星!$C$17:$C$20</xm:f>
          </x14:formula1>
          <xm:sqref>N2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B07AA-6FD0-419B-BF8A-B2C3D964FE92}">
  <sheetPr codeName="Sheet8"/>
  <dimension ref="A1:U12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M21" sqref="M21"/>
    </sheetView>
  </sheetViews>
  <sheetFormatPr defaultRowHeight="14.25" x14ac:dyDescent="0.2"/>
  <cols>
    <col min="1" max="16384" width="9" style="1"/>
  </cols>
  <sheetData>
    <row r="1" spans="1:21" ht="14.25" customHeight="1" x14ac:dyDescent="0.2">
      <c r="A1" s="81" t="s">
        <v>201</v>
      </c>
      <c r="B1" s="82"/>
    </row>
    <row r="2" spans="1:21" ht="14.25" customHeight="1" x14ac:dyDescent="0.2">
      <c r="A2" s="83"/>
      <c r="B2" s="84"/>
      <c r="Q2" s="36">
        <f>Q5+Q6+Q7+Q8+Q10</f>
        <v>1.0959999999999999</v>
      </c>
      <c r="R2" s="36">
        <f>R5+R6+R7+R8+R10</f>
        <v>1.0960000000000001</v>
      </c>
    </row>
    <row r="3" spans="1:21" s="3" customFormat="1" ht="14.25" customHeight="1" x14ac:dyDescent="0.2">
      <c r="C3" s="3" t="s">
        <v>219</v>
      </c>
    </row>
    <row r="4" spans="1:21" s="3" customFormat="1" ht="14.25" customHeight="1" x14ac:dyDescent="0.2">
      <c r="D4" s="3" t="s">
        <v>205</v>
      </c>
      <c r="E4" s="3" t="s">
        <v>202</v>
      </c>
      <c r="F4" s="3" t="s">
        <v>152</v>
      </c>
      <c r="G4" s="3" t="s">
        <v>175</v>
      </c>
      <c r="H4" s="3" t="s">
        <v>203</v>
      </c>
      <c r="I4" s="3" t="s">
        <v>204</v>
      </c>
      <c r="J4" s="25" t="s">
        <v>212</v>
      </c>
      <c r="K4" s="3" t="s">
        <v>146</v>
      </c>
      <c r="L4" s="3" t="s">
        <v>147</v>
      </c>
      <c r="M4" s="3" t="s">
        <v>13</v>
      </c>
      <c r="N4" s="3" t="s">
        <v>5</v>
      </c>
      <c r="O4" s="3" t="s">
        <v>214</v>
      </c>
      <c r="P4" s="3" t="s">
        <v>215</v>
      </c>
      <c r="Q4" s="3" t="s">
        <v>216</v>
      </c>
      <c r="R4" s="3" t="s">
        <v>217</v>
      </c>
    </row>
    <row r="5" spans="1:21" ht="14.25" customHeight="1" x14ac:dyDescent="0.2">
      <c r="D5" s="1" t="s">
        <v>158</v>
      </c>
      <c r="E5" s="1" t="s">
        <v>127</v>
      </c>
      <c r="F5" s="1" t="str">
        <f>VLOOKUP($D5,角色设定!$D$27:$M$33,MATCH(F$4,角色设定!$D$27:$M$27,0),0)</f>
        <v>承伤</v>
      </c>
      <c r="G5" s="1">
        <f>VLOOKUP($D5,角色设定!$D$27:$M$33,MATCH(G$4,角色设定!$D$27:$M$27,0),0)</f>
        <v>0.75</v>
      </c>
      <c r="H5" s="6">
        <f>VLOOKUP($D5,角色设定!$D$9:$M$15,MATCH(H$4,角色设定!$D$9:$M$9,0),0)</f>
        <v>4.5</v>
      </c>
      <c r="I5" s="6">
        <f>VLOOKUP($D5,角色设定!$D$9:$M$15,MATCH(I$4,角色设定!$D$9:$M$9,0),0)</f>
        <v>111.11111111111111</v>
      </c>
      <c r="J5" s="6">
        <v>0.5</v>
      </c>
      <c r="K5" s="6">
        <f>VLOOKUP($D5,角色设定!$D$18:$O$24,MATCH(K$4,角色设定!$D$18:$O$18,0),0)</f>
        <v>0.4</v>
      </c>
      <c r="L5" s="6">
        <f>VLOOKUP($D5,角色设定!$D$18:$O$24,MATCH(L$4,角色设定!$D$18:$O$18,0),0)</f>
        <v>1.5</v>
      </c>
      <c r="M5" s="6">
        <f>VLOOKUP($D5,角色设定!$D$18:$O$24,MATCH(M$4,角色设定!$D$18:$O$18,0),0)</f>
        <v>0.9</v>
      </c>
      <c r="N5" s="1">
        <f>VLOOKUP(E5,'基础模型(废）'!$D$10:$G$13,4,0)</f>
        <v>5</v>
      </c>
      <c r="O5" s="1">
        <v>2</v>
      </c>
      <c r="P5" s="5">
        <f>G5/(G5+(1-G5)*O5)</f>
        <v>0.6</v>
      </c>
      <c r="Q5" s="5">
        <f>G5+(1-G5)*O5-1</f>
        <v>0.25</v>
      </c>
      <c r="R5" s="5">
        <f>($N$5+$N$6)/($N$5+$N$6+$N$10)*$Q$2/2</f>
        <v>0.21076923076923076</v>
      </c>
      <c r="S5" s="6">
        <f>N5*(1+R5)</f>
        <v>6.0538461538461537</v>
      </c>
    </row>
    <row r="6" spans="1:21" ht="14.25" customHeight="1" x14ac:dyDescent="0.2">
      <c r="D6" s="1" t="s">
        <v>159</v>
      </c>
      <c r="E6" s="1" t="s">
        <v>127</v>
      </c>
      <c r="F6" s="1" t="str">
        <f>VLOOKUP($D6,角色设定!$D$27:$M$33,MATCH(F$4,角色设定!$D$27:$M$27,0),0)</f>
        <v>伤害</v>
      </c>
      <c r="G6" s="1">
        <f>VLOOKUP($D6,角色设定!$D$27:$M$33,MATCH(G$4,角色设定!$D$27:$M$27,0),0)</f>
        <v>0.751</v>
      </c>
      <c r="H6" s="6">
        <f>VLOOKUP($D6,角色设定!$D$9:$M$15,MATCH(H$4,角色设定!$D$9:$M$9,0),0)</f>
        <v>6</v>
      </c>
      <c r="I6" s="6">
        <f>VLOOKUP($D6,角色设定!$D$9:$M$15,MATCH(I$4,角色设定!$D$9:$M$9,0),0)</f>
        <v>83.333333333333329</v>
      </c>
      <c r="J6" s="6">
        <v>0.5</v>
      </c>
      <c r="K6" s="6">
        <f>VLOOKUP($D6,角色设定!$D$18:$O$24,MATCH(K$4,角色设定!$D$18:$O$18,0),0)</f>
        <v>0.4</v>
      </c>
      <c r="L6" s="6">
        <f>VLOOKUP($D6,角色设定!$D$18:$O$24,MATCH(L$4,角色设定!$D$18:$O$18,0),0)</f>
        <v>1.5</v>
      </c>
      <c r="M6" s="6">
        <f>VLOOKUP($D6,角色设定!$D$18:$O$24,MATCH(M$4,角色设定!$D$18:$O$18,0),0)</f>
        <v>0.95</v>
      </c>
      <c r="N6" s="1">
        <f>VLOOKUP(E6,'基础模型(废）'!$D$10:$G$13,4,0)</f>
        <v>5</v>
      </c>
      <c r="O6" s="1">
        <v>2</v>
      </c>
      <c r="P6" s="5">
        <f t="shared" ref="P6:P10" si="0">G6/(G6+(1-G6)*O6)</f>
        <v>0.60128102481985579</v>
      </c>
      <c r="Q6" s="5">
        <f t="shared" ref="Q6:Q10" si="1">G6+(1-G6)*O6-1</f>
        <v>0.24900000000000011</v>
      </c>
      <c r="R6" s="5">
        <f>($N$5+$N$6)/($N$5+$N$6+$N$10)*$Q$2/2</f>
        <v>0.21076923076923076</v>
      </c>
      <c r="S6" s="6">
        <f t="shared" ref="S6:S10" si="2">N6*(1+R6)</f>
        <v>6.0538461538461537</v>
      </c>
    </row>
    <row r="7" spans="1:21" ht="14.25" customHeight="1" x14ac:dyDescent="0.2">
      <c r="D7" s="1" t="s">
        <v>160</v>
      </c>
      <c r="E7" s="1" t="s">
        <v>128</v>
      </c>
      <c r="F7" s="1" t="str">
        <f>VLOOKUP($D7,角色设定!$D$27:$M$33,MATCH(F$4,角色设定!$D$27:$M$27,0),0)</f>
        <v>伤害</v>
      </c>
      <c r="G7" s="1">
        <f>VLOOKUP($D7,角色设定!$D$27:$M$33,MATCH(G$4,角色设定!$D$27:$M$27,0),0)</f>
        <v>0.8</v>
      </c>
      <c r="H7" s="6">
        <f>VLOOKUP($D7,角色设定!$D$9:$M$15,MATCH(H$4,角色设定!$D$9:$M$9,0),0)</f>
        <v>10.5</v>
      </c>
      <c r="I7" s="6">
        <f>VLOOKUP($D7,角色设定!$D$9:$M$15,MATCH(I$4,角色设定!$D$9:$M$9,0),0)</f>
        <v>38.095238095238095</v>
      </c>
      <c r="J7" s="6">
        <v>0.35</v>
      </c>
      <c r="K7" s="6">
        <f>VLOOKUP($D7,角色设定!$D$18:$O$24,MATCH(K$4,角色设定!$D$18:$O$18,0),0)</f>
        <v>0.4</v>
      </c>
      <c r="L7" s="6">
        <f>VLOOKUP($D7,角色设定!$D$18:$O$24,MATCH(L$4,角色设定!$D$18:$O$18,0),0)</f>
        <v>1.5</v>
      </c>
      <c r="M7" s="6">
        <f>VLOOKUP($D7,角色设定!$D$18:$O$24,MATCH(M$4,角色设定!$D$18:$O$18,0),0)</f>
        <v>1</v>
      </c>
      <c r="N7" s="1">
        <f>VLOOKUP(E7,'基础模型(废）'!$D$10:$G$13,4,0)</f>
        <v>0</v>
      </c>
      <c r="O7" s="1">
        <v>2</v>
      </c>
      <c r="P7" s="5">
        <f t="shared" si="0"/>
        <v>0.66666666666666674</v>
      </c>
      <c r="Q7" s="5">
        <f t="shared" si="1"/>
        <v>0.19999999999999996</v>
      </c>
      <c r="R7" s="5"/>
      <c r="S7" s="6">
        <f t="shared" si="2"/>
        <v>0</v>
      </c>
    </row>
    <row r="8" spans="1:21" ht="14.25" customHeight="1" x14ac:dyDescent="0.2">
      <c r="D8" s="1" t="s">
        <v>161</v>
      </c>
      <c r="E8" s="1" t="s">
        <v>128</v>
      </c>
      <c r="F8" s="1" t="str">
        <f>VLOOKUP($D8,角色设定!$D$27:$M$33,MATCH(F$4,角色设定!$D$27:$M$27,0),0)</f>
        <v>伤害</v>
      </c>
      <c r="G8" s="1">
        <f>VLOOKUP($D8,角色设定!$D$27:$M$33,MATCH(G$4,角色设定!$D$27:$M$27,0),0)</f>
        <v>0.80500000000000005</v>
      </c>
      <c r="H8" s="6">
        <f>VLOOKUP($D8,角色设定!$D$9:$M$15,MATCH(H$4,角色设定!$D$9:$M$9,0),0)</f>
        <v>10</v>
      </c>
      <c r="I8" s="6">
        <f>VLOOKUP($D8,角色设定!$D$9:$M$15,MATCH(I$4,角色设定!$D$9:$M$9,0),0)</f>
        <v>40</v>
      </c>
      <c r="J8" s="6">
        <v>0.35</v>
      </c>
      <c r="K8" s="6">
        <f>VLOOKUP($D8,角色设定!$D$18:$O$24,MATCH(K$4,角色设定!$D$18:$O$18,0),0)</f>
        <v>0.4</v>
      </c>
      <c r="L8" s="6">
        <f>VLOOKUP($D8,角色设定!$D$18:$O$24,MATCH(L$4,角色设定!$D$18:$O$18,0),0)</f>
        <v>1.5</v>
      </c>
      <c r="M8" s="6">
        <f>VLOOKUP($D8,角色设定!$D$18:$O$24,MATCH(M$4,角色设定!$D$18:$O$18,0),0)</f>
        <v>1.1000000000000001</v>
      </c>
      <c r="N8" s="1">
        <f>VLOOKUP(E8,'基础模型(废）'!$D$10:$G$13,4,0)</f>
        <v>0</v>
      </c>
      <c r="O8" s="1">
        <v>2</v>
      </c>
      <c r="P8" s="5">
        <f t="shared" si="0"/>
        <v>0.67364016736401688</v>
      </c>
      <c r="Q8" s="5">
        <f t="shared" si="1"/>
        <v>0.19499999999999984</v>
      </c>
      <c r="R8" s="5"/>
      <c r="S8" s="6">
        <f t="shared" si="2"/>
        <v>0</v>
      </c>
    </row>
    <row r="9" spans="1:21" ht="14.25" customHeight="1" x14ac:dyDescent="0.2">
      <c r="D9" s="1" t="s">
        <v>162</v>
      </c>
      <c r="E9" s="1" t="s">
        <v>128</v>
      </c>
      <c r="F9" s="1" t="str">
        <f>VLOOKUP($D9,角色设定!$D$27:$M$33,MATCH(F$4,角色设定!$D$27:$M$27,0),0)</f>
        <v>伤害</v>
      </c>
      <c r="G9" s="1">
        <f>VLOOKUP($D9,角色设定!$D$27:$M$33,MATCH(G$4,角色设定!$D$27:$M$27,0),0)</f>
        <v>0.77400000000000002</v>
      </c>
      <c r="H9" s="6">
        <f>VLOOKUP($D9,角色设定!$D$9:$M$15,MATCH(H$4,角色设定!$D$9:$M$9,0),0)</f>
        <v>9.5</v>
      </c>
      <c r="I9" s="6">
        <f>VLOOKUP($D9,角色设定!$D$9:$M$15,MATCH(I$4,角色设定!$D$9:$M$9,0),0)</f>
        <v>42.10526315789474</v>
      </c>
      <c r="J9" s="6">
        <v>0.35</v>
      </c>
      <c r="K9" s="6">
        <f>VLOOKUP($D9,角色设定!$D$18:$O$24,MATCH(K$4,角色设定!$D$18:$O$18,0),0)</f>
        <v>0.4</v>
      </c>
      <c r="L9" s="6">
        <f>VLOOKUP($D9,角色设定!$D$18:$O$24,MATCH(L$4,角色设定!$D$18:$O$18,0),0)</f>
        <v>1.5</v>
      </c>
      <c r="M9" s="6">
        <f>VLOOKUP($D9,角色设定!$D$18:$O$24,MATCH(M$4,角色设定!$D$18:$O$18,0),0)</f>
        <v>1.2</v>
      </c>
      <c r="N9" s="1">
        <f>VLOOKUP(E9,'基础模型(废）'!$D$10:$G$13,4,0)</f>
        <v>0</v>
      </c>
      <c r="O9" s="1">
        <v>2</v>
      </c>
      <c r="P9" s="5">
        <f t="shared" si="0"/>
        <v>0.63132137030995106</v>
      </c>
      <c r="Q9" s="5">
        <f t="shared" si="1"/>
        <v>0.22599999999999998</v>
      </c>
      <c r="R9" s="5"/>
      <c r="S9" s="6">
        <f t="shared" si="2"/>
        <v>0</v>
      </c>
    </row>
    <row r="10" spans="1:21" ht="14.25" customHeight="1" x14ac:dyDescent="0.2">
      <c r="D10" s="1" t="s">
        <v>163</v>
      </c>
      <c r="E10" s="1" t="s">
        <v>129</v>
      </c>
      <c r="F10" s="1" t="str">
        <f>VLOOKUP($D10,角色设定!$D$27:$M$33,MATCH(F$4,角色设定!$D$27:$M$27,0),0)</f>
        <v>无</v>
      </c>
      <c r="G10" s="1">
        <f>VLOOKUP($D10,角色设定!$D$27:$M$33,MATCH(G$4,角色设定!$D$27:$M$27,0),0)</f>
        <v>0.79800000000000004</v>
      </c>
      <c r="H10" s="6">
        <f>VLOOKUP($D10,角色设定!$D$9:$M$15,MATCH(H$4,角色设定!$D$9:$M$9,0),0)</f>
        <v>3.6</v>
      </c>
      <c r="I10" s="6">
        <f>VLOOKUP($D10,角色设定!$D$9:$M$15,MATCH(I$4,角色设定!$D$9:$M$9,0),0)</f>
        <v>55.555555555555557</v>
      </c>
      <c r="J10" s="6">
        <v>0.35</v>
      </c>
      <c r="K10" s="6">
        <f>VLOOKUP($D10,角色设定!$D$18:$O$24,MATCH(K$4,角色设定!$D$18:$O$18,0),0)</f>
        <v>0.4</v>
      </c>
      <c r="L10" s="6">
        <f>VLOOKUP($D10,角色设定!$D$18:$O$24,MATCH(L$4,角色设定!$D$18:$O$18,0),0)</f>
        <v>1.5</v>
      </c>
      <c r="M10" s="6">
        <f>VLOOKUP($D10,角色设定!$D$18:$O$24,MATCH(M$4,角色设定!$D$18:$O$18,0),0)</f>
        <v>0.9</v>
      </c>
      <c r="N10" s="1">
        <f>VLOOKUP(E10,'基础模型(废）'!$D$10:$G$13,4,0)</f>
        <v>16</v>
      </c>
      <c r="O10" s="1">
        <v>2</v>
      </c>
      <c r="P10" s="5">
        <f t="shared" si="0"/>
        <v>0.6638935108153079</v>
      </c>
      <c r="Q10" s="5">
        <f t="shared" si="1"/>
        <v>0.20199999999999996</v>
      </c>
      <c r="R10" s="5">
        <f>($N$10)/($N$5+$N$6+$N$10)*$Q$2</f>
        <v>0.67446153846153845</v>
      </c>
      <c r="S10" s="6">
        <f t="shared" si="2"/>
        <v>26.791384615384615</v>
      </c>
    </row>
    <row r="11" spans="1:21" ht="14.25" customHeight="1" x14ac:dyDescent="0.2"/>
    <row r="12" spans="1:21" ht="14.25" customHeight="1" x14ac:dyDescent="0.2">
      <c r="J12" s="2" t="s">
        <v>321</v>
      </c>
    </row>
    <row r="13" spans="1:21" ht="14.25" customHeight="1" x14ac:dyDescent="0.2">
      <c r="C13" s="3"/>
      <c r="D13" s="3" t="s">
        <v>205</v>
      </c>
      <c r="E13" s="3" t="s">
        <v>202</v>
      </c>
      <c r="F13" s="3" t="s">
        <v>34</v>
      </c>
      <c r="G13" s="3" t="s">
        <v>213</v>
      </c>
      <c r="H13" s="25" t="s">
        <v>206</v>
      </c>
      <c r="I13" s="25" t="s">
        <v>274</v>
      </c>
      <c r="J13" s="3" t="s">
        <v>207</v>
      </c>
      <c r="K13" s="3" t="s">
        <v>209</v>
      </c>
      <c r="L13" s="3" t="s">
        <v>211</v>
      </c>
      <c r="M13" s="3" t="s">
        <v>218</v>
      </c>
      <c r="N13" s="3" t="s">
        <v>238</v>
      </c>
      <c r="O13" s="3" t="s">
        <v>239</v>
      </c>
      <c r="P13" s="3" t="s">
        <v>240</v>
      </c>
      <c r="Q13" s="3" t="s">
        <v>241</v>
      </c>
      <c r="R13" s="3" t="s">
        <v>246</v>
      </c>
      <c r="S13" s="3" t="s">
        <v>247</v>
      </c>
      <c r="T13" s="3" t="s">
        <v>248</v>
      </c>
      <c r="U13" s="3" t="s">
        <v>249</v>
      </c>
    </row>
    <row r="14" spans="1:21" ht="14.25" customHeight="1" x14ac:dyDescent="0.2">
      <c r="D14" s="1" t="s">
        <v>158</v>
      </c>
      <c r="E14" s="1" t="s">
        <v>127</v>
      </c>
      <c r="F14" s="6">
        <f>H5*G5/M5/(1+K5*(L5-1))</f>
        <v>3.125</v>
      </c>
      <c r="G14" s="6">
        <f t="shared" ref="G14:G19" si="3">I5*(1-J5)</f>
        <v>55.555555555555557</v>
      </c>
      <c r="H14" s="1">
        <v>10</v>
      </c>
      <c r="I14" s="1">
        <f>H14*0.5</f>
        <v>5</v>
      </c>
      <c r="J14" s="5">
        <f>H5*(1-G5)/(1/H14)/(1+K5*(L5-1))/F14</f>
        <v>3</v>
      </c>
      <c r="K14" s="4">
        <f>N5/H5*H14</f>
        <v>11.111111111111111</v>
      </c>
      <c r="L14" s="5">
        <f t="shared" ref="L14:L19" si="4">N5*H14/G14</f>
        <v>0.9</v>
      </c>
      <c r="M14" s="36">
        <f>N5*H14/(G14+G15+G16+G17+G19)</f>
        <v>0.2715985514743921</v>
      </c>
      <c r="N14" s="5">
        <f t="shared" ref="N14:N19" si="5">H5*(1-P5)/(1/H14)/(1+K5*(L5-1))/F14</f>
        <v>4.8</v>
      </c>
      <c r="O14" s="24">
        <f t="shared" ref="O14:O19" si="6">S5/H5*H14</f>
        <v>13.452991452991451</v>
      </c>
      <c r="P14" s="5">
        <f t="shared" ref="P14:P19" si="7">S5*H14/G14</f>
        <v>1.0896923076923075</v>
      </c>
      <c r="Q14" s="5">
        <f>S5*H14/(G14+G15+G16+G17+G19)</f>
        <v>0.32884316924668705</v>
      </c>
      <c r="R14" s="6">
        <f>N14/J14</f>
        <v>1.5999999999999999</v>
      </c>
      <c r="S14" s="6">
        <f t="shared" ref="S14:U14" si="8">O14/K14</f>
        <v>1.2107692307692306</v>
      </c>
      <c r="T14" s="6">
        <f t="shared" si="8"/>
        <v>1.2107692307692306</v>
      </c>
      <c r="U14" s="6">
        <f t="shared" si="8"/>
        <v>1.2107692307692308</v>
      </c>
    </row>
    <row r="15" spans="1:21" ht="14.25" customHeight="1" x14ac:dyDescent="0.2">
      <c r="D15" s="1" t="s">
        <v>159</v>
      </c>
      <c r="E15" s="1" t="s">
        <v>127</v>
      </c>
      <c r="F15" s="6">
        <f t="shared" ref="F15:F19" si="9">H6*G6/M6/(1+K6*(L6-1))</f>
        <v>3.9526315789473694</v>
      </c>
      <c r="G15" s="6">
        <f t="shared" si="3"/>
        <v>41.666666666666664</v>
      </c>
      <c r="H15" s="1">
        <v>8</v>
      </c>
      <c r="I15" s="1">
        <f t="shared" ref="I15:I19" si="10">H15*0.5</f>
        <v>4</v>
      </c>
      <c r="J15" s="5">
        <f t="shared" ref="J15:J19" si="11">H6*(1-G6)/(1/H15)/(1+K6*(L6-1))/F15</f>
        <v>2.5198402130492674</v>
      </c>
      <c r="K15" s="4">
        <f t="shared" ref="K15:K19" si="12">N6/H6*H15</f>
        <v>6.666666666666667</v>
      </c>
      <c r="L15" s="5">
        <f t="shared" si="4"/>
        <v>0.96000000000000008</v>
      </c>
      <c r="M15" s="36"/>
      <c r="N15" s="5">
        <f t="shared" si="5"/>
        <v>4.0349723187338151</v>
      </c>
      <c r="O15" s="24">
        <f t="shared" si="6"/>
        <v>8.0717948717948715</v>
      </c>
      <c r="P15" s="5">
        <f t="shared" si="7"/>
        <v>1.1623384615384615</v>
      </c>
      <c r="R15" s="6">
        <f t="shared" ref="R15:R19" si="13">N15/J15</f>
        <v>1.6012810248198559</v>
      </c>
      <c r="S15" s="6">
        <f t="shared" ref="S15:S19" si="14">O15/K15</f>
        <v>1.2107692307692306</v>
      </c>
      <c r="T15" s="6">
        <f t="shared" ref="T15:T19" si="15">P15/L15</f>
        <v>1.2107692307692306</v>
      </c>
      <c r="U15" s="6"/>
    </row>
    <row r="16" spans="1:21" ht="14.25" customHeight="1" x14ac:dyDescent="0.2">
      <c r="D16" s="1" t="s">
        <v>160</v>
      </c>
      <c r="E16" s="1" t="s">
        <v>128</v>
      </c>
      <c r="F16" s="6">
        <f t="shared" si="9"/>
        <v>7.0000000000000009</v>
      </c>
      <c r="G16" s="6">
        <f t="shared" si="3"/>
        <v>24.761904761904763</v>
      </c>
      <c r="H16" s="1">
        <v>20</v>
      </c>
      <c r="I16" s="1">
        <f t="shared" si="10"/>
        <v>10</v>
      </c>
      <c r="J16" s="5">
        <f t="shared" si="11"/>
        <v>4.9999999999999982</v>
      </c>
      <c r="K16" s="4">
        <f t="shared" si="12"/>
        <v>0</v>
      </c>
      <c r="L16" s="5">
        <f t="shared" si="4"/>
        <v>0</v>
      </c>
      <c r="M16" s="36"/>
      <c r="N16" s="5">
        <f t="shared" si="5"/>
        <v>8.3333333333333304</v>
      </c>
      <c r="O16" s="24">
        <f t="shared" si="6"/>
        <v>0</v>
      </c>
      <c r="P16" s="5">
        <f t="shared" si="7"/>
        <v>0</v>
      </c>
      <c r="R16" s="6">
        <f>N16/J16</f>
        <v>1.6666666666666667</v>
      </c>
      <c r="S16" s="6"/>
      <c r="T16" s="6"/>
      <c r="U16" s="6"/>
    </row>
    <row r="17" spans="2:21" ht="14.25" customHeight="1" x14ac:dyDescent="0.2">
      <c r="D17" s="1" t="s">
        <v>161</v>
      </c>
      <c r="E17" s="1" t="s">
        <v>128</v>
      </c>
      <c r="F17" s="6">
        <f t="shared" si="9"/>
        <v>6.0984848484848486</v>
      </c>
      <c r="G17" s="6">
        <f t="shared" si="3"/>
        <v>26</v>
      </c>
      <c r="H17" s="1">
        <v>15</v>
      </c>
      <c r="I17" s="1">
        <f t="shared" si="10"/>
        <v>7.5</v>
      </c>
      <c r="J17" s="5">
        <f t="shared" si="11"/>
        <v>3.9968944099378874</v>
      </c>
      <c r="K17" s="4">
        <f t="shared" si="12"/>
        <v>0</v>
      </c>
      <c r="L17" s="5">
        <f t="shared" si="4"/>
        <v>0</v>
      </c>
      <c r="M17" s="36"/>
      <c r="N17" s="5">
        <f t="shared" si="5"/>
        <v>6.6893630291847472</v>
      </c>
      <c r="O17" s="24">
        <f t="shared" si="6"/>
        <v>0</v>
      </c>
      <c r="P17" s="5">
        <f t="shared" si="7"/>
        <v>0</v>
      </c>
      <c r="R17" s="6">
        <f t="shared" si="13"/>
        <v>1.6736401673640164</v>
      </c>
      <c r="S17" s="6"/>
      <c r="T17" s="6"/>
      <c r="U17" s="6"/>
    </row>
    <row r="18" spans="2:21" ht="14.25" customHeight="1" x14ac:dyDescent="0.2">
      <c r="D18" s="1" t="s">
        <v>162</v>
      </c>
      <c r="E18" s="1" t="s">
        <v>128</v>
      </c>
      <c r="F18" s="6">
        <f t="shared" si="9"/>
        <v>5.1062500000000002</v>
      </c>
      <c r="G18" s="6">
        <f t="shared" si="3"/>
        <v>27.368421052631582</v>
      </c>
      <c r="H18" s="1">
        <v>10</v>
      </c>
      <c r="I18" s="1">
        <f t="shared" si="10"/>
        <v>5</v>
      </c>
      <c r="J18" s="5">
        <f t="shared" si="11"/>
        <v>3.5038759689922472</v>
      </c>
      <c r="K18" s="4">
        <f t="shared" si="12"/>
        <v>0</v>
      </c>
      <c r="L18" s="5">
        <f t="shared" si="4"/>
        <v>0</v>
      </c>
      <c r="M18" s="36"/>
      <c r="N18" s="5">
        <f t="shared" si="5"/>
        <v>5.7159477471325415</v>
      </c>
      <c r="O18" s="24">
        <f t="shared" si="6"/>
        <v>0</v>
      </c>
      <c r="P18" s="5">
        <f t="shared" si="7"/>
        <v>0</v>
      </c>
      <c r="R18" s="6">
        <f t="shared" si="13"/>
        <v>1.6313213703099514</v>
      </c>
      <c r="S18" s="6"/>
      <c r="T18" s="6"/>
      <c r="U18" s="6"/>
    </row>
    <row r="19" spans="2:21" ht="14.25" customHeight="1" x14ac:dyDescent="0.2">
      <c r="D19" s="1" t="s">
        <v>163</v>
      </c>
      <c r="E19" s="1" t="s">
        <v>129</v>
      </c>
      <c r="F19" s="6">
        <f t="shared" si="9"/>
        <v>2.66</v>
      </c>
      <c r="G19" s="6">
        <f t="shared" si="3"/>
        <v>36.111111111111114</v>
      </c>
      <c r="H19" s="1">
        <v>11</v>
      </c>
      <c r="I19" s="1">
        <f t="shared" si="10"/>
        <v>5.5</v>
      </c>
      <c r="J19" s="5">
        <f t="shared" si="11"/>
        <v>2.5060150375939845</v>
      </c>
      <c r="K19" s="4">
        <f t="shared" si="12"/>
        <v>48.888888888888893</v>
      </c>
      <c r="L19" s="5">
        <f t="shared" si="4"/>
        <v>4.8738461538461531</v>
      </c>
      <c r="M19" s="5">
        <f>N10*H19/(G14+G15+G16+G17+G19)</f>
        <v>0.95602690118986033</v>
      </c>
      <c r="N19" s="5">
        <f t="shared" si="5"/>
        <v>4.1697421590582104</v>
      </c>
      <c r="O19" s="24">
        <f t="shared" si="6"/>
        <v>81.862564102564107</v>
      </c>
      <c r="P19" s="5">
        <f t="shared" si="7"/>
        <v>8.1610679289940808</v>
      </c>
      <c r="Q19" s="5">
        <f>S10*H19/(G14+G15+G16+G17+G19)</f>
        <v>1.6008302757769906</v>
      </c>
      <c r="R19" s="6">
        <f t="shared" si="13"/>
        <v>1.6638935108153079</v>
      </c>
      <c r="S19" s="6">
        <f t="shared" si="14"/>
        <v>1.6744615384615384</v>
      </c>
      <c r="T19" s="6">
        <f t="shared" si="15"/>
        <v>1.6744615384615382</v>
      </c>
      <c r="U19" s="6">
        <f t="shared" ref="U19" si="16">Q19/M19</f>
        <v>1.6744615384615382</v>
      </c>
    </row>
    <row r="20" spans="2:21" ht="14.25" customHeight="1" x14ac:dyDescent="0.2">
      <c r="C20" s="22"/>
      <c r="D20" s="22"/>
      <c r="E20" s="22"/>
      <c r="F20" s="22"/>
      <c r="G20" s="22"/>
      <c r="H20" s="9"/>
      <c r="I20" s="9"/>
      <c r="J20" s="9"/>
      <c r="K20" s="9"/>
      <c r="L20" s="9"/>
      <c r="M20" s="9"/>
    </row>
    <row r="21" spans="2:21" ht="14.25" customHeight="1" x14ac:dyDescent="0.2">
      <c r="C21" s="22"/>
      <c r="D21" s="22"/>
      <c r="E21" s="22"/>
      <c r="F21" s="22"/>
      <c r="G21" s="22"/>
      <c r="H21" s="9"/>
      <c r="I21" s="9"/>
      <c r="J21" s="9"/>
      <c r="K21" s="9"/>
      <c r="L21" s="9"/>
      <c r="M21" s="9"/>
    </row>
    <row r="22" spans="2:21" ht="14.25" customHeight="1" x14ac:dyDescent="0.2">
      <c r="B22" s="6"/>
      <c r="C22" s="43" t="s">
        <v>220</v>
      </c>
      <c r="D22" s="2" t="s">
        <v>288</v>
      </c>
      <c r="E22" s="22"/>
      <c r="F22" s="22"/>
      <c r="G22" s="22"/>
      <c r="H22" s="9"/>
      <c r="I22" s="9"/>
      <c r="J22" s="9"/>
      <c r="K22" s="9"/>
      <c r="L22" s="9"/>
      <c r="M22" s="9"/>
    </row>
    <row r="23" spans="2:21" ht="14.25" customHeight="1" x14ac:dyDescent="0.2">
      <c r="B23" s="6"/>
      <c r="C23" s="22"/>
      <c r="D23" s="10">
        <v>0.2</v>
      </c>
      <c r="E23" s="2" t="s">
        <v>231</v>
      </c>
      <c r="F23" s="22"/>
      <c r="G23" s="22"/>
      <c r="H23" s="9"/>
      <c r="I23" s="9"/>
      <c r="J23" s="9"/>
      <c r="K23" s="9"/>
      <c r="L23" s="9"/>
      <c r="M23" s="9"/>
    </row>
    <row r="24" spans="2:21" ht="14.25" customHeight="1" x14ac:dyDescent="0.2">
      <c r="C24" s="22"/>
      <c r="D24" s="22" t="s">
        <v>34</v>
      </c>
      <c r="E24" s="5">
        <f>D23</f>
        <v>0.2</v>
      </c>
      <c r="F24" s="22"/>
      <c r="G24" s="22"/>
      <c r="H24" s="9"/>
      <c r="I24" s="9"/>
      <c r="J24" s="9"/>
      <c r="K24" s="9"/>
      <c r="L24" s="9"/>
      <c r="M24" s="9"/>
    </row>
    <row r="25" spans="2:21" ht="14.25" customHeight="1" x14ac:dyDescent="0.2">
      <c r="C25" s="22"/>
      <c r="D25" s="22" t="s">
        <v>37</v>
      </c>
      <c r="E25" s="5">
        <f>((1+$D$23)*(1+F25*(G25-1))-1)/(G25-1)-F25</f>
        <v>0.47999999999999987</v>
      </c>
      <c r="F25" s="24">
        <v>0.4</v>
      </c>
      <c r="G25" s="24">
        <v>1.5</v>
      </c>
      <c r="H25" s="9"/>
      <c r="I25" s="9"/>
      <c r="J25" s="9"/>
      <c r="K25" s="9"/>
      <c r="L25" s="9"/>
      <c r="M25" s="9"/>
    </row>
    <row r="26" spans="2:21" ht="14.25" customHeight="1" x14ac:dyDescent="0.2">
      <c r="B26" s="33"/>
      <c r="C26" s="22"/>
      <c r="D26" s="22" t="s">
        <v>89</v>
      </c>
      <c r="E26" s="5">
        <f>((1+$D$23)*(1+F26*(G26-1))-1)/F26+1-G26</f>
        <v>0.59999999999999964</v>
      </c>
      <c r="F26" s="24">
        <v>0.4</v>
      </c>
      <c r="G26" s="24">
        <v>1.5</v>
      </c>
      <c r="H26" s="9"/>
      <c r="I26" s="9"/>
      <c r="J26" s="9"/>
      <c r="K26" s="9"/>
      <c r="L26" s="9"/>
      <c r="M26" s="9"/>
    </row>
    <row r="27" spans="2:21" ht="14.25" customHeight="1" x14ac:dyDescent="0.2">
      <c r="B27" s="33"/>
      <c r="C27" s="22"/>
      <c r="D27" s="22" t="s">
        <v>213</v>
      </c>
      <c r="E27" s="5">
        <f>D23</f>
        <v>0.2</v>
      </c>
      <c r="G27" s="22"/>
      <c r="H27" s="9"/>
      <c r="I27" s="9"/>
      <c r="J27" s="9"/>
      <c r="K27" s="9"/>
      <c r="L27" s="9"/>
      <c r="M27" s="9"/>
    </row>
    <row r="28" spans="2:21" ht="14.25" customHeight="1" x14ac:dyDescent="0.2">
      <c r="B28" s="33"/>
      <c r="C28" s="22"/>
      <c r="D28" s="22" t="s">
        <v>212</v>
      </c>
      <c r="E28" s="4">
        <f>1-(1-(1+$D$23)*(1-F28))-F28</f>
        <v>9.9999999999999978E-2</v>
      </c>
      <c r="F28" s="23">
        <v>0.5</v>
      </c>
      <c r="G28" s="22"/>
      <c r="H28" s="9"/>
      <c r="I28" s="9"/>
      <c r="J28" s="9"/>
      <c r="K28" s="9"/>
      <c r="L28" s="9"/>
      <c r="M28" s="6"/>
    </row>
    <row r="29" spans="2:21" ht="14.25" customHeight="1" x14ac:dyDescent="0.2">
      <c r="B29" s="33"/>
      <c r="C29" s="22"/>
      <c r="D29" s="22" t="s">
        <v>35</v>
      </c>
      <c r="E29" s="22">
        <f>100000/(1-E28-F28)-100000</f>
        <v>150000</v>
      </c>
      <c r="F29" s="23">
        <f>E29/G29</f>
        <v>1.5</v>
      </c>
      <c r="G29" s="22">
        <v>100000</v>
      </c>
      <c r="H29" s="9"/>
      <c r="I29" s="9"/>
      <c r="J29" s="9"/>
      <c r="K29" s="9"/>
      <c r="L29" s="9"/>
      <c r="M29" s="9"/>
    </row>
    <row r="30" spans="2:21" ht="14.25" customHeight="1" x14ac:dyDescent="0.2">
      <c r="B30" s="33"/>
      <c r="C30" s="22"/>
      <c r="D30" s="22"/>
      <c r="E30" s="22"/>
      <c r="F30" s="22"/>
      <c r="G30" s="22"/>
      <c r="H30" s="9"/>
      <c r="I30" s="9"/>
      <c r="J30" s="9"/>
      <c r="K30" s="9"/>
      <c r="L30" s="9"/>
      <c r="M30" s="9"/>
    </row>
    <row r="31" spans="2:21" ht="14.25" customHeight="1" x14ac:dyDescent="0.2">
      <c r="B31" s="33"/>
      <c r="C31" s="22"/>
      <c r="D31" s="22"/>
      <c r="E31" s="22"/>
      <c r="F31" s="22"/>
      <c r="G31" s="22"/>
      <c r="H31" s="9"/>
      <c r="I31" s="9"/>
      <c r="J31" s="9"/>
      <c r="K31" s="9"/>
      <c r="L31" s="9"/>
      <c r="M31" s="9"/>
    </row>
    <row r="32" spans="2:21" ht="14.25" customHeight="1" x14ac:dyDescent="0.2">
      <c r="B32" s="6"/>
      <c r="C32" s="22"/>
      <c r="D32" s="22"/>
      <c r="E32" s="22"/>
      <c r="F32" s="22"/>
      <c r="G32" s="22"/>
      <c r="H32" s="9"/>
      <c r="I32" s="9"/>
      <c r="J32" s="9"/>
      <c r="K32" s="9"/>
      <c r="L32" s="9"/>
      <c r="M32" s="9"/>
    </row>
    <row r="33" spans="2:13" ht="14.25" customHeight="1" x14ac:dyDescent="0.2">
      <c r="B33" s="6"/>
      <c r="C33" s="22"/>
      <c r="D33" s="22"/>
      <c r="E33" s="22"/>
      <c r="F33" s="22"/>
      <c r="G33" s="4"/>
      <c r="H33" s="9"/>
      <c r="I33" s="9"/>
      <c r="J33" s="9"/>
      <c r="K33" s="9"/>
      <c r="L33" s="9"/>
      <c r="M33" s="9"/>
    </row>
    <row r="34" spans="2:13" ht="14.25" customHeight="1" x14ac:dyDescent="0.2">
      <c r="C34" s="22"/>
      <c r="D34" s="22"/>
      <c r="E34" s="22"/>
      <c r="F34" s="22"/>
      <c r="G34" s="22"/>
      <c r="H34" s="9"/>
      <c r="I34" s="9"/>
      <c r="J34" s="9"/>
      <c r="K34" s="9"/>
      <c r="L34" s="9"/>
      <c r="M34" s="9"/>
    </row>
    <row r="35" spans="2:13" ht="14.25" customHeight="1" x14ac:dyDescent="0.2">
      <c r="C35" s="22"/>
      <c r="D35" s="22"/>
      <c r="E35" s="22"/>
      <c r="F35" s="22"/>
      <c r="G35" s="22"/>
      <c r="H35" s="9"/>
      <c r="I35" s="9"/>
      <c r="J35" s="9"/>
      <c r="K35" s="9"/>
      <c r="L35" s="9"/>
      <c r="M35" s="9"/>
    </row>
    <row r="36" spans="2:13" ht="14.25" customHeight="1" x14ac:dyDescent="0.2">
      <c r="C36" s="22"/>
      <c r="D36" s="22"/>
      <c r="E36" s="22"/>
      <c r="F36" s="22"/>
      <c r="G36" s="22"/>
      <c r="H36" s="9"/>
      <c r="I36" s="9"/>
      <c r="J36" s="9"/>
      <c r="K36" s="9"/>
      <c r="L36" s="9"/>
      <c r="M36" s="9"/>
    </row>
    <row r="37" spans="2:13" ht="14.25" customHeight="1" x14ac:dyDescent="0.2">
      <c r="C37" s="22"/>
      <c r="D37" s="22"/>
      <c r="E37" s="22"/>
      <c r="F37" s="22"/>
      <c r="G37" s="22"/>
      <c r="H37" s="9"/>
      <c r="I37" s="9"/>
      <c r="J37" s="9"/>
      <c r="K37" s="9"/>
      <c r="L37" s="9"/>
      <c r="M37" s="9"/>
    </row>
    <row r="38" spans="2:13" ht="14.25" customHeight="1" x14ac:dyDescent="0.2">
      <c r="C38" s="22"/>
      <c r="D38" s="22"/>
      <c r="E38" s="22"/>
      <c r="F38" s="22"/>
      <c r="G38" s="22"/>
      <c r="H38" s="9"/>
      <c r="I38" s="9"/>
      <c r="J38" s="9"/>
      <c r="K38" s="9"/>
      <c r="L38" s="9"/>
      <c r="M38" s="9"/>
    </row>
    <row r="39" spans="2:13" ht="14.25" customHeight="1" x14ac:dyDescent="0.2">
      <c r="C39" s="22"/>
      <c r="D39" s="22"/>
      <c r="E39" s="22"/>
      <c r="F39" s="22"/>
      <c r="G39" s="22"/>
      <c r="H39" s="9"/>
      <c r="I39" s="9"/>
      <c r="J39" s="9"/>
      <c r="K39" s="9"/>
      <c r="L39" s="9"/>
      <c r="M39" s="9"/>
    </row>
    <row r="40" spans="2:13" ht="14.25" customHeight="1" x14ac:dyDescent="0.2">
      <c r="C40" s="22"/>
      <c r="D40" s="22"/>
      <c r="E40" s="22"/>
      <c r="F40" s="22"/>
      <c r="G40" s="22"/>
      <c r="H40" s="9"/>
      <c r="I40" s="9"/>
      <c r="J40" s="9"/>
      <c r="K40" s="9"/>
      <c r="L40" s="9"/>
      <c r="M40" s="9"/>
    </row>
    <row r="41" spans="2:13" ht="14.25" customHeight="1" x14ac:dyDescent="0.2">
      <c r="C41" s="22"/>
      <c r="D41" s="22"/>
      <c r="E41" s="22"/>
      <c r="F41" s="22"/>
      <c r="G41" s="22"/>
      <c r="H41" s="9"/>
      <c r="I41" s="9"/>
      <c r="J41" s="9"/>
      <c r="K41" s="9"/>
      <c r="L41" s="9"/>
      <c r="M41" s="9"/>
    </row>
    <row r="42" spans="2:13" ht="14.25" customHeight="1" x14ac:dyDescent="0.2">
      <c r="C42" s="22"/>
      <c r="D42" s="22"/>
      <c r="E42" s="22"/>
      <c r="F42" s="22"/>
      <c r="G42" s="22"/>
      <c r="H42" s="9"/>
      <c r="I42" s="9"/>
      <c r="J42" s="9"/>
      <c r="K42" s="9"/>
      <c r="L42" s="9"/>
      <c r="M42" s="9"/>
    </row>
    <row r="43" spans="2:13" ht="14.25" customHeight="1" x14ac:dyDescent="0.2">
      <c r="C43" s="22"/>
      <c r="D43" s="22"/>
      <c r="E43" s="22"/>
      <c r="F43" s="22"/>
      <c r="G43" s="22"/>
      <c r="H43" s="9"/>
      <c r="I43" s="9"/>
      <c r="J43" s="9"/>
      <c r="K43" s="9"/>
      <c r="L43" s="9"/>
      <c r="M43" s="9"/>
    </row>
    <row r="44" spans="2:13" ht="14.25" customHeight="1" x14ac:dyDescent="0.2">
      <c r="C44" s="22"/>
      <c r="D44" s="22"/>
      <c r="E44" s="22"/>
      <c r="F44" s="22"/>
      <c r="G44" s="22"/>
      <c r="H44" s="9"/>
      <c r="I44" s="9"/>
      <c r="J44" s="9"/>
      <c r="K44" s="9"/>
      <c r="L44" s="9"/>
      <c r="M44" s="9"/>
    </row>
    <row r="45" spans="2:13" ht="14.25" customHeight="1" x14ac:dyDescent="0.2">
      <c r="C45" s="22"/>
      <c r="D45" s="22"/>
      <c r="E45" s="22"/>
      <c r="F45" s="22"/>
      <c r="G45" s="22"/>
      <c r="H45" s="9"/>
      <c r="I45" s="9"/>
      <c r="J45" s="9"/>
      <c r="K45" s="9"/>
      <c r="L45" s="9"/>
      <c r="M45" s="9"/>
    </row>
    <row r="46" spans="2:13" ht="14.25" customHeight="1" x14ac:dyDescent="0.2">
      <c r="C46" s="22"/>
      <c r="D46" s="22"/>
      <c r="E46" s="22"/>
      <c r="F46" s="22"/>
      <c r="G46" s="22"/>
      <c r="H46" s="9"/>
      <c r="I46" s="9"/>
      <c r="J46" s="9"/>
      <c r="K46" s="9"/>
      <c r="L46" s="9"/>
      <c r="M46" s="9"/>
    </row>
    <row r="47" spans="2:13" ht="14.25" customHeight="1" x14ac:dyDescent="0.2">
      <c r="C47" s="22"/>
      <c r="D47" s="22"/>
      <c r="E47" s="22"/>
      <c r="F47" s="22"/>
      <c r="G47" s="22"/>
      <c r="H47" s="9"/>
      <c r="I47" s="9"/>
      <c r="J47" s="9"/>
      <c r="K47" s="9"/>
      <c r="L47" s="9"/>
      <c r="M47" s="9"/>
    </row>
    <row r="48" spans="2:13" ht="14.25" customHeight="1" x14ac:dyDescent="0.2">
      <c r="C48" s="22"/>
      <c r="D48" s="22"/>
      <c r="E48" s="22"/>
      <c r="F48" s="22"/>
      <c r="G48" s="22"/>
      <c r="H48" s="9"/>
      <c r="I48" s="9"/>
      <c r="J48" s="9"/>
      <c r="K48" s="9"/>
      <c r="L48" s="9"/>
      <c r="M48" s="9"/>
    </row>
    <row r="49" spans="3:13" ht="14.25" customHeight="1" x14ac:dyDescent="0.2">
      <c r="C49" s="22"/>
      <c r="D49" s="22"/>
      <c r="E49" s="22"/>
      <c r="F49" s="22"/>
      <c r="G49" s="22"/>
      <c r="H49" s="9"/>
      <c r="I49" s="9"/>
      <c r="J49" s="9"/>
      <c r="K49" s="9"/>
      <c r="L49" s="9"/>
      <c r="M49" s="9"/>
    </row>
    <row r="50" spans="3:13" ht="14.25" customHeight="1" x14ac:dyDescent="0.2">
      <c r="C50" s="22"/>
      <c r="D50" s="22"/>
      <c r="E50" s="22"/>
      <c r="F50" s="22"/>
      <c r="G50" s="22"/>
      <c r="H50" s="9"/>
      <c r="I50" s="9"/>
      <c r="J50" s="9"/>
      <c r="K50" s="9"/>
      <c r="L50" s="9"/>
      <c r="M50" s="9"/>
    </row>
    <row r="51" spans="3:13" ht="14.25" customHeight="1" x14ac:dyDescent="0.2">
      <c r="C51" s="22"/>
      <c r="D51" s="22"/>
      <c r="E51" s="22"/>
      <c r="F51" s="22"/>
      <c r="G51" s="22"/>
      <c r="H51" s="9"/>
      <c r="I51" s="9"/>
      <c r="J51" s="9"/>
      <c r="K51" s="9"/>
      <c r="L51" s="9"/>
      <c r="M51" s="9"/>
    </row>
    <row r="52" spans="3:13" ht="14.25" customHeight="1" x14ac:dyDescent="0.2">
      <c r="C52" s="22"/>
      <c r="D52" s="22"/>
      <c r="E52" s="22"/>
      <c r="F52" s="22"/>
      <c r="G52" s="22"/>
      <c r="H52" s="9"/>
      <c r="I52" s="9"/>
      <c r="J52" s="9"/>
      <c r="K52" s="9"/>
      <c r="L52" s="9"/>
      <c r="M52" s="9"/>
    </row>
    <row r="53" spans="3:13" ht="14.25" customHeight="1" x14ac:dyDescent="0.2">
      <c r="C53" s="22"/>
      <c r="D53" s="22"/>
      <c r="E53" s="22"/>
      <c r="F53" s="22"/>
      <c r="G53" s="22"/>
      <c r="H53" s="9"/>
      <c r="I53" s="9"/>
      <c r="J53" s="9"/>
      <c r="K53" s="9"/>
      <c r="L53" s="9"/>
      <c r="M53" s="9"/>
    </row>
    <row r="54" spans="3:13" ht="14.25" customHeight="1" x14ac:dyDescent="0.2">
      <c r="C54" s="22"/>
      <c r="D54" s="22"/>
      <c r="E54" s="22"/>
      <c r="F54" s="22"/>
      <c r="G54" s="22"/>
      <c r="H54" s="9"/>
      <c r="I54" s="9"/>
      <c r="J54" s="9"/>
      <c r="K54" s="9"/>
      <c r="L54" s="9"/>
      <c r="M54" s="9"/>
    </row>
    <row r="55" spans="3:13" ht="14.25" customHeight="1" x14ac:dyDescent="0.2">
      <c r="C55" s="22"/>
      <c r="D55" s="22"/>
      <c r="E55" s="22"/>
      <c r="F55" s="22"/>
      <c r="G55" s="22"/>
      <c r="H55" s="9"/>
      <c r="I55" s="9"/>
      <c r="J55" s="9"/>
      <c r="K55" s="9"/>
      <c r="L55" s="9"/>
      <c r="M55" s="9"/>
    </row>
    <row r="56" spans="3:13" ht="14.25" customHeight="1" x14ac:dyDescent="0.2">
      <c r="C56" s="22"/>
      <c r="D56" s="22"/>
      <c r="E56" s="22"/>
      <c r="F56" s="22"/>
      <c r="G56" s="22"/>
      <c r="H56" s="9"/>
      <c r="I56" s="9"/>
      <c r="J56" s="9"/>
      <c r="K56" s="9"/>
      <c r="L56" s="9"/>
      <c r="M56" s="9"/>
    </row>
    <row r="57" spans="3:13" ht="14.25" customHeight="1" x14ac:dyDescent="0.2">
      <c r="C57" s="22"/>
      <c r="D57" s="22"/>
      <c r="E57" s="22"/>
      <c r="F57" s="22"/>
      <c r="G57" s="22"/>
      <c r="H57" s="9"/>
      <c r="I57" s="9"/>
      <c r="J57" s="9"/>
      <c r="K57" s="9"/>
      <c r="L57" s="9"/>
      <c r="M57" s="9"/>
    </row>
    <row r="58" spans="3:13" ht="14.25" customHeight="1" x14ac:dyDescent="0.2">
      <c r="C58" s="22"/>
      <c r="D58" s="22"/>
      <c r="E58" s="22"/>
      <c r="F58" s="22"/>
      <c r="G58" s="22"/>
      <c r="H58" s="9"/>
      <c r="I58" s="9"/>
      <c r="J58" s="9"/>
      <c r="K58" s="9"/>
      <c r="L58" s="9"/>
      <c r="M58" s="9"/>
    </row>
    <row r="59" spans="3:13" ht="14.25" customHeight="1" x14ac:dyDescent="0.2">
      <c r="C59" s="22"/>
      <c r="D59" s="22"/>
      <c r="E59" s="22"/>
      <c r="F59" s="22"/>
      <c r="G59" s="22"/>
      <c r="H59" s="9"/>
      <c r="I59" s="9"/>
      <c r="J59" s="9"/>
      <c r="K59" s="9"/>
      <c r="L59" s="9"/>
      <c r="M59" s="9"/>
    </row>
    <row r="60" spans="3:13" ht="14.25" customHeight="1" x14ac:dyDescent="0.2">
      <c r="C60" s="22"/>
      <c r="D60" s="22"/>
      <c r="E60" s="22"/>
      <c r="F60" s="22"/>
      <c r="G60" s="22"/>
      <c r="H60" s="9"/>
      <c r="I60" s="9"/>
      <c r="J60" s="9"/>
      <c r="K60" s="9"/>
      <c r="L60" s="9"/>
      <c r="M60" s="9"/>
    </row>
    <row r="61" spans="3:13" ht="14.25" customHeight="1" x14ac:dyDescent="0.2">
      <c r="C61" s="22"/>
      <c r="D61" s="22"/>
      <c r="E61" s="22"/>
      <c r="F61" s="22"/>
      <c r="G61" s="22"/>
      <c r="H61" s="9"/>
      <c r="I61" s="9"/>
      <c r="J61" s="9"/>
      <c r="K61" s="9"/>
      <c r="L61" s="9"/>
      <c r="M61" s="9"/>
    </row>
    <row r="62" spans="3:13" ht="14.25" customHeight="1" x14ac:dyDescent="0.2">
      <c r="C62" s="22"/>
      <c r="D62" s="22"/>
      <c r="E62" s="22"/>
      <c r="F62" s="22"/>
      <c r="G62" s="22"/>
      <c r="H62" s="9"/>
      <c r="I62" s="9"/>
      <c r="J62" s="9"/>
      <c r="K62" s="9"/>
      <c r="L62" s="9"/>
      <c r="M62" s="9"/>
    </row>
    <row r="63" spans="3:13" ht="14.25" customHeight="1" x14ac:dyDescent="0.2">
      <c r="C63" s="22"/>
      <c r="D63" s="22"/>
      <c r="E63" s="22"/>
      <c r="F63" s="22"/>
      <c r="G63" s="22"/>
      <c r="H63" s="9"/>
      <c r="I63" s="9"/>
      <c r="J63" s="9"/>
      <c r="K63" s="9"/>
      <c r="L63" s="9"/>
      <c r="M63" s="9"/>
    </row>
    <row r="64" spans="3:13" ht="14.25" customHeight="1" x14ac:dyDescent="0.2">
      <c r="C64" s="22"/>
      <c r="D64" s="22"/>
      <c r="E64" s="22"/>
      <c r="F64" s="22"/>
      <c r="G64" s="22"/>
      <c r="H64" s="9"/>
      <c r="I64" s="9"/>
      <c r="J64" s="9"/>
      <c r="K64" s="9"/>
      <c r="L64" s="9"/>
      <c r="M64" s="9"/>
    </row>
    <row r="65" spans="3:13" ht="14.25" customHeight="1" x14ac:dyDescent="0.2">
      <c r="C65" s="22"/>
      <c r="D65" s="22"/>
      <c r="E65" s="22"/>
      <c r="F65" s="22"/>
      <c r="G65" s="22"/>
      <c r="H65" s="9"/>
      <c r="I65" s="9"/>
      <c r="J65" s="9"/>
      <c r="K65" s="9"/>
      <c r="L65" s="9"/>
      <c r="M65" s="9"/>
    </row>
    <row r="66" spans="3:13" ht="14.25" customHeight="1" x14ac:dyDescent="0.2">
      <c r="C66" s="22"/>
      <c r="D66" s="22"/>
      <c r="E66" s="22"/>
      <c r="F66" s="22"/>
      <c r="G66" s="22"/>
      <c r="H66" s="9"/>
      <c r="I66" s="9"/>
      <c r="J66" s="9"/>
      <c r="K66" s="9"/>
      <c r="L66" s="9"/>
      <c r="M66" s="9"/>
    </row>
    <row r="67" spans="3:13" ht="14.25" customHeight="1" x14ac:dyDescent="0.2">
      <c r="C67" s="22"/>
      <c r="D67" s="22"/>
      <c r="E67" s="22"/>
      <c r="F67" s="22"/>
      <c r="G67" s="22"/>
      <c r="H67" s="9"/>
      <c r="I67" s="9"/>
      <c r="J67" s="9"/>
      <c r="K67" s="9"/>
      <c r="L67" s="9"/>
      <c r="M67" s="9"/>
    </row>
    <row r="68" spans="3:13" ht="14.25" customHeight="1" x14ac:dyDescent="0.2">
      <c r="C68" s="22"/>
      <c r="D68" s="22"/>
      <c r="E68" s="22"/>
      <c r="F68" s="22"/>
      <c r="G68" s="22"/>
      <c r="H68" s="9"/>
      <c r="I68" s="9"/>
      <c r="J68" s="9"/>
      <c r="K68" s="9"/>
      <c r="L68" s="9"/>
      <c r="M68" s="9"/>
    </row>
    <row r="69" spans="3:13" ht="14.25" customHeight="1" x14ac:dyDescent="0.2">
      <c r="C69" s="22"/>
      <c r="D69" s="22"/>
      <c r="E69" s="22"/>
      <c r="F69" s="22"/>
      <c r="G69" s="22"/>
      <c r="H69" s="9"/>
      <c r="I69" s="9"/>
      <c r="J69" s="9"/>
      <c r="K69" s="9"/>
      <c r="L69" s="9"/>
      <c r="M69" s="9"/>
    </row>
    <row r="70" spans="3:13" ht="14.25" customHeight="1" x14ac:dyDescent="0.2">
      <c r="C70" s="22"/>
      <c r="D70" s="22"/>
      <c r="E70" s="22"/>
      <c r="F70" s="22"/>
      <c r="G70" s="22"/>
      <c r="H70" s="9"/>
      <c r="I70" s="9"/>
      <c r="J70" s="9"/>
      <c r="K70" s="9"/>
      <c r="L70" s="9"/>
      <c r="M70" s="9"/>
    </row>
    <row r="71" spans="3:13" ht="14.25" customHeight="1" x14ac:dyDescent="0.2">
      <c r="C71" s="22"/>
      <c r="D71" s="22"/>
      <c r="E71" s="22"/>
      <c r="F71" s="22"/>
      <c r="G71" s="22"/>
      <c r="H71" s="9"/>
      <c r="I71" s="9"/>
      <c r="J71" s="9"/>
      <c r="K71" s="9"/>
      <c r="L71" s="9"/>
      <c r="M71" s="9"/>
    </row>
    <row r="72" spans="3:13" ht="14.25" customHeight="1" x14ac:dyDescent="0.2">
      <c r="C72" s="22"/>
      <c r="D72" s="22"/>
      <c r="E72" s="22"/>
      <c r="F72" s="22"/>
      <c r="G72" s="22"/>
      <c r="H72" s="9"/>
      <c r="I72" s="9"/>
      <c r="J72" s="9"/>
      <c r="K72" s="9"/>
      <c r="L72" s="9"/>
      <c r="M72" s="9"/>
    </row>
    <row r="73" spans="3:13" ht="14.25" customHeight="1" x14ac:dyDescent="0.2">
      <c r="C73" s="22"/>
      <c r="D73" s="22"/>
      <c r="E73" s="22"/>
      <c r="F73" s="22"/>
      <c r="G73" s="22"/>
      <c r="H73" s="9"/>
      <c r="I73" s="9"/>
      <c r="J73" s="9"/>
      <c r="K73" s="9"/>
      <c r="L73" s="9"/>
      <c r="M73" s="9"/>
    </row>
    <row r="74" spans="3:13" ht="14.25" customHeight="1" x14ac:dyDescent="0.2">
      <c r="C74" s="22"/>
      <c r="D74" s="22"/>
      <c r="E74" s="22"/>
      <c r="F74" s="22"/>
      <c r="G74" s="22"/>
      <c r="H74" s="9"/>
      <c r="I74" s="9"/>
      <c r="J74" s="9"/>
      <c r="K74" s="9"/>
      <c r="L74" s="9"/>
      <c r="M74" s="9"/>
    </row>
    <row r="75" spans="3:13" ht="14.25" customHeight="1" x14ac:dyDescent="0.2">
      <c r="C75" s="22"/>
      <c r="D75" s="22"/>
      <c r="E75" s="22"/>
      <c r="F75" s="22"/>
      <c r="G75" s="22"/>
      <c r="H75" s="9"/>
      <c r="I75" s="9"/>
      <c r="J75" s="9"/>
      <c r="K75" s="9"/>
      <c r="L75" s="9"/>
      <c r="M75" s="9"/>
    </row>
    <row r="76" spans="3:13" ht="14.25" customHeight="1" x14ac:dyDescent="0.2">
      <c r="C76" s="22"/>
      <c r="D76" s="22"/>
      <c r="E76" s="22"/>
      <c r="F76" s="22"/>
      <c r="G76" s="22"/>
      <c r="H76" s="9"/>
      <c r="I76" s="9"/>
      <c r="J76" s="9"/>
      <c r="K76" s="9"/>
      <c r="L76" s="9"/>
      <c r="M76" s="9"/>
    </row>
    <row r="77" spans="3:13" ht="14.25" customHeight="1" x14ac:dyDescent="0.2">
      <c r="C77" s="22"/>
      <c r="D77" s="22"/>
      <c r="E77" s="22"/>
      <c r="F77" s="22"/>
      <c r="G77" s="22"/>
      <c r="H77" s="9"/>
      <c r="I77" s="9"/>
      <c r="J77" s="9"/>
      <c r="K77" s="9"/>
      <c r="L77" s="9"/>
      <c r="M77" s="9"/>
    </row>
    <row r="78" spans="3:13" ht="14.25" customHeight="1" x14ac:dyDescent="0.2">
      <c r="C78" s="22"/>
      <c r="D78" s="22"/>
      <c r="E78" s="22"/>
      <c r="F78" s="22"/>
      <c r="G78" s="22"/>
      <c r="H78" s="9"/>
      <c r="I78" s="9"/>
      <c r="J78" s="9"/>
      <c r="K78" s="9"/>
      <c r="L78" s="9"/>
      <c r="M78" s="9"/>
    </row>
    <row r="79" spans="3:13" ht="14.25" customHeight="1" x14ac:dyDescent="0.2">
      <c r="C79" s="22"/>
      <c r="D79" s="22"/>
      <c r="E79" s="22"/>
      <c r="F79" s="22"/>
      <c r="G79" s="22"/>
      <c r="H79" s="9"/>
      <c r="I79" s="9"/>
      <c r="J79" s="9"/>
      <c r="K79" s="9"/>
      <c r="L79" s="9"/>
      <c r="M79" s="9"/>
    </row>
    <row r="80" spans="3:13" ht="14.25" customHeight="1" x14ac:dyDescent="0.2">
      <c r="C80" s="22"/>
      <c r="D80" s="22"/>
      <c r="E80" s="22"/>
      <c r="F80" s="22"/>
      <c r="G80" s="22"/>
      <c r="H80" s="9"/>
      <c r="I80" s="9"/>
      <c r="J80" s="9"/>
      <c r="K80" s="9"/>
      <c r="L80" s="9"/>
      <c r="M80" s="9"/>
    </row>
    <row r="81" spans="3:13" ht="14.25" customHeight="1" x14ac:dyDescent="0.2">
      <c r="C81" s="22"/>
      <c r="D81" s="22"/>
      <c r="E81" s="22"/>
      <c r="F81" s="22"/>
      <c r="G81" s="22"/>
      <c r="H81" s="9"/>
      <c r="I81" s="9"/>
      <c r="J81" s="9"/>
      <c r="K81" s="9"/>
      <c r="L81" s="9"/>
      <c r="M81" s="9"/>
    </row>
    <row r="82" spans="3:13" ht="14.25" customHeight="1" x14ac:dyDescent="0.2">
      <c r="C82" s="22"/>
      <c r="D82" s="22"/>
      <c r="E82" s="22"/>
      <c r="F82" s="22"/>
      <c r="G82" s="22"/>
      <c r="H82" s="9"/>
      <c r="I82" s="9"/>
      <c r="J82" s="9"/>
      <c r="K82" s="9"/>
      <c r="L82" s="9"/>
      <c r="M82" s="9"/>
    </row>
    <row r="83" spans="3:13" ht="14.25" customHeight="1" x14ac:dyDescent="0.2">
      <c r="C83" s="22"/>
      <c r="D83" s="22"/>
      <c r="E83" s="22"/>
      <c r="F83" s="22"/>
      <c r="G83" s="22"/>
      <c r="H83" s="9"/>
      <c r="I83" s="9"/>
      <c r="J83" s="9"/>
      <c r="K83" s="9"/>
      <c r="L83" s="9"/>
      <c r="M83" s="9"/>
    </row>
    <row r="84" spans="3:13" ht="14.25" customHeight="1" x14ac:dyDescent="0.2">
      <c r="C84" s="22"/>
      <c r="D84" s="22"/>
      <c r="E84" s="22"/>
      <c r="F84" s="22"/>
      <c r="G84" s="22"/>
      <c r="H84" s="9"/>
      <c r="I84" s="9"/>
      <c r="J84" s="9"/>
      <c r="K84" s="9"/>
      <c r="L84" s="9"/>
      <c r="M84" s="9"/>
    </row>
    <row r="85" spans="3:13" ht="14.25" customHeight="1" x14ac:dyDescent="0.2">
      <c r="C85" s="22"/>
      <c r="D85" s="22"/>
      <c r="E85" s="22"/>
      <c r="F85" s="22"/>
      <c r="G85" s="22"/>
      <c r="H85" s="9"/>
      <c r="I85" s="9"/>
      <c r="J85" s="9"/>
      <c r="K85" s="9"/>
      <c r="L85" s="9"/>
      <c r="M85" s="9"/>
    </row>
    <row r="86" spans="3:13" ht="14.25" customHeight="1" x14ac:dyDescent="0.2">
      <c r="C86" s="22"/>
      <c r="D86" s="22"/>
      <c r="E86" s="22"/>
      <c r="F86" s="22"/>
      <c r="G86" s="22"/>
      <c r="H86" s="9"/>
      <c r="I86" s="9"/>
      <c r="J86" s="9"/>
      <c r="K86" s="9"/>
      <c r="L86" s="9"/>
      <c r="M86" s="9"/>
    </row>
    <row r="87" spans="3:13" ht="14.25" customHeight="1" x14ac:dyDescent="0.2">
      <c r="C87" s="22"/>
      <c r="D87" s="22"/>
      <c r="E87" s="22"/>
      <c r="F87" s="22"/>
      <c r="G87" s="22"/>
      <c r="H87" s="9"/>
      <c r="I87" s="9"/>
      <c r="J87" s="9"/>
      <c r="K87" s="9"/>
      <c r="L87" s="9"/>
      <c r="M87" s="9"/>
    </row>
    <row r="88" spans="3:13" ht="14.25" customHeight="1" x14ac:dyDescent="0.2">
      <c r="C88" s="22"/>
      <c r="D88" s="22"/>
      <c r="E88" s="22"/>
      <c r="F88" s="22"/>
      <c r="G88" s="22"/>
      <c r="H88" s="9"/>
      <c r="I88" s="9"/>
      <c r="J88" s="9"/>
      <c r="K88" s="9"/>
      <c r="L88" s="9"/>
      <c r="M88" s="9"/>
    </row>
    <row r="89" spans="3:13" ht="14.25" customHeight="1" x14ac:dyDescent="0.2">
      <c r="C89" s="22"/>
      <c r="D89" s="22"/>
      <c r="E89" s="22"/>
      <c r="F89" s="22"/>
      <c r="G89" s="22"/>
      <c r="H89" s="9"/>
      <c r="I89" s="9"/>
      <c r="J89" s="9"/>
      <c r="K89" s="9"/>
      <c r="L89" s="9"/>
      <c r="M89" s="9"/>
    </row>
    <row r="90" spans="3:13" ht="14.25" customHeight="1" x14ac:dyDescent="0.2">
      <c r="C90" s="22"/>
      <c r="D90" s="22"/>
      <c r="E90" s="22"/>
      <c r="F90" s="22"/>
      <c r="G90" s="22"/>
      <c r="H90" s="9"/>
      <c r="I90" s="9"/>
      <c r="J90" s="9"/>
      <c r="K90" s="9"/>
      <c r="L90" s="9"/>
      <c r="M90" s="9"/>
    </row>
    <row r="91" spans="3:13" ht="14.25" customHeight="1" x14ac:dyDescent="0.2">
      <c r="C91" s="22"/>
      <c r="D91" s="22"/>
      <c r="E91" s="22"/>
      <c r="F91" s="22"/>
      <c r="G91" s="22"/>
      <c r="H91" s="9"/>
      <c r="I91" s="9"/>
      <c r="J91" s="9"/>
      <c r="K91" s="9"/>
      <c r="L91" s="9"/>
      <c r="M91" s="9"/>
    </row>
    <row r="92" spans="3:13" ht="14.25" customHeight="1" x14ac:dyDescent="0.2">
      <c r="C92" s="22"/>
      <c r="D92" s="22"/>
      <c r="E92" s="22"/>
      <c r="F92" s="22"/>
      <c r="G92" s="22"/>
      <c r="H92" s="9"/>
      <c r="I92" s="9"/>
      <c r="J92" s="9"/>
      <c r="K92" s="9"/>
      <c r="L92" s="9"/>
      <c r="M92" s="9"/>
    </row>
    <row r="93" spans="3:13" ht="14.25" customHeight="1" x14ac:dyDescent="0.2">
      <c r="C93" s="22"/>
      <c r="D93" s="22"/>
      <c r="E93" s="22"/>
      <c r="F93" s="22"/>
      <c r="G93" s="22"/>
      <c r="H93" s="9"/>
      <c r="I93" s="9"/>
      <c r="J93" s="9"/>
      <c r="K93" s="9"/>
      <c r="L93" s="9"/>
      <c r="M93" s="9"/>
    </row>
    <row r="94" spans="3:13" ht="14.25" customHeight="1" x14ac:dyDescent="0.2">
      <c r="C94" s="22"/>
      <c r="D94" s="22"/>
      <c r="E94" s="22"/>
      <c r="F94" s="22"/>
      <c r="G94" s="22"/>
      <c r="H94" s="9"/>
      <c r="I94" s="9"/>
      <c r="J94" s="9"/>
      <c r="K94" s="9"/>
      <c r="L94" s="9"/>
      <c r="M94" s="9"/>
    </row>
    <row r="95" spans="3:13" ht="14.25" customHeight="1" x14ac:dyDescent="0.2">
      <c r="C95" s="22"/>
      <c r="D95" s="22"/>
      <c r="E95" s="22"/>
      <c r="F95" s="22"/>
      <c r="G95" s="22"/>
      <c r="H95" s="9"/>
      <c r="I95" s="9"/>
      <c r="J95" s="9"/>
      <c r="K95" s="9"/>
      <c r="L95" s="9"/>
      <c r="M95" s="9"/>
    </row>
    <row r="96" spans="3:13" ht="14.25" customHeight="1" x14ac:dyDescent="0.2">
      <c r="C96" s="22"/>
      <c r="D96" s="22"/>
      <c r="E96" s="22"/>
      <c r="F96" s="22"/>
      <c r="G96" s="22"/>
      <c r="H96" s="9"/>
      <c r="I96" s="9"/>
      <c r="J96" s="9"/>
      <c r="K96" s="9"/>
      <c r="L96" s="9"/>
      <c r="M96" s="9"/>
    </row>
    <row r="97" spans="3:13" ht="14.25" customHeight="1" x14ac:dyDescent="0.2">
      <c r="C97" s="22"/>
      <c r="D97" s="22"/>
      <c r="E97" s="22"/>
      <c r="F97" s="22"/>
      <c r="G97" s="22"/>
      <c r="H97" s="9"/>
      <c r="I97" s="9"/>
      <c r="J97" s="9"/>
      <c r="K97" s="9"/>
      <c r="L97" s="9"/>
      <c r="M97" s="9"/>
    </row>
    <row r="98" spans="3:13" ht="14.25" customHeight="1" x14ac:dyDescent="0.2">
      <c r="C98" s="22"/>
      <c r="D98" s="22"/>
      <c r="E98" s="22"/>
      <c r="F98" s="22"/>
      <c r="G98" s="22"/>
      <c r="H98" s="9"/>
      <c r="I98" s="9"/>
      <c r="J98" s="9"/>
      <c r="K98" s="9"/>
      <c r="L98" s="9"/>
      <c r="M98" s="9"/>
    </row>
    <row r="99" spans="3:13" ht="14.25" customHeight="1" x14ac:dyDescent="0.2">
      <c r="C99" s="22"/>
      <c r="D99" s="22"/>
      <c r="E99" s="22"/>
      <c r="F99" s="22"/>
      <c r="G99" s="22"/>
      <c r="H99" s="9"/>
      <c r="I99" s="9"/>
      <c r="J99" s="9"/>
      <c r="K99" s="9"/>
      <c r="L99" s="9"/>
      <c r="M99" s="9"/>
    </row>
    <row r="100" spans="3:13" ht="14.25" customHeight="1" x14ac:dyDescent="0.2">
      <c r="C100" s="22"/>
      <c r="D100" s="22"/>
      <c r="E100" s="22"/>
      <c r="F100" s="22"/>
      <c r="G100" s="22"/>
      <c r="H100" s="9"/>
      <c r="I100" s="9"/>
      <c r="J100" s="9"/>
      <c r="K100" s="9"/>
      <c r="L100" s="9"/>
      <c r="M100" s="9"/>
    </row>
    <row r="101" spans="3:13" ht="14.25" customHeight="1" x14ac:dyDescent="0.2">
      <c r="C101" s="22"/>
      <c r="D101" s="22"/>
      <c r="E101" s="22"/>
      <c r="F101" s="22"/>
      <c r="G101" s="22"/>
      <c r="H101" s="9"/>
      <c r="I101" s="9"/>
      <c r="J101" s="9"/>
      <c r="K101" s="9"/>
      <c r="L101" s="9"/>
      <c r="M101" s="9"/>
    </row>
    <row r="102" spans="3:13" ht="14.25" customHeight="1" x14ac:dyDescent="0.2">
      <c r="C102" s="22"/>
      <c r="D102" s="22"/>
      <c r="E102" s="22"/>
      <c r="F102" s="22"/>
      <c r="G102" s="22"/>
      <c r="H102" s="9"/>
      <c r="I102" s="9"/>
      <c r="J102" s="9"/>
      <c r="K102" s="9"/>
      <c r="L102" s="9"/>
      <c r="M102" s="9"/>
    </row>
    <row r="103" spans="3:13" ht="14.25" customHeight="1" x14ac:dyDescent="0.2">
      <c r="C103" s="22"/>
      <c r="D103" s="22"/>
      <c r="E103" s="22"/>
      <c r="F103" s="22"/>
      <c r="G103" s="22"/>
      <c r="H103" s="9"/>
      <c r="I103" s="9"/>
      <c r="J103" s="9"/>
      <c r="K103" s="9"/>
      <c r="L103" s="9"/>
      <c r="M103" s="9"/>
    </row>
    <row r="104" spans="3:13" ht="14.25" customHeight="1" x14ac:dyDescent="0.2">
      <c r="C104" s="22"/>
      <c r="D104" s="22"/>
      <c r="E104" s="22"/>
      <c r="F104" s="22"/>
      <c r="G104" s="22"/>
      <c r="H104" s="9"/>
      <c r="I104" s="9"/>
      <c r="J104" s="9"/>
      <c r="K104" s="9"/>
      <c r="L104" s="9"/>
      <c r="M104" s="9"/>
    </row>
    <row r="105" spans="3:13" ht="14.25" customHeight="1" x14ac:dyDescent="0.2">
      <c r="C105" s="22"/>
      <c r="D105" s="22"/>
      <c r="E105" s="22"/>
      <c r="F105" s="22"/>
      <c r="G105" s="22"/>
      <c r="H105" s="9"/>
      <c r="I105" s="9"/>
      <c r="J105" s="9"/>
      <c r="K105" s="9"/>
      <c r="L105" s="9"/>
      <c r="M105" s="9"/>
    </row>
    <row r="106" spans="3:13" ht="14.25" customHeight="1" x14ac:dyDescent="0.2">
      <c r="C106" s="22"/>
      <c r="D106" s="22"/>
      <c r="E106" s="22"/>
      <c r="F106" s="22"/>
      <c r="G106" s="22"/>
      <c r="H106" s="9"/>
      <c r="I106" s="9"/>
      <c r="J106" s="9"/>
      <c r="K106" s="9"/>
      <c r="L106" s="9"/>
      <c r="M106" s="9"/>
    </row>
    <row r="107" spans="3:13" ht="14.25" customHeight="1" x14ac:dyDescent="0.2">
      <c r="C107" s="22"/>
      <c r="D107" s="22"/>
      <c r="E107" s="22"/>
      <c r="F107" s="22"/>
      <c r="G107" s="22"/>
      <c r="H107" s="9"/>
      <c r="I107" s="9"/>
      <c r="J107" s="9"/>
      <c r="K107" s="9"/>
      <c r="L107" s="9"/>
      <c r="M107" s="9"/>
    </row>
    <row r="108" spans="3:13" ht="14.25" customHeight="1" x14ac:dyDescent="0.2">
      <c r="C108" s="22"/>
      <c r="D108" s="22"/>
      <c r="E108" s="22"/>
      <c r="F108" s="22"/>
      <c r="G108" s="22"/>
      <c r="H108" s="9"/>
      <c r="I108" s="9"/>
      <c r="J108" s="9"/>
      <c r="K108" s="9"/>
      <c r="L108" s="9"/>
      <c r="M108" s="9"/>
    </row>
    <row r="109" spans="3:13" ht="14.25" customHeight="1" x14ac:dyDescent="0.2">
      <c r="C109" s="22"/>
      <c r="D109" s="22"/>
      <c r="E109" s="22"/>
      <c r="F109" s="22"/>
      <c r="G109" s="22"/>
      <c r="H109" s="9"/>
      <c r="I109" s="9"/>
      <c r="J109" s="9"/>
      <c r="K109" s="9"/>
      <c r="L109" s="9"/>
      <c r="M109" s="9"/>
    </row>
    <row r="110" spans="3:13" ht="14.25" customHeight="1" x14ac:dyDescent="0.2">
      <c r="C110" s="22"/>
      <c r="D110" s="22"/>
      <c r="E110" s="22"/>
      <c r="F110" s="22"/>
      <c r="G110" s="22"/>
      <c r="H110" s="9"/>
      <c r="I110" s="9"/>
      <c r="J110" s="9"/>
      <c r="K110" s="9"/>
      <c r="L110" s="9"/>
      <c r="M110" s="9"/>
    </row>
    <row r="111" spans="3:13" ht="14.25" customHeight="1" x14ac:dyDescent="0.2">
      <c r="C111" s="22"/>
      <c r="D111" s="22"/>
      <c r="E111" s="22"/>
      <c r="F111" s="22"/>
      <c r="G111" s="22"/>
      <c r="H111" s="9"/>
      <c r="I111" s="9"/>
      <c r="J111" s="9"/>
      <c r="K111" s="9"/>
      <c r="L111" s="9"/>
      <c r="M111" s="9"/>
    </row>
    <row r="112" spans="3:13" ht="14.25" customHeight="1" x14ac:dyDescent="0.2">
      <c r="C112" s="22"/>
      <c r="D112" s="22"/>
      <c r="E112" s="22"/>
      <c r="F112" s="22"/>
      <c r="G112" s="22"/>
      <c r="H112" s="9"/>
      <c r="I112" s="9"/>
      <c r="J112" s="9"/>
      <c r="K112" s="9"/>
      <c r="L112" s="9"/>
      <c r="M112" s="9"/>
    </row>
    <row r="113" spans="3:13" ht="14.25" customHeight="1" x14ac:dyDescent="0.2">
      <c r="C113" s="22"/>
      <c r="D113" s="22"/>
      <c r="E113" s="22"/>
      <c r="F113" s="22"/>
      <c r="G113" s="22"/>
      <c r="H113" s="9"/>
      <c r="I113" s="9"/>
      <c r="J113" s="9"/>
      <c r="K113" s="9"/>
      <c r="L113" s="9"/>
      <c r="M113" s="9"/>
    </row>
    <row r="114" spans="3:13" ht="14.25" customHeight="1" x14ac:dyDescent="0.2">
      <c r="C114" s="22"/>
      <c r="D114" s="22"/>
      <c r="E114" s="22"/>
      <c r="F114" s="22"/>
      <c r="G114" s="22"/>
      <c r="H114" s="9"/>
      <c r="I114" s="9"/>
      <c r="J114" s="9"/>
      <c r="K114" s="9"/>
      <c r="L114" s="9"/>
      <c r="M114" s="9"/>
    </row>
    <row r="115" spans="3:13" ht="14.25" customHeight="1" x14ac:dyDescent="0.2">
      <c r="C115" s="22"/>
      <c r="D115" s="22"/>
      <c r="E115" s="22"/>
      <c r="F115" s="22"/>
      <c r="G115" s="22"/>
      <c r="H115" s="9"/>
      <c r="I115" s="9"/>
      <c r="J115" s="9"/>
      <c r="K115" s="9"/>
      <c r="L115" s="9"/>
      <c r="M115" s="9"/>
    </row>
    <row r="116" spans="3:13" ht="14.25" customHeight="1" x14ac:dyDescent="0.2">
      <c r="C116" s="22"/>
      <c r="D116" s="22"/>
      <c r="E116" s="22"/>
      <c r="F116" s="22"/>
      <c r="G116" s="22"/>
      <c r="H116" s="9"/>
      <c r="I116" s="9"/>
      <c r="J116" s="9"/>
      <c r="K116" s="9"/>
      <c r="L116" s="9"/>
      <c r="M116" s="9"/>
    </row>
    <row r="117" spans="3:13" ht="14.25" customHeight="1" x14ac:dyDescent="0.2">
      <c r="C117" s="22"/>
      <c r="D117" s="22"/>
      <c r="E117" s="22"/>
      <c r="F117" s="22"/>
      <c r="G117" s="22"/>
      <c r="H117" s="9"/>
      <c r="I117" s="9"/>
      <c r="J117" s="9"/>
      <c r="K117" s="9"/>
      <c r="L117" s="9"/>
      <c r="M117" s="9"/>
    </row>
    <row r="118" spans="3:13" ht="14.25" customHeight="1" x14ac:dyDescent="0.2">
      <c r="C118" s="22"/>
      <c r="D118" s="22"/>
      <c r="E118" s="22"/>
      <c r="F118" s="22"/>
      <c r="G118" s="22"/>
      <c r="H118" s="9"/>
      <c r="I118" s="9"/>
      <c r="J118" s="9"/>
      <c r="K118" s="9"/>
      <c r="L118" s="9"/>
      <c r="M118" s="9"/>
    </row>
    <row r="119" spans="3:13" ht="14.25" customHeight="1" x14ac:dyDescent="0.2">
      <c r="K119" s="9"/>
      <c r="L119" s="9"/>
      <c r="M119" s="9"/>
    </row>
    <row r="120" spans="3:13" ht="14.25" customHeight="1" x14ac:dyDescent="0.2"/>
    <row r="122" spans="3:13" ht="14.25" customHeight="1" x14ac:dyDescent="0.2"/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6D159-FCFB-42E2-80C6-1CEC5D807849}">
  <sheetPr codeName="Sheet9"/>
  <dimension ref="A1:N16"/>
  <sheetViews>
    <sheetView workbookViewId="0">
      <selection activeCell="L16" sqref="L16"/>
    </sheetView>
  </sheetViews>
  <sheetFormatPr defaultRowHeight="14.25" customHeight="1" x14ac:dyDescent="0.2"/>
  <cols>
    <col min="1" max="16384" width="9" style="1"/>
  </cols>
  <sheetData>
    <row r="1" spans="1:14" ht="14.25" customHeight="1" x14ac:dyDescent="0.2">
      <c r="A1" s="81" t="s">
        <v>219</v>
      </c>
      <c r="B1" s="82"/>
    </row>
    <row r="2" spans="1:14" ht="14.25" customHeight="1" x14ac:dyDescent="0.2">
      <c r="A2" s="83"/>
      <c r="B2" s="84"/>
    </row>
    <row r="4" spans="1:14" ht="14.25" customHeight="1" x14ac:dyDescent="0.2">
      <c r="D4" s="3" t="s">
        <v>157</v>
      </c>
      <c r="E4" s="3" t="s">
        <v>92</v>
      </c>
      <c r="F4" s="3" t="s">
        <v>93</v>
      </c>
      <c r="G4" s="1" t="s">
        <v>206</v>
      </c>
      <c r="H4" s="1" t="s">
        <v>274</v>
      </c>
      <c r="I4" s="1" t="s">
        <v>207</v>
      </c>
      <c r="J4" s="1" t="s">
        <v>209</v>
      </c>
      <c r="K4" s="1" t="s">
        <v>211</v>
      </c>
      <c r="L4" s="1" t="s">
        <v>218</v>
      </c>
      <c r="N4" s="3" t="s">
        <v>237</v>
      </c>
    </row>
    <row r="5" spans="1:14" ht="14.25" customHeight="1" x14ac:dyDescent="0.2">
      <c r="D5" s="1" t="s">
        <v>258</v>
      </c>
      <c r="E5" s="1" t="str">
        <f>VLOOKUP(D5,角色设定!$R:$S,2,0)</f>
        <v>防御</v>
      </c>
      <c r="F5" s="1" t="str">
        <f>VLOOKUP(E5,角色设定!$D$9:$E$15,2,0)</f>
        <v>坦克</v>
      </c>
      <c r="G5" s="1">
        <v>10</v>
      </c>
      <c r="H5" s="1">
        <f>G5*0.5</f>
        <v>5</v>
      </c>
      <c r="I5" s="5">
        <f>VLOOKUP($E5,技能模板!$D$13:$U$19,MATCH(I$4,技能模板!$D$13:$U$13,0),0)/VLOOKUP($E5,技能模板!$D$13:$U$19,MATCH($G$4,技能模板!$D$13:$U$13,0),0)*$G5</f>
        <v>3</v>
      </c>
      <c r="J5" s="5"/>
      <c r="K5" s="5">
        <f>VLOOKUP($E5,技能模板!$D$13:$U$19,MATCH(K$4,技能模板!$D$13:$U$13,0),0)/VLOOKUP($E5,技能模板!$D$13:$U$19,MATCH($G$4,技能模板!$D$13:$U$13,0),0)*$G5</f>
        <v>0.89999999999999991</v>
      </c>
      <c r="L5" s="5"/>
      <c r="N5" s="45" t="s">
        <v>243</v>
      </c>
    </row>
    <row r="6" spans="1:14" ht="14.25" customHeight="1" x14ac:dyDescent="0.2">
      <c r="D6" s="1" t="s">
        <v>259</v>
      </c>
      <c r="E6" s="1" t="str">
        <f>VLOOKUP(D6,角色设定!$R:$S,2,0)</f>
        <v>防御</v>
      </c>
      <c r="F6" s="1" t="str">
        <f>VLOOKUP(E6,角色设定!$D$9:$E$15,2,0)</f>
        <v>坦克</v>
      </c>
      <c r="G6" s="1">
        <v>10</v>
      </c>
      <c r="H6" s="1">
        <f t="shared" ref="H6:H16" si="0">G6*0.5</f>
        <v>5</v>
      </c>
      <c r="I6" s="5">
        <f>VLOOKUP($E6,技能模板!$D$13:$U$19,MATCH(I$4,技能模板!$D$13:$U$13,0),0)/VLOOKUP($E6,技能模板!$D$13:$U$19,MATCH($G$4,技能模板!$D$13:$U$13,0),0)*$G6</f>
        <v>3</v>
      </c>
      <c r="J6" s="5"/>
      <c r="K6" s="5">
        <f>VLOOKUP($E6,技能模板!$D$13:$U$19,MATCH(K$4,技能模板!$D$13:$U$13,0),0)/VLOOKUP($E6,技能模板!$D$13:$U$19,MATCH($G$4,技能模板!$D$13:$U$13,0),0)*$G6</f>
        <v>0.89999999999999991</v>
      </c>
      <c r="L6" s="5"/>
    </row>
    <row r="7" spans="1:14" ht="14.25" customHeight="1" x14ac:dyDescent="0.2">
      <c r="D7" s="1" t="s">
        <v>260</v>
      </c>
      <c r="E7" s="1" t="str">
        <f>VLOOKUP(D7,角色设定!$R:$S,2,0)</f>
        <v>突击</v>
      </c>
      <c r="F7" s="1" t="str">
        <f>VLOOKUP(E7,角色设定!$D$9:$E$15,2,0)</f>
        <v>坦克</v>
      </c>
      <c r="G7" s="1">
        <v>8</v>
      </c>
      <c r="H7" s="1">
        <f t="shared" si="0"/>
        <v>4</v>
      </c>
      <c r="I7" s="5">
        <f>VLOOKUP($E7,技能模板!$D$13:$U$19,MATCH(I$4,技能模板!$D$13:$U$13,0),0)/VLOOKUP($E7,技能模板!$D$13:$U$19,MATCH($G$4,技能模板!$D$13:$U$13,0),0)*$G7</f>
        <v>2.5198402130492674</v>
      </c>
      <c r="J7" s="5"/>
      <c r="K7" s="5">
        <f>VLOOKUP($E7,技能模板!$D$13:$U$19,MATCH(K$4,技能模板!$D$13:$U$13,0),0)/VLOOKUP($E7,技能模板!$D$13:$U$19,MATCH($G$4,技能模板!$D$13:$U$13,0),0)*$G7</f>
        <v>0.96000000000000008</v>
      </c>
      <c r="L7" s="5"/>
    </row>
    <row r="8" spans="1:14" ht="14.25" customHeight="1" x14ac:dyDescent="0.2">
      <c r="D8" s="1" t="s">
        <v>261</v>
      </c>
      <c r="E8" s="1" t="str">
        <f>VLOOKUP(D8,角色设定!$R:$S,2,0)</f>
        <v>突击</v>
      </c>
      <c r="F8" s="1" t="str">
        <f>VLOOKUP(E8,角色设定!$D$9:$E$15,2,0)</f>
        <v>坦克</v>
      </c>
      <c r="G8" s="1">
        <v>8</v>
      </c>
      <c r="H8" s="1">
        <f t="shared" si="0"/>
        <v>4</v>
      </c>
      <c r="I8" s="5">
        <f>VLOOKUP($E8,技能模板!$D$13:$U$19,MATCH(I$4,技能模板!$D$13:$U$13,0),0)/VLOOKUP($E8,技能模板!$D$13:$U$19,MATCH($G$4,技能模板!$D$13:$U$13,0),0)*$G8</f>
        <v>2.5198402130492674</v>
      </c>
      <c r="J8" s="5"/>
      <c r="K8" s="5">
        <f>VLOOKUP($E8,技能模板!$D$13:$U$19,MATCH(K$4,技能模板!$D$13:$U$13,0),0)/VLOOKUP($E8,技能模板!$D$13:$U$19,MATCH($G$4,技能模板!$D$13:$U$13,0),0)*$G8</f>
        <v>0.96000000000000008</v>
      </c>
      <c r="L8" s="5"/>
    </row>
    <row r="9" spans="1:14" ht="14.25" customHeight="1" x14ac:dyDescent="0.2">
      <c r="D9" s="1" t="s">
        <v>262</v>
      </c>
      <c r="E9" s="1" t="str">
        <f>VLOOKUP(D9,角色设定!$R:$S,2,0)</f>
        <v>魔法</v>
      </c>
      <c r="F9" s="1" t="str">
        <f>VLOOKUP(E9,角色设定!$D$9:$E$15,2,0)</f>
        <v>输出</v>
      </c>
      <c r="G9" s="1">
        <v>20</v>
      </c>
      <c r="H9" s="1">
        <f t="shared" si="0"/>
        <v>10</v>
      </c>
      <c r="I9" s="5">
        <f>VLOOKUP($E9,技能模板!$D$13:$U$19,MATCH(I$4,技能模板!$D$13:$U$13,0),0)/VLOOKUP($E9,技能模板!$D$13:$U$19,MATCH($G$4,技能模板!$D$13:$U$13,0),0)*$G9</f>
        <v>4.9999999999999982</v>
      </c>
      <c r="J9" s="5"/>
      <c r="K9" s="5"/>
      <c r="L9" s="5"/>
    </row>
    <row r="10" spans="1:14" ht="14.25" customHeight="1" x14ac:dyDescent="0.2">
      <c r="D10" s="1" t="s">
        <v>263</v>
      </c>
      <c r="E10" s="1" t="str">
        <f>VLOOKUP(D10,角色设定!$R:$S,2,0)</f>
        <v>魔法</v>
      </c>
      <c r="F10" s="1" t="str">
        <f>VLOOKUP(E10,角色设定!$D$9:$E$15,2,0)</f>
        <v>输出</v>
      </c>
      <c r="G10" s="1">
        <v>20</v>
      </c>
      <c r="H10" s="1">
        <f t="shared" si="0"/>
        <v>10</v>
      </c>
      <c r="I10" s="5">
        <f>VLOOKUP($E10,技能模板!$D$13:$U$19,MATCH(I$4,技能模板!$D$13:$U$13,0),0)/VLOOKUP($E10,技能模板!$D$13:$U$19,MATCH($G$4,技能模板!$D$13:$U$13,0),0)*$G10</f>
        <v>4.9999999999999982</v>
      </c>
      <c r="J10" s="5"/>
      <c r="K10" s="5"/>
      <c r="L10" s="5"/>
    </row>
    <row r="11" spans="1:14" ht="14.25" customHeight="1" x14ac:dyDescent="0.2">
      <c r="D11" s="1" t="s">
        <v>264</v>
      </c>
      <c r="E11" s="1" t="str">
        <f>VLOOKUP(D11,角色设定!$R:$S,2,0)</f>
        <v>射击</v>
      </c>
      <c r="F11" s="1" t="str">
        <f>VLOOKUP(E11,角色设定!$D$9:$E$15,2,0)</f>
        <v>输出</v>
      </c>
      <c r="G11" s="1">
        <v>20</v>
      </c>
      <c r="H11" s="1">
        <f t="shared" si="0"/>
        <v>10</v>
      </c>
      <c r="I11" s="5">
        <f>VLOOKUP($E11,技能模板!$D$13:$U$19,MATCH(I$4,技能模板!$D$13:$U$13,0),0)/VLOOKUP($E11,技能模板!$D$13:$U$19,MATCH($G$4,技能模板!$D$13:$U$13,0),0)*$G11</f>
        <v>5.3291925465838492</v>
      </c>
      <c r="J11" s="5"/>
      <c r="K11" s="5"/>
      <c r="L11" s="5"/>
    </row>
    <row r="12" spans="1:14" ht="14.25" customHeight="1" x14ac:dyDescent="0.2">
      <c r="D12" s="1" t="s">
        <v>265</v>
      </c>
      <c r="E12" s="1" t="str">
        <f>VLOOKUP(D12,角色设定!$R:$S,2,0)</f>
        <v>射击</v>
      </c>
      <c r="F12" s="1" t="str">
        <f>VLOOKUP(E12,角色设定!$D$9:$E$15,2,0)</f>
        <v>输出</v>
      </c>
      <c r="G12" s="1">
        <v>20</v>
      </c>
      <c r="H12" s="1">
        <f t="shared" si="0"/>
        <v>10</v>
      </c>
      <c r="I12" s="5">
        <f>VLOOKUP($E12,技能模板!$D$13:$U$19,MATCH(I$4,技能模板!$D$13:$U$13,0),0)/VLOOKUP($E12,技能模板!$D$13:$U$19,MATCH($G$4,技能模板!$D$13:$U$13,0),0)*$G12</f>
        <v>5.3291925465838492</v>
      </c>
      <c r="J12" s="5"/>
      <c r="K12" s="5"/>
      <c r="L12" s="5"/>
    </row>
    <row r="13" spans="1:14" ht="14.25" customHeight="1" x14ac:dyDescent="0.2">
      <c r="D13" s="1" t="s">
        <v>266</v>
      </c>
      <c r="E13" s="1" t="str">
        <f>VLOOKUP(D13,角色设定!$R:$S,2,0)</f>
        <v>刺杀</v>
      </c>
      <c r="F13" s="1" t="str">
        <f>VLOOKUP(E13,角色设定!$D$9:$E$15,2,0)</f>
        <v>输出</v>
      </c>
      <c r="G13" s="1">
        <v>20</v>
      </c>
      <c r="H13" s="1">
        <f t="shared" si="0"/>
        <v>10</v>
      </c>
      <c r="I13" s="5">
        <f>VLOOKUP($E13,技能模板!$D$13:$U$19,MATCH(I$4,技能模板!$D$13:$U$13,0),0)/VLOOKUP($E13,技能模板!$D$13:$U$19,MATCH($G$4,技能模板!$D$13:$U$13,0),0)*$G13</f>
        <v>7.0077519379844944</v>
      </c>
      <c r="J13" s="5"/>
      <c r="K13" s="5"/>
      <c r="L13" s="5"/>
    </row>
    <row r="14" spans="1:14" ht="14.25" customHeight="1" x14ac:dyDescent="0.2">
      <c r="D14" s="1" t="s">
        <v>267</v>
      </c>
      <c r="E14" s="1" t="str">
        <f>VLOOKUP(D14,角色设定!$R:$S,2,0)</f>
        <v>刺杀</v>
      </c>
      <c r="F14" s="1" t="str">
        <f>VLOOKUP(E14,角色设定!$D$9:$E$15,2,0)</f>
        <v>输出</v>
      </c>
      <c r="G14" s="1">
        <v>20</v>
      </c>
      <c r="H14" s="1">
        <f t="shared" si="0"/>
        <v>10</v>
      </c>
      <c r="I14" s="5">
        <f>VLOOKUP($E14,技能模板!$D$13:$U$19,MATCH(I$4,技能模板!$D$13:$U$13,0),0)/VLOOKUP($E14,技能模板!$D$13:$U$19,MATCH($G$4,技能模板!$D$13:$U$13,0),0)*$G14</f>
        <v>7.0077519379844944</v>
      </c>
      <c r="J14" s="5"/>
      <c r="K14" s="5"/>
      <c r="L14" s="5"/>
    </row>
    <row r="15" spans="1:14" ht="14.25" customHeight="1" x14ac:dyDescent="0.2">
      <c r="D15" s="1" t="s">
        <v>268</v>
      </c>
      <c r="E15" s="1" t="str">
        <f>VLOOKUP(D15,角色设定!$R:$S,2,0)</f>
        <v>恢复</v>
      </c>
      <c r="F15" s="1" t="str">
        <f>VLOOKUP(E15,角色设定!$D$9:$E$15,2,0)</f>
        <v>治疗</v>
      </c>
      <c r="G15" s="1">
        <v>10</v>
      </c>
      <c r="H15" s="1">
        <f t="shared" si="0"/>
        <v>5</v>
      </c>
      <c r="I15" s="5">
        <f>VLOOKUP($E15,技能模板!$D$13:$U$19,MATCH(I$4,技能模板!$D$13:$U$13,0),0)/VLOOKUP($E15,技能模板!$D$13:$U$19,MATCH($G$4,技能模板!$D$13:$U$13,0),0)*$G15</f>
        <v>2.2781954887218041</v>
      </c>
      <c r="J15" s="5"/>
      <c r="K15" s="5"/>
      <c r="L15" s="5">
        <f>VLOOKUP($E15,技能模板!$D$13:$U$19,MATCH(L$4,技能模板!$D$13:$U$13,0),0)/VLOOKUP($E15,技能模板!$D$13:$U$19,MATCH($G$4,技能模板!$D$13:$U$13,0),0)*$G15</f>
        <v>0.86911536471805484</v>
      </c>
    </row>
    <row r="16" spans="1:14" ht="14.25" customHeight="1" x14ac:dyDescent="0.2">
      <c r="D16" s="1" t="s">
        <v>269</v>
      </c>
      <c r="E16" s="1" t="str">
        <f>VLOOKUP(D16,角色设定!$R:$S,2,0)</f>
        <v>恢复</v>
      </c>
      <c r="F16" s="1" t="str">
        <f>VLOOKUP(E16,角色设定!$D$9:$E$15,2,0)</f>
        <v>治疗</v>
      </c>
      <c r="G16" s="1">
        <v>10</v>
      </c>
      <c r="H16" s="1">
        <f t="shared" si="0"/>
        <v>5</v>
      </c>
      <c r="I16" s="5">
        <f>VLOOKUP($E16,技能模板!$D$13:$U$19,MATCH(I$4,技能模板!$D$13:$U$13,0),0)/VLOOKUP($E16,技能模板!$D$13:$U$19,MATCH($G$4,技能模板!$D$13:$U$13,0),0)*$G16</f>
        <v>2.2781954887218041</v>
      </c>
      <c r="J16" s="5"/>
      <c r="K16" s="5"/>
      <c r="L16" s="5">
        <f>VLOOKUP($E16,技能模板!$D$13:$U$19,MATCH(L$4,技能模板!$D$13:$U$13,0),0)/VLOOKUP($E16,技能模板!$D$13:$U$19,MATCH($G$4,技能模板!$D$13:$U$13,0),0)*$G16</f>
        <v>0.86911536471805484</v>
      </c>
    </row>
  </sheetData>
  <mergeCells count="1">
    <mergeCell ref="A1:B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A3941-7F4C-4EB8-AC20-691350AAAF29}">
  <sheetPr>
    <outlinePr summaryBelow="0"/>
  </sheetPr>
  <dimension ref="A1:AF462"/>
  <sheetViews>
    <sheetView tabSelected="1" zoomScaleNormal="100" workbookViewId="0">
      <selection activeCell="N10" sqref="N10"/>
    </sheetView>
  </sheetViews>
  <sheetFormatPr defaultRowHeight="14.25" customHeight="1" outlineLevelRow="1" x14ac:dyDescent="0.2"/>
  <cols>
    <col min="1" max="16384" width="9" style="1"/>
  </cols>
  <sheetData>
    <row r="1" spans="1:17" ht="14.25" customHeight="1" x14ac:dyDescent="0.2">
      <c r="A1" s="81" t="s">
        <v>305</v>
      </c>
      <c r="B1" s="82"/>
    </row>
    <row r="2" spans="1:17" ht="14.25" customHeight="1" x14ac:dyDescent="0.2">
      <c r="A2" s="83"/>
      <c r="B2" s="84"/>
      <c r="D2" s="2" t="s">
        <v>306</v>
      </c>
    </row>
    <row r="3" spans="1:17" ht="14.25" customHeight="1" x14ac:dyDescent="0.2">
      <c r="D3" s="2" t="s">
        <v>307</v>
      </c>
    </row>
    <row r="4" spans="1:17" ht="14.25" customHeight="1" x14ac:dyDescent="0.2">
      <c r="C4" s="3" t="s">
        <v>312</v>
      </c>
      <c r="I4" s="2" t="s">
        <v>327</v>
      </c>
    </row>
    <row r="5" spans="1:17" ht="14.25" customHeight="1" x14ac:dyDescent="0.2">
      <c r="C5" s="3" t="s">
        <v>224</v>
      </c>
      <c r="D5" s="3" t="s">
        <v>225</v>
      </c>
      <c r="E5" s="3" t="s">
        <v>153</v>
      </c>
      <c r="F5" s="3" t="s">
        <v>154</v>
      </c>
      <c r="G5" s="3" t="s">
        <v>129</v>
      </c>
    </row>
    <row r="6" spans="1:17" ht="14.25" customHeight="1" x14ac:dyDescent="0.2">
      <c r="C6" s="1" t="s">
        <v>308</v>
      </c>
      <c r="D6" s="1" t="s">
        <v>127</v>
      </c>
      <c r="E6" s="1">
        <f>基础模型!E17</f>
        <v>5</v>
      </c>
      <c r="F6" s="1">
        <f>基础模型!F17</f>
        <v>100</v>
      </c>
      <c r="G6" s="1">
        <f>基础模型!G17</f>
        <v>2</v>
      </c>
    </row>
    <row r="7" spans="1:17" ht="14.25" customHeight="1" x14ac:dyDescent="0.2">
      <c r="C7" s="1" t="s">
        <v>309</v>
      </c>
      <c r="D7" s="1" t="s">
        <v>128</v>
      </c>
      <c r="E7" s="1">
        <f>基础模型!E18</f>
        <v>10</v>
      </c>
      <c r="F7" s="1">
        <f>基础模型!F18</f>
        <v>40</v>
      </c>
      <c r="G7" s="1">
        <f>基础模型!G18</f>
        <v>0</v>
      </c>
    </row>
    <row r="8" spans="1:17" ht="14.25" customHeight="1" x14ac:dyDescent="0.2">
      <c r="C8" s="1" t="s">
        <v>310</v>
      </c>
      <c r="D8" s="1" t="s">
        <v>127</v>
      </c>
      <c r="E8" s="1">
        <f>基础模型!E19</f>
        <v>5</v>
      </c>
      <c r="F8" s="1">
        <f>基础模型!F19</f>
        <v>100</v>
      </c>
      <c r="G8" s="1">
        <f>基础模型!G19</f>
        <v>2</v>
      </c>
    </row>
    <row r="9" spans="1:17" ht="14.25" customHeight="1" x14ac:dyDescent="0.2">
      <c r="C9" s="1" t="s">
        <v>311</v>
      </c>
      <c r="D9" s="1" t="s">
        <v>128</v>
      </c>
      <c r="E9" s="1">
        <f>基础模型!E20</f>
        <v>10</v>
      </c>
      <c r="F9" s="1">
        <f>基础模型!F20</f>
        <v>40</v>
      </c>
      <c r="G9" s="1">
        <f>基础模型!G20</f>
        <v>0</v>
      </c>
    </row>
    <row r="10" spans="1:17" ht="14.25" customHeight="1" x14ac:dyDescent="0.2">
      <c r="C10" s="1">
        <v>0</v>
      </c>
      <c r="D10" s="1" t="s">
        <v>129</v>
      </c>
      <c r="E10" s="1">
        <f>基础模型!E21</f>
        <v>4</v>
      </c>
      <c r="F10" s="1">
        <f>基础模型!F21</f>
        <v>50</v>
      </c>
      <c r="G10" s="1">
        <f>基础模型!G21</f>
        <v>6</v>
      </c>
      <c r="Q10" s="2"/>
    </row>
    <row r="11" spans="1:17" ht="14.25" customHeight="1" x14ac:dyDescent="0.2">
      <c r="Q11" s="2"/>
    </row>
    <row r="12" spans="1:17" ht="14.25" customHeight="1" x14ac:dyDescent="0.2">
      <c r="C12" s="3" t="s">
        <v>314</v>
      </c>
      <c r="D12" s="2" t="s">
        <v>323</v>
      </c>
      <c r="I12" s="3" t="s">
        <v>315</v>
      </c>
      <c r="Q12" s="2"/>
    </row>
    <row r="13" spans="1:17" ht="14.25" customHeight="1" x14ac:dyDescent="0.2">
      <c r="D13" s="3" t="s">
        <v>313</v>
      </c>
      <c r="E13" s="3" t="s">
        <v>153</v>
      </c>
      <c r="F13" s="3" t="s">
        <v>154</v>
      </c>
      <c r="G13" s="3" t="s">
        <v>129</v>
      </c>
      <c r="H13" s="80" t="s">
        <v>17</v>
      </c>
      <c r="J13" s="25" t="s">
        <v>15</v>
      </c>
      <c r="K13" s="3" t="s">
        <v>154</v>
      </c>
    </row>
    <row r="14" spans="1:17" ht="14.25" customHeight="1" x14ac:dyDescent="0.2">
      <c r="D14" s="1">
        <v>5</v>
      </c>
      <c r="E14" s="1">
        <f>SUM(E6:$E$10)</f>
        <v>34</v>
      </c>
      <c r="F14" s="1">
        <f>F6</f>
        <v>100</v>
      </c>
      <c r="G14" s="1">
        <f>SUM(G6:G10)</f>
        <v>10</v>
      </c>
      <c r="H14" s="6">
        <f>F14/(J14-G14)</f>
        <v>10.575296108291033</v>
      </c>
      <c r="J14" s="1">
        <v>19.456</v>
      </c>
      <c r="K14" s="6">
        <f>E14*H14</f>
        <v>359.56006768189513</v>
      </c>
    </row>
    <row r="15" spans="1:17" ht="14.25" customHeight="1" x14ac:dyDescent="0.2">
      <c r="D15" s="1">
        <v>4</v>
      </c>
      <c r="E15" s="1">
        <f>SUM(E7:$E$10)</f>
        <v>29</v>
      </c>
      <c r="F15" s="1">
        <f>F8</f>
        <v>100</v>
      </c>
      <c r="G15" s="1">
        <f>G14-G8</f>
        <v>8</v>
      </c>
      <c r="H15" s="6">
        <f t="shared" ref="H15:H18" si="0">F15/(J15-G15)</f>
        <v>8.7290502793296092</v>
      </c>
      <c r="J15" s="1">
        <f>J14</f>
        <v>19.456</v>
      </c>
      <c r="K15" s="6">
        <f t="shared" ref="K15:K18" si="1">E15*H15</f>
        <v>253.14245810055866</v>
      </c>
    </row>
    <row r="16" spans="1:17" ht="14.25" customHeight="1" x14ac:dyDescent="0.2">
      <c r="D16" s="1">
        <v>3</v>
      </c>
      <c r="E16" s="1">
        <f>SUM(E8:$E$10)</f>
        <v>19</v>
      </c>
      <c r="F16" s="1">
        <f>F7</f>
        <v>40</v>
      </c>
      <c r="G16" s="1">
        <f>G15-G7</f>
        <v>8</v>
      </c>
      <c r="H16" s="6">
        <f t="shared" si="0"/>
        <v>3.4916201117318435</v>
      </c>
      <c r="J16" s="1">
        <f t="shared" ref="J16:J18" si="2">J15</f>
        <v>19.456</v>
      </c>
      <c r="K16" s="6">
        <f t="shared" si="1"/>
        <v>66.340782122905026</v>
      </c>
    </row>
    <row r="17" spans="3:32" ht="14.25" customHeight="1" x14ac:dyDescent="0.2">
      <c r="D17" s="1">
        <v>2</v>
      </c>
      <c r="E17" s="1">
        <f>SUM(E9:$E$10)</f>
        <v>14</v>
      </c>
      <c r="F17" s="1">
        <f>F9</f>
        <v>40</v>
      </c>
      <c r="G17" s="1">
        <f>G16-G9</f>
        <v>8</v>
      </c>
      <c r="H17" s="6">
        <f t="shared" si="0"/>
        <v>3.4916201117318435</v>
      </c>
      <c r="J17" s="1">
        <f t="shared" si="2"/>
        <v>19.456</v>
      </c>
      <c r="K17" s="6">
        <f t="shared" si="1"/>
        <v>48.882681564245807</v>
      </c>
    </row>
    <row r="18" spans="3:32" ht="14.25" customHeight="1" x14ac:dyDescent="0.2">
      <c r="D18" s="1">
        <v>1</v>
      </c>
      <c r="E18" s="1">
        <f>SUM(E10:$E$10)</f>
        <v>4</v>
      </c>
      <c r="F18" s="1">
        <f>F10</f>
        <v>50</v>
      </c>
      <c r="G18" s="1">
        <f>G10</f>
        <v>6</v>
      </c>
      <c r="H18" s="6">
        <f t="shared" si="0"/>
        <v>3.7158145065398336</v>
      </c>
      <c r="J18" s="1">
        <f t="shared" si="2"/>
        <v>19.456</v>
      </c>
      <c r="K18" s="6">
        <f t="shared" si="1"/>
        <v>14.863258026159334</v>
      </c>
    </row>
    <row r="19" spans="3:32" ht="14.25" customHeight="1" x14ac:dyDescent="0.2">
      <c r="H19" s="6">
        <f>SUM(H14:H18)</f>
        <v>30.003401117624161</v>
      </c>
      <c r="I19" s="1" t="s">
        <v>316</v>
      </c>
      <c r="J19" s="1">
        <f>MAX(J14:J18)</f>
        <v>19.456</v>
      </c>
      <c r="K19" s="6">
        <f>SUM(K14:K18)</f>
        <v>742.7892474957639</v>
      </c>
    </row>
    <row r="21" spans="3:32" ht="14.25" customHeight="1" x14ac:dyDescent="0.2">
      <c r="C21" s="3" t="s">
        <v>170</v>
      </c>
      <c r="E21" s="1">
        <f>J19</f>
        <v>19.456</v>
      </c>
      <c r="F21" s="6">
        <f>K19</f>
        <v>742.7892474957639</v>
      </c>
      <c r="G21" s="18">
        <v>5</v>
      </c>
      <c r="J21" s="1" t="s">
        <v>318</v>
      </c>
      <c r="K21" s="1">
        <f>角色成长!L15</f>
        <v>150</v>
      </c>
      <c r="L21" s="3" t="s">
        <v>317</v>
      </c>
      <c r="P21" s="6">
        <f>MAX(P24:P123)</f>
        <v>93929.469890216904</v>
      </c>
      <c r="X21" s="1" t="s">
        <v>322</v>
      </c>
    </row>
    <row r="22" spans="3:32" ht="14.25" customHeight="1" outlineLevel="1" x14ac:dyDescent="0.2">
      <c r="E22" s="1">
        <f>角色成长!E16</f>
        <v>1.05</v>
      </c>
      <c r="F22" s="1">
        <f>角色成长!F16</f>
        <v>1.05</v>
      </c>
      <c r="G22" s="1">
        <f>角色成长!G16</f>
        <v>1.05</v>
      </c>
      <c r="O22" s="6">
        <f>F24*K21</f>
        <v>111418.38712436458</v>
      </c>
      <c r="P22" s="1">
        <f>10000</f>
        <v>10000</v>
      </c>
      <c r="X22" s="1">
        <v>9</v>
      </c>
    </row>
    <row r="23" spans="3:32" ht="14.25" customHeight="1" outlineLevel="1" x14ac:dyDescent="0.2">
      <c r="D23" s="1" t="s">
        <v>194</v>
      </c>
      <c r="E23" s="1" t="s">
        <v>153</v>
      </c>
      <c r="F23" s="1" t="s">
        <v>154</v>
      </c>
      <c r="G23" s="1" t="s">
        <v>145</v>
      </c>
      <c r="H23" s="18" t="s">
        <v>146</v>
      </c>
      <c r="I23" s="18" t="s">
        <v>147</v>
      </c>
      <c r="J23" s="18" t="s">
        <v>148</v>
      </c>
      <c r="M23" s="1" t="s">
        <v>172</v>
      </c>
      <c r="N23" s="1" t="s">
        <v>173</v>
      </c>
      <c r="O23" s="1" t="s">
        <v>174</v>
      </c>
      <c r="P23" s="1" t="s">
        <v>145</v>
      </c>
      <c r="Q23" s="18" t="s">
        <v>146</v>
      </c>
      <c r="R23" s="18" t="s">
        <v>147</v>
      </c>
      <c r="S23" s="18" t="s">
        <v>148</v>
      </c>
      <c r="T23" s="18" t="s">
        <v>175</v>
      </c>
      <c r="U23" s="18" t="s">
        <v>206</v>
      </c>
      <c r="V23" s="1" t="s">
        <v>320</v>
      </c>
      <c r="X23" s="1" t="s">
        <v>172</v>
      </c>
      <c r="Y23" s="1" t="s">
        <v>173</v>
      </c>
      <c r="Z23" s="1" t="s">
        <v>174</v>
      </c>
      <c r="AA23" s="1" t="s">
        <v>145</v>
      </c>
      <c r="AB23" s="1" t="s">
        <v>146</v>
      </c>
      <c r="AC23" s="1" t="s">
        <v>147</v>
      </c>
      <c r="AD23" s="1" t="s">
        <v>148</v>
      </c>
      <c r="AE23" s="1" t="s">
        <v>319</v>
      </c>
      <c r="AF23" s="1" t="s">
        <v>207</v>
      </c>
    </row>
    <row r="24" spans="3:32" ht="14.25" customHeight="1" outlineLevel="1" x14ac:dyDescent="0.2">
      <c r="D24" s="1">
        <v>1</v>
      </c>
      <c r="E24" s="6">
        <f>E$21*E$22^($D24-1)</f>
        <v>19.456</v>
      </c>
      <c r="F24" s="6">
        <f t="shared" ref="F24:G39" si="3">F$21*F$22^($D24-1)</f>
        <v>742.7892474957639</v>
      </c>
      <c r="G24" s="6">
        <f t="shared" si="3"/>
        <v>5</v>
      </c>
      <c r="H24" s="1">
        <v>0.4</v>
      </c>
      <c r="I24" s="1">
        <v>1.5</v>
      </c>
      <c r="J24" s="1">
        <v>1</v>
      </c>
      <c r="M24" s="1">
        <v>1</v>
      </c>
      <c r="N24" s="6">
        <f>E24*T24*$K$21/S24/(1+Q24*(R24-1))</f>
        <v>1945.6</v>
      </c>
      <c r="O24" s="6">
        <f>F24*$K$21/(1+P24/$P$22)</f>
        <v>103645.01127847869</v>
      </c>
      <c r="P24" s="6">
        <f>G24*$K$21</f>
        <v>750</v>
      </c>
      <c r="Q24" s="1">
        <v>0.4</v>
      </c>
      <c r="R24" s="1">
        <v>1.5</v>
      </c>
      <c r="S24" s="1">
        <v>1</v>
      </c>
      <c r="T24" s="1">
        <v>0.8</v>
      </c>
      <c r="U24" s="1">
        <v>10</v>
      </c>
      <c r="V24" s="5">
        <f>E24*$K$21*(1-T24)/(1/U24)/(1+Q24*(R24-1))/N24</f>
        <v>2.4999999999999996</v>
      </c>
      <c r="X24" s="1">
        <v>1</v>
      </c>
      <c r="Y24" s="6">
        <f>2*N24/(1+$X$22)</f>
        <v>389.12</v>
      </c>
      <c r="Z24" s="6">
        <f>O24/$X$22</f>
        <v>11516.11236427541</v>
      </c>
      <c r="AA24" s="6">
        <f>P24</f>
        <v>750</v>
      </c>
      <c r="AB24" s="1">
        <f>Q24</f>
        <v>0.4</v>
      </c>
      <c r="AC24" s="1">
        <f t="shared" ref="AC24:AD24" si="4">R24</f>
        <v>1.5</v>
      </c>
      <c r="AD24" s="1">
        <f t="shared" si="4"/>
        <v>1</v>
      </c>
      <c r="AE24" s="1">
        <f>U24</f>
        <v>10</v>
      </c>
      <c r="AF24" s="36">
        <f>V24</f>
        <v>2.4999999999999996</v>
      </c>
    </row>
    <row r="25" spans="3:32" ht="14.25" customHeight="1" outlineLevel="1" x14ac:dyDescent="0.2">
      <c r="D25" s="1">
        <v>2</v>
      </c>
      <c r="E25" s="6">
        <f>E$21*E$22^($D25-1)</f>
        <v>20.428799999999999</v>
      </c>
      <c r="F25" s="6">
        <f t="shared" si="3"/>
        <v>779.9287098705521</v>
      </c>
      <c r="G25" s="6">
        <f t="shared" si="3"/>
        <v>5.25</v>
      </c>
      <c r="H25" s="1">
        <v>0.4</v>
      </c>
      <c r="I25" s="1">
        <v>1.5</v>
      </c>
      <c r="J25" s="1">
        <v>1</v>
      </c>
      <c r="M25" s="1">
        <v>2</v>
      </c>
      <c r="N25" s="6">
        <f>E25*T25*$K$21/S25/(1+Q25*(R25-1))</f>
        <v>2042.8799999999999</v>
      </c>
      <c r="O25" s="6">
        <f t="shared" ref="O25:O88" si="5">F25*$K$21/(1+P25/$P$22)</f>
        <v>108448.95154631083</v>
      </c>
      <c r="P25" s="6">
        <f t="shared" ref="P25:P88" si="6">G25*$K$21</f>
        <v>787.5</v>
      </c>
      <c r="Q25" s="1">
        <v>0.4</v>
      </c>
      <c r="R25" s="1">
        <v>1.5</v>
      </c>
      <c r="S25" s="1">
        <v>1</v>
      </c>
      <c r="T25" s="1">
        <v>0.8</v>
      </c>
      <c r="U25" s="1">
        <v>10</v>
      </c>
      <c r="V25" s="5">
        <f t="shared" ref="V25:V88" si="7">E25*$K$21*(1-T25)/(1/U25)/(1+Q25*(R25-1))/N25</f>
        <v>2.4999999999999991</v>
      </c>
      <c r="X25" s="1">
        <v>2</v>
      </c>
      <c r="Y25" s="6">
        <f>2*N25/(1+$X$22)</f>
        <v>408.57599999999996</v>
      </c>
      <c r="Z25" s="6">
        <f>O25/$X$22</f>
        <v>12049.883505145648</v>
      </c>
      <c r="AA25" s="6">
        <f>P25</f>
        <v>787.5</v>
      </c>
      <c r="AB25" s="1">
        <f>Q25</f>
        <v>0.4</v>
      </c>
      <c r="AC25" s="1">
        <f t="shared" ref="AC25:AC26" si="8">R25</f>
        <v>1.5</v>
      </c>
      <c r="AD25" s="1">
        <f t="shared" ref="AD25:AD26" si="9">S25</f>
        <v>1</v>
      </c>
      <c r="AE25" s="1">
        <f>U25</f>
        <v>10</v>
      </c>
      <c r="AF25" s="36">
        <f>V25</f>
        <v>2.4999999999999991</v>
      </c>
    </row>
    <row r="26" spans="3:32" ht="14.25" customHeight="1" outlineLevel="1" x14ac:dyDescent="0.2">
      <c r="D26" s="1">
        <v>3</v>
      </c>
      <c r="E26" s="6">
        <f t="shared" ref="E26:G57" si="10">E$21*E$22^($D26-1)</f>
        <v>21.450240000000001</v>
      </c>
      <c r="F26" s="6">
        <f t="shared" si="3"/>
        <v>818.92514536407975</v>
      </c>
      <c r="G26" s="6">
        <f t="shared" si="3"/>
        <v>5.5125000000000002</v>
      </c>
      <c r="H26" s="1">
        <v>0.4</v>
      </c>
      <c r="I26" s="1">
        <v>1.5</v>
      </c>
      <c r="J26" s="1">
        <v>1</v>
      </c>
      <c r="M26" s="1">
        <v>3</v>
      </c>
      <c r="N26" s="6">
        <f t="shared" ref="N26:N88" si="11">E26*T26*$K$21/S26/(1+Q26*(R26-1))</f>
        <v>2145.0240000000003</v>
      </c>
      <c r="O26" s="6">
        <f t="shared" si="5"/>
        <v>113457.27350192181</v>
      </c>
      <c r="P26" s="6">
        <f t="shared" si="6"/>
        <v>826.875</v>
      </c>
      <c r="Q26" s="1">
        <v>0.4</v>
      </c>
      <c r="R26" s="1">
        <v>1.5</v>
      </c>
      <c r="S26" s="1">
        <v>1</v>
      </c>
      <c r="T26" s="1">
        <v>0.8</v>
      </c>
      <c r="U26" s="1">
        <v>10</v>
      </c>
      <c r="V26" s="5">
        <f t="shared" si="7"/>
        <v>2.4999999999999991</v>
      </c>
      <c r="X26" s="1">
        <v>3</v>
      </c>
      <c r="Y26" s="6">
        <f t="shared" ref="Y26:Y89" si="12">2*N26/(1+$X$22)</f>
        <v>429.00480000000005</v>
      </c>
      <c r="Z26" s="6">
        <f t="shared" ref="Z26:Z89" si="13">O26/$X$22</f>
        <v>12606.363722435757</v>
      </c>
      <c r="AA26" s="6">
        <f t="shared" ref="AA26:AA89" si="14">P26</f>
        <v>826.875</v>
      </c>
      <c r="AB26" s="1">
        <f t="shared" ref="AB26:AB89" si="15">Q26</f>
        <v>0.4</v>
      </c>
      <c r="AC26" s="1">
        <f t="shared" si="8"/>
        <v>1.5</v>
      </c>
      <c r="AD26" s="1">
        <f t="shared" si="9"/>
        <v>1</v>
      </c>
      <c r="AE26" s="1">
        <f t="shared" ref="AE26:AE89" si="16">U26</f>
        <v>10</v>
      </c>
      <c r="AF26" s="36">
        <f t="shared" ref="AF26:AF89" si="17">V26</f>
        <v>2.4999999999999991</v>
      </c>
    </row>
    <row r="27" spans="3:32" ht="14.25" customHeight="1" outlineLevel="1" x14ac:dyDescent="0.2">
      <c r="D27" s="1">
        <v>4</v>
      </c>
      <c r="E27" s="6">
        <f t="shared" si="10"/>
        <v>22.522752000000001</v>
      </c>
      <c r="F27" s="6">
        <f t="shared" si="3"/>
        <v>859.87140263228378</v>
      </c>
      <c r="G27" s="6">
        <f t="shared" si="3"/>
        <v>5.7881250000000009</v>
      </c>
      <c r="H27" s="1">
        <v>0.4</v>
      </c>
      <c r="I27" s="1">
        <v>1.5</v>
      </c>
      <c r="J27" s="1">
        <v>1</v>
      </c>
      <c r="M27" s="1">
        <v>4</v>
      </c>
      <c r="N27" s="6">
        <f t="shared" si="11"/>
        <v>2252.2752000000005</v>
      </c>
      <c r="O27" s="6">
        <f t="shared" si="5"/>
        <v>118676.95467101503</v>
      </c>
      <c r="P27" s="6">
        <f t="shared" si="6"/>
        <v>868.21875000000011</v>
      </c>
      <c r="Q27" s="1">
        <v>0.4</v>
      </c>
      <c r="R27" s="1">
        <v>1.5</v>
      </c>
      <c r="S27" s="1">
        <v>1</v>
      </c>
      <c r="T27" s="1">
        <v>0.8</v>
      </c>
      <c r="U27" s="1">
        <v>10</v>
      </c>
      <c r="V27" s="5">
        <f t="shared" si="7"/>
        <v>2.4999999999999991</v>
      </c>
      <c r="X27" s="1">
        <v>4</v>
      </c>
      <c r="Y27" s="6">
        <f t="shared" si="12"/>
        <v>450.45504000000011</v>
      </c>
      <c r="Z27" s="6">
        <f t="shared" si="13"/>
        <v>13186.328296779448</v>
      </c>
      <c r="AA27" s="6">
        <f t="shared" si="14"/>
        <v>868.21875000000011</v>
      </c>
      <c r="AB27" s="1">
        <f t="shared" si="15"/>
        <v>0.4</v>
      </c>
      <c r="AC27" s="1">
        <f t="shared" ref="AC27:AC90" si="18">R27</f>
        <v>1.5</v>
      </c>
      <c r="AD27" s="1">
        <f t="shared" ref="AD27:AD90" si="19">S27</f>
        <v>1</v>
      </c>
      <c r="AE27" s="1">
        <f t="shared" si="16"/>
        <v>10</v>
      </c>
      <c r="AF27" s="36">
        <f t="shared" si="17"/>
        <v>2.4999999999999991</v>
      </c>
    </row>
    <row r="28" spans="3:32" ht="14.25" customHeight="1" outlineLevel="1" x14ac:dyDescent="0.2">
      <c r="D28" s="1">
        <v>5</v>
      </c>
      <c r="E28" s="6">
        <f t="shared" si="10"/>
        <v>23.6488896</v>
      </c>
      <c r="F28" s="6">
        <f t="shared" si="3"/>
        <v>902.86497276389787</v>
      </c>
      <c r="G28" s="6">
        <f t="shared" si="3"/>
        <v>6.0775312499999998</v>
      </c>
      <c r="H28" s="1">
        <v>0.4</v>
      </c>
      <c r="I28" s="1">
        <v>1.5</v>
      </c>
      <c r="J28" s="1">
        <v>1</v>
      </c>
      <c r="M28" s="1">
        <v>5</v>
      </c>
      <c r="N28" s="6">
        <f t="shared" si="11"/>
        <v>2364.8889600000002</v>
      </c>
      <c r="O28" s="6">
        <f t="shared" si="5"/>
        <v>124115.04953263624</v>
      </c>
      <c r="P28" s="6">
        <f t="shared" si="6"/>
        <v>911.62968749999993</v>
      </c>
      <c r="Q28" s="1">
        <v>0.4</v>
      </c>
      <c r="R28" s="1">
        <v>1.5</v>
      </c>
      <c r="S28" s="1">
        <v>1</v>
      </c>
      <c r="T28" s="1">
        <v>0.8</v>
      </c>
      <c r="U28" s="1">
        <v>10</v>
      </c>
      <c r="V28" s="5">
        <f t="shared" si="7"/>
        <v>2.4999999999999991</v>
      </c>
      <c r="X28" s="1">
        <v>5</v>
      </c>
      <c r="Y28" s="6">
        <f t="shared" si="12"/>
        <v>472.97779200000002</v>
      </c>
      <c r="Z28" s="6">
        <f t="shared" si="13"/>
        <v>13790.561059181804</v>
      </c>
      <c r="AA28" s="6">
        <f t="shared" si="14"/>
        <v>911.62968749999993</v>
      </c>
      <c r="AB28" s="1">
        <f t="shared" si="15"/>
        <v>0.4</v>
      </c>
      <c r="AC28" s="1">
        <f t="shared" si="18"/>
        <v>1.5</v>
      </c>
      <c r="AD28" s="1">
        <f t="shared" si="19"/>
        <v>1</v>
      </c>
      <c r="AE28" s="1">
        <f t="shared" si="16"/>
        <v>10</v>
      </c>
      <c r="AF28" s="36">
        <f t="shared" si="17"/>
        <v>2.4999999999999991</v>
      </c>
    </row>
    <row r="29" spans="3:32" ht="14.25" customHeight="1" outlineLevel="1" x14ac:dyDescent="0.2">
      <c r="D29" s="1">
        <v>6</v>
      </c>
      <c r="E29" s="6">
        <f t="shared" si="10"/>
        <v>24.831334080000001</v>
      </c>
      <c r="F29" s="6">
        <f t="shared" si="3"/>
        <v>948.00822140209289</v>
      </c>
      <c r="G29" s="6">
        <f t="shared" si="3"/>
        <v>6.3814078125000009</v>
      </c>
      <c r="H29" s="1">
        <v>0.4</v>
      </c>
      <c r="I29" s="1">
        <v>1.5</v>
      </c>
      <c r="J29" s="1">
        <v>1</v>
      </c>
      <c r="M29" s="1">
        <v>6</v>
      </c>
      <c r="N29" s="6">
        <f t="shared" si="11"/>
        <v>2483.1334080000006</v>
      </c>
      <c r="O29" s="6">
        <f t="shared" si="5"/>
        <v>129778.67358741468</v>
      </c>
      <c r="P29" s="6">
        <f t="shared" si="6"/>
        <v>957.2111718750001</v>
      </c>
      <c r="Q29" s="1">
        <v>0.4</v>
      </c>
      <c r="R29" s="1">
        <v>1.5</v>
      </c>
      <c r="S29" s="1">
        <v>1</v>
      </c>
      <c r="T29" s="1">
        <v>0.8</v>
      </c>
      <c r="U29" s="1">
        <v>10</v>
      </c>
      <c r="V29" s="5">
        <f t="shared" si="7"/>
        <v>2.4999999999999987</v>
      </c>
      <c r="X29" s="1">
        <v>6</v>
      </c>
      <c r="Y29" s="6">
        <f t="shared" si="12"/>
        <v>496.6266816000001</v>
      </c>
      <c r="Z29" s="6">
        <f t="shared" si="13"/>
        <v>14419.852620823855</v>
      </c>
      <c r="AA29" s="6">
        <f t="shared" si="14"/>
        <v>957.2111718750001</v>
      </c>
      <c r="AB29" s="1">
        <f t="shared" si="15"/>
        <v>0.4</v>
      </c>
      <c r="AC29" s="1">
        <f t="shared" si="18"/>
        <v>1.5</v>
      </c>
      <c r="AD29" s="1">
        <f t="shared" si="19"/>
        <v>1</v>
      </c>
      <c r="AE29" s="1">
        <f t="shared" si="16"/>
        <v>10</v>
      </c>
      <c r="AF29" s="36">
        <f t="shared" si="17"/>
        <v>2.4999999999999987</v>
      </c>
    </row>
    <row r="30" spans="3:32" ht="14.25" customHeight="1" outlineLevel="1" x14ac:dyDescent="0.2">
      <c r="D30" s="1">
        <v>7</v>
      </c>
      <c r="E30" s="6">
        <f t="shared" si="10"/>
        <v>26.072900783999998</v>
      </c>
      <c r="F30" s="6">
        <f t="shared" si="3"/>
        <v>995.40863247219738</v>
      </c>
      <c r="G30" s="6">
        <f t="shared" si="3"/>
        <v>6.7004782031249999</v>
      </c>
      <c r="H30" s="1">
        <v>0.4</v>
      </c>
      <c r="I30" s="1">
        <v>1.5</v>
      </c>
      <c r="J30" s="1">
        <v>1</v>
      </c>
      <c r="M30" s="1">
        <v>7</v>
      </c>
      <c r="N30" s="6">
        <f t="shared" si="11"/>
        <v>2607.2900784000003</v>
      </c>
      <c r="O30" s="6">
        <f t="shared" si="5"/>
        <v>135674.98561362841</v>
      </c>
      <c r="P30" s="6">
        <f t="shared" si="6"/>
        <v>1005.0717304687499</v>
      </c>
      <c r="Q30" s="1">
        <v>0.4</v>
      </c>
      <c r="R30" s="1">
        <v>1.5</v>
      </c>
      <c r="S30" s="1">
        <v>1</v>
      </c>
      <c r="T30" s="1">
        <v>0.8</v>
      </c>
      <c r="U30" s="1">
        <v>10</v>
      </c>
      <c r="V30" s="5">
        <f t="shared" si="7"/>
        <v>2.4999999999999987</v>
      </c>
      <c r="X30" s="1">
        <v>7</v>
      </c>
      <c r="Y30" s="6">
        <f t="shared" si="12"/>
        <v>521.45801568000002</v>
      </c>
      <c r="Z30" s="6">
        <f t="shared" si="13"/>
        <v>15074.998401514267</v>
      </c>
      <c r="AA30" s="6">
        <f t="shared" si="14"/>
        <v>1005.0717304687499</v>
      </c>
      <c r="AB30" s="1">
        <f t="shared" si="15"/>
        <v>0.4</v>
      </c>
      <c r="AC30" s="1">
        <f t="shared" si="18"/>
        <v>1.5</v>
      </c>
      <c r="AD30" s="1">
        <f t="shared" si="19"/>
        <v>1</v>
      </c>
      <c r="AE30" s="1">
        <f t="shared" si="16"/>
        <v>10</v>
      </c>
      <c r="AF30" s="36">
        <f t="shared" si="17"/>
        <v>2.4999999999999987</v>
      </c>
    </row>
    <row r="31" spans="3:32" ht="14.25" customHeight="1" outlineLevel="1" x14ac:dyDescent="0.2">
      <c r="D31" s="1">
        <v>8</v>
      </c>
      <c r="E31" s="6">
        <f t="shared" si="10"/>
        <v>27.376545823200004</v>
      </c>
      <c r="F31" s="6">
        <f t="shared" si="3"/>
        <v>1045.1790640958075</v>
      </c>
      <c r="G31" s="6">
        <f t="shared" si="3"/>
        <v>7.0355021132812512</v>
      </c>
      <c r="H31" s="1">
        <v>0.4</v>
      </c>
      <c r="I31" s="1">
        <v>1.5</v>
      </c>
      <c r="J31" s="1">
        <v>1</v>
      </c>
      <c r="M31" s="1">
        <v>8</v>
      </c>
      <c r="N31" s="6">
        <f t="shared" si="11"/>
        <v>2737.6545823200008</v>
      </c>
      <c r="O31" s="6">
        <f t="shared" si="5"/>
        <v>141811.16802904289</v>
      </c>
      <c r="P31" s="6">
        <f t="shared" si="6"/>
        <v>1055.3253169921877</v>
      </c>
      <c r="Q31" s="1">
        <v>0.4</v>
      </c>
      <c r="R31" s="1">
        <v>1.5</v>
      </c>
      <c r="S31" s="1">
        <v>1</v>
      </c>
      <c r="T31" s="1">
        <v>0.8</v>
      </c>
      <c r="U31" s="1">
        <v>10</v>
      </c>
      <c r="V31" s="5">
        <f t="shared" si="7"/>
        <v>2.4999999999999996</v>
      </c>
      <c r="X31" s="1">
        <v>8</v>
      </c>
      <c r="Y31" s="6">
        <f t="shared" si="12"/>
        <v>547.53091646400014</v>
      </c>
      <c r="Z31" s="6">
        <f t="shared" si="13"/>
        <v>15756.796447671433</v>
      </c>
      <c r="AA31" s="6">
        <f t="shared" si="14"/>
        <v>1055.3253169921877</v>
      </c>
      <c r="AB31" s="1">
        <f t="shared" si="15"/>
        <v>0.4</v>
      </c>
      <c r="AC31" s="1">
        <f t="shared" si="18"/>
        <v>1.5</v>
      </c>
      <c r="AD31" s="1">
        <f t="shared" si="19"/>
        <v>1</v>
      </c>
      <c r="AE31" s="1">
        <f t="shared" si="16"/>
        <v>10</v>
      </c>
      <c r="AF31" s="36">
        <f t="shared" si="17"/>
        <v>2.4999999999999996</v>
      </c>
    </row>
    <row r="32" spans="3:32" ht="14.25" customHeight="1" outlineLevel="1" x14ac:dyDescent="0.2">
      <c r="D32" s="1">
        <v>9</v>
      </c>
      <c r="E32" s="6">
        <f t="shared" si="10"/>
        <v>28.74537311436</v>
      </c>
      <c r="F32" s="6">
        <f t="shared" si="3"/>
        <v>1097.4380173005977</v>
      </c>
      <c r="G32" s="6">
        <f t="shared" si="3"/>
        <v>7.3872772189453126</v>
      </c>
      <c r="H32" s="1">
        <v>0.4</v>
      </c>
      <c r="I32" s="1">
        <v>1.5</v>
      </c>
      <c r="J32" s="1">
        <v>1</v>
      </c>
      <c r="M32" s="1">
        <v>9</v>
      </c>
      <c r="N32" s="6">
        <f t="shared" si="11"/>
        <v>2874.5373114360004</v>
      </c>
      <c r="O32" s="6">
        <f t="shared" si="5"/>
        <v>148194.4052832303</v>
      </c>
      <c r="P32" s="6">
        <f t="shared" si="6"/>
        <v>1108.0915828417969</v>
      </c>
      <c r="Q32" s="1">
        <v>0.4</v>
      </c>
      <c r="R32" s="1">
        <v>1.5</v>
      </c>
      <c r="S32" s="1">
        <v>1</v>
      </c>
      <c r="T32" s="1">
        <v>0.8</v>
      </c>
      <c r="U32" s="1">
        <v>10</v>
      </c>
      <c r="V32" s="5">
        <f t="shared" si="7"/>
        <v>2.4999999999999987</v>
      </c>
      <c r="X32" s="1">
        <v>9</v>
      </c>
      <c r="Y32" s="6">
        <f t="shared" si="12"/>
        <v>574.90746228720013</v>
      </c>
      <c r="Z32" s="6">
        <f t="shared" si="13"/>
        <v>16466.045031470032</v>
      </c>
      <c r="AA32" s="6">
        <f t="shared" si="14"/>
        <v>1108.0915828417969</v>
      </c>
      <c r="AB32" s="1">
        <f t="shared" si="15"/>
        <v>0.4</v>
      </c>
      <c r="AC32" s="1">
        <f t="shared" si="18"/>
        <v>1.5</v>
      </c>
      <c r="AD32" s="1">
        <f t="shared" si="19"/>
        <v>1</v>
      </c>
      <c r="AE32" s="1">
        <f t="shared" si="16"/>
        <v>10</v>
      </c>
      <c r="AF32" s="36">
        <f t="shared" si="17"/>
        <v>2.4999999999999987</v>
      </c>
    </row>
    <row r="33" spans="4:32" ht="14.25" customHeight="1" outlineLevel="1" x14ac:dyDescent="0.2">
      <c r="D33" s="1">
        <v>10</v>
      </c>
      <c r="E33" s="6">
        <f t="shared" si="10"/>
        <v>30.182641770078003</v>
      </c>
      <c r="F33" s="6">
        <f t="shared" si="3"/>
        <v>1152.3099181656276</v>
      </c>
      <c r="G33" s="6">
        <f t="shared" si="3"/>
        <v>7.7566410798925789</v>
      </c>
      <c r="H33" s="1">
        <v>0.4</v>
      </c>
      <c r="I33" s="1">
        <v>1.5</v>
      </c>
      <c r="J33" s="1">
        <v>1</v>
      </c>
      <c r="M33" s="1">
        <v>10</v>
      </c>
      <c r="N33" s="6">
        <f t="shared" si="11"/>
        <v>3018.2641770078008</v>
      </c>
      <c r="O33" s="6">
        <f t="shared" si="5"/>
        <v>154831.8602136978</v>
      </c>
      <c r="P33" s="6">
        <f t="shared" si="6"/>
        <v>1163.4961619838869</v>
      </c>
      <c r="Q33" s="1">
        <v>0.4</v>
      </c>
      <c r="R33" s="1">
        <v>1.5</v>
      </c>
      <c r="S33" s="1">
        <v>1</v>
      </c>
      <c r="T33" s="1">
        <v>0.8</v>
      </c>
      <c r="U33" s="1">
        <v>10</v>
      </c>
      <c r="V33" s="5">
        <f t="shared" si="7"/>
        <v>2.4999999999999991</v>
      </c>
      <c r="X33" s="1">
        <v>10</v>
      </c>
      <c r="Y33" s="6">
        <f t="shared" si="12"/>
        <v>603.6528354015602</v>
      </c>
      <c r="Z33" s="6">
        <f t="shared" si="13"/>
        <v>17203.540023744201</v>
      </c>
      <c r="AA33" s="6">
        <f t="shared" si="14"/>
        <v>1163.4961619838869</v>
      </c>
      <c r="AB33" s="1">
        <f t="shared" si="15"/>
        <v>0.4</v>
      </c>
      <c r="AC33" s="1">
        <f t="shared" si="18"/>
        <v>1.5</v>
      </c>
      <c r="AD33" s="1">
        <f t="shared" si="19"/>
        <v>1</v>
      </c>
      <c r="AE33" s="1">
        <f t="shared" si="16"/>
        <v>10</v>
      </c>
      <c r="AF33" s="36">
        <f t="shared" si="17"/>
        <v>2.4999999999999991</v>
      </c>
    </row>
    <row r="34" spans="4:32" ht="14.25" customHeight="1" outlineLevel="1" x14ac:dyDescent="0.2">
      <c r="D34" s="1">
        <v>11</v>
      </c>
      <c r="E34" s="6">
        <f t="shared" si="10"/>
        <v>31.691773858581904</v>
      </c>
      <c r="F34" s="6">
        <f t="shared" si="3"/>
        <v>1209.925414073909</v>
      </c>
      <c r="G34" s="6">
        <f t="shared" si="3"/>
        <v>8.1444731338872085</v>
      </c>
      <c r="H34" s="1">
        <v>0.4</v>
      </c>
      <c r="I34" s="1">
        <v>1.5</v>
      </c>
      <c r="J34" s="1">
        <v>1</v>
      </c>
      <c r="M34" s="1">
        <v>11</v>
      </c>
      <c r="N34" s="6">
        <f t="shared" si="11"/>
        <v>3169.1773858581905</v>
      </c>
      <c r="O34" s="6">
        <f t="shared" si="5"/>
        <v>161730.64830980575</v>
      </c>
      <c r="P34" s="6">
        <f t="shared" si="6"/>
        <v>1221.6709700830813</v>
      </c>
      <c r="Q34" s="1">
        <v>0.4</v>
      </c>
      <c r="R34" s="1">
        <v>1.5</v>
      </c>
      <c r="S34" s="1">
        <v>1</v>
      </c>
      <c r="T34" s="1">
        <v>0.8</v>
      </c>
      <c r="U34" s="1">
        <v>10</v>
      </c>
      <c r="V34" s="5">
        <f t="shared" si="7"/>
        <v>2.4999999999999996</v>
      </c>
      <c r="X34" s="1">
        <v>11</v>
      </c>
      <c r="Y34" s="6">
        <f t="shared" si="12"/>
        <v>633.8354771716381</v>
      </c>
      <c r="Z34" s="6">
        <f t="shared" si="13"/>
        <v>17970.072034422861</v>
      </c>
      <c r="AA34" s="6">
        <f t="shared" si="14"/>
        <v>1221.6709700830813</v>
      </c>
      <c r="AB34" s="1">
        <f t="shared" si="15"/>
        <v>0.4</v>
      </c>
      <c r="AC34" s="1">
        <f t="shared" si="18"/>
        <v>1.5</v>
      </c>
      <c r="AD34" s="1">
        <f t="shared" si="19"/>
        <v>1</v>
      </c>
      <c r="AE34" s="1">
        <f t="shared" si="16"/>
        <v>10</v>
      </c>
      <c r="AF34" s="36">
        <f t="shared" si="17"/>
        <v>2.4999999999999996</v>
      </c>
    </row>
    <row r="35" spans="4:32" ht="14.25" customHeight="1" outlineLevel="1" x14ac:dyDescent="0.2">
      <c r="D35" s="1">
        <v>12</v>
      </c>
      <c r="E35" s="6">
        <f t="shared" si="10"/>
        <v>33.276362551510999</v>
      </c>
      <c r="F35" s="6">
        <f t="shared" si="3"/>
        <v>1270.4216847776045</v>
      </c>
      <c r="G35" s="6">
        <f t="shared" si="3"/>
        <v>8.5516967905815697</v>
      </c>
      <c r="H35" s="1">
        <v>0.4</v>
      </c>
      <c r="I35" s="1">
        <v>1.5</v>
      </c>
      <c r="J35" s="1">
        <v>1</v>
      </c>
      <c r="M35" s="1">
        <v>12</v>
      </c>
      <c r="N35" s="6">
        <f t="shared" si="11"/>
        <v>3327.6362551511006</v>
      </c>
      <c r="O35" s="6">
        <f t="shared" si="5"/>
        <v>168897.80984129925</v>
      </c>
      <c r="P35" s="6">
        <f t="shared" si="6"/>
        <v>1282.7545185872355</v>
      </c>
      <c r="Q35" s="1">
        <v>0.4</v>
      </c>
      <c r="R35" s="1">
        <v>1.5</v>
      </c>
      <c r="S35" s="1">
        <v>1</v>
      </c>
      <c r="T35" s="1">
        <v>0.8</v>
      </c>
      <c r="U35" s="1">
        <v>10</v>
      </c>
      <c r="V35" s="5">
        <f t="shared" si="7"/>
        <v>2.4999999999999991</v>
      </c>
      <c r="X35" s="1">
        <v>12</v>
      </c>
      <c r="Y35" s="6">
        <f t="shared" si="12"/>
        <v>665.5272510302201</v>
      </c>
      <c r="Z35" s="6">
        <f t="shared" si="13"/>
        <v>18766.423315699918</v>
      </c>
      <c r="AA35" s="6">
        <f t="shared" si="14"/>
        <v>1282.7545185872355</v>
      </c>
      <c r="AB35" s="1">
        <f t="shared" si="15"/>
        <v>0.4</v>
      </c>
      <c r="AC35" s="1">
        <f t="shared" si="18"/>
        <v>1.5</v>
      </c>
      <c r="AD35" s="1">
        <f t="shared" si="19"/>
        <v>1</v>
      </c>
      <c r="AE35" s="1">
        <f t="shared" si="16"/>
        <v>10</v>
      </c>
      <c r="AF35" s="36">
        <f t="shared" si="17"/>
        <v>2.4999999999999991</v>
      </c>
    </row>
    <row r="36" spans="4:32" ht="14.25" customHeight="1" outlineLevel="1" x14ac:dyDescent="0.2">
      <c r="D36" s="1">
        <v>13</v>
      </c>
      <c r="E36" s="6">
        <f t="shared" si="10"/>
        <v>34.940180679086545</v>
      </c>
      <c r="F36" s="6">
        <f t="shared" si="3"/>
        <v>1333.9427690164846</v>
      </c>
      <c r="G36" s="6">
        <f t="shared" si="3"/>
        <v>8.9792816301106466</v>
      </c>
      <c r="H36" s="1">
        <v>0.4</v>
      </c>
      <c r="I36" s="1">
        <v>1.5</v>
      </c>
      <c r="J36" s="1">
        <v>1</v>
      </c>
      <c r="M36" s="1">
        <v>13</v>
      </c>
      <c r="N36" s="6">
        <f t="shared" si="11"/>
        <v>3494.0180679086548</v>
      </c>
      <c r="O36" s="6">
        <f t="shared" si="5"/>
        <v>176340.27982346193</v>
      </c>
      <c r="P36" s="6">
        <f t="shared" si="6"/>
        <v>1346.892244516597</v>
      </c>
      <c r="Q36" s="1">
        <v>0.4</v>
      </c>
      <c r="R36" s="1">
        <v>1.5</v>
      </c>
      <c r="S36" s="1">
        <v>1</v>
      </c>
      <c r="T36" s="1">
        <v>0.8</v>
      </c>
      <c r="U36" s="1">
        <v>10</v>
      </c>
      <c r="V36" s="5">
        <f t="shared" si="7"/>
        <v>2.4999999999999991</v>
      </c>
      <c r="X36" s="1">
        <v>13</v>
      </c>
      <c r="Y36" s="6">
        <f t="shared" si="12"/>
        <v>698.80361358173093</v>
      </c>
      <c r="Z36" s="6">
        <f t="shared" si="13"/>
        <v>19593.364424829102</v>
      </c>
      <c r="AA36" s="6">
        <f t="shared" si="14"/>
        <v>1346.892244516597</v>
      </c>
      <c r="AB36" s="1">
        <f t="shared" si="15"/>
        <v>0.4</v>
      </c>
      <c r="AC36" s="1">
        <f t="shared" si="18"/>
        <v>1.5</v>
      </c>
      <c r="AD36" s="1">
        <f t="shared" si="19"/>
        <v>1</v>
      </c>
      <c r="AE36" s="1">
        <f t="shared" si="16"/>
        <v>10</v>
      </c>
      <c r="AF36" s="36">
        <f t="shared" si="17"/>
        <v>2.4999999999999991</v>
      </c>
    </row>
    <row r="37" spans="4:32" ht="14.25" customHeight="1" outlineLevel="1" x14ac:dyDescent="0.2">
      <c r="D37" s="1">
        <v>14</v>
      </c>
      <c r="E37" s="6">
        <f t="shared" si="10"/>
        <v>36.68718971304088</v>
      </c>
      <c r="F37" s="6">
        <f t="shared" si="3"/>
        <v>1400.6399074673091</v>
      </c>
      <c r="G37" s="6">
        <f t="shared" si="3"/>
        <v>9.4282457116161797</v>
      </c>
      <c r="H37" s="1">
        <v>0.4</v>
      </c>
      <c r="I37" s="1">
        <v>1.5</v>
      </c>
      <c r="J37" s="1">
        <v>1</v>
      </c>
      <c r="M37" s="1">
        <v>14</v>
      </c>
      <c r="N37" s="6">
        <f t="shared" si="11"/>
        <v>3668.718971304088</v>
      </c>
      <c r="O37" s="6">
        <f t="shared" si="5"/>
        <v>184064.85580855276</v>
      </c>
      <c r="P37" s="6">
        <f t="shared" si="6"/>
        <v>1414.2368567424269</v>
      </c>
      <c r="Q37" s="1">
        <v>0.4</v>
      </c>
      <c r="R37" s="1">
        <v>1.5</v>
      </c>
      <c r="S37" s="1">
        <v>1</v>
      </c>
      <c r="T37" s="1">
        <v>0.8</v>
      </c>
      <c r="U37" s="1">
        <v>10</v>
      </c>
      <c r="V37" s="5">
        <f t="shared" si="7"/>
        <v>2.4999999999999991</v>
      </c>
      <c r="X37" s="1">
        <v>14</v>
      </c>
      <c r="Y37" s="6">
        <f t="shared" si="12"/>
        <v>733.74379426081759</v>
      </c>
      <c r="Z37" s="6">
        <f t="shared" si="13"/>
        <v>20451.650645394751</v>
      </c>
      <c r="AA37" s="6">
        <f t="shared" si="14"/>
        <v>1414.2368567424269</v>
      </c>
      <c r="AB37" s="1">
        <f t="shared" si="15"/>
        <v>0.4</v>
      </c>
      <c r="AC37" s="1">
        <f t="shared" si="18"/>
        <v>1.5</v>
      </c>
      <c r="AD37" s="1">
        <f t="shared" si="19"/>
        <v>1</v>
      </c>
      <c r="AE37" s="1">
        <f t="shared" si="16"/>
        <v>10</v>
      </c>
      <c r="AF37" s="36">
        <f t="shared" si="17"/>
        <v>2.4999999999999991</v>
      </c>
    </row>
    <row r="38" spans="4:32" ht="14.25" customHeight="1" outlineLevel="1" x14ac:dyDescent="0.2">
      <c r="D38" s="1">
        <v>15</v>
      </c>
      <c r="E38" s="6">
        <f t="shared" si="10"/>
        <v>38.521549198692917</v>
      </c>
      <c r="F38" s="6">
        <f t="shared" si="3"/>
        <v>1470.6719028406742</v>
      </c>
      <c r="G38" s="6">
        <f t="shared" si="3"/>
        <v>9.8996579971969858</v>
      </c>
      <c r="H38" s="1">
        <v>0.4</v>
      </c>
      <c r="I38" s="1">
        <v>1.5</v>
      </c>
      <c r="J38" s="1">
        <v>1</v>
      </c>
      <c r="M38" s="1">
        <v>15</v>
      </c>
      <c r="N38" s="6">
        <f t="shared" si="11"/>
        <v>3852.1549198692919</v>
      </c>
      <c r="O38" s="6">
        <f t="shared" si="5"/>
        <v>192078.16351341395</v>
      </c>
      <c r="P38" s="6">
        <f t="shared" si="6"/>
        <v>1484.9486995795478</v>
      </c>
      <c r="Q38" s="1">
        <v>0.4</v>
      </c>
      <c r="R38" s="1">
        <v>1.5</v>
      </c>
      <c r="S38" s="1">
        <v>1</v>
      </c>
      <c r="T38" s="1">
        <v>0.8</v>
      </c>
      <c r="U38" s="1">
        <v>10</v>
      </c>
      <c r="V38" s="5">
        <f t="shared" si="7"/>
        <v>2.4999999999999996</v>
      </c>
      <c r="X38" s="1">
        <v>15</v>
      </c>
      <c r="Y38" s="6">
        <f t="shared" si="12"/>
        <v>770.43098397385836</v>
      </c>
      <c r="Z38" s="6">
        <f t="shared" si="13"/>
        <v>21342.018168157105</v>
      </c>
      <c r="AA38" s="6">
        <f t="shared" si="14"/>
        <v>1484.9486995795478</v>
      </c>
      <c r="AB38" s="1">
        <f t="shared" si="15"/>
        <v>0.4</v>
      </c>
      <c r="AC38" s="1">
        <f t="shared" si="18"/>
        <v>1.5</v>
      </c>
      <c r="AD38" s="1">
        <f t="shared" si="19"/>
        <v>1</v>
      </c>
      <c r="AE38" s="1">
        <f t="shared" si="16"/>
        <v>10</v>
      </c>
      <c r="AF38" s="36">
        <f t="shared" si="17"/>
        <v>2.4999999999999996</v>
      </c>
    </row>
    <row r="39" spans="4:32" ht="14.25" customHeight="1" outlineLevel="1" x14ac:dyDescent="0.2">
      <c r="D39" s="1">
        <v>16</v>
      </c>
      <c r="E39" s="6">
        <f t="shared" si="10"/>
        <v>40.44762665862757</v>
      </c>
      <c r="F39" s="6">
        <f t="shared" si="3"/>
        <v>1544.2054979827085</v>
      </c>
      <c r="G39" s="6">
        <f t="shared" si="3"/>
        <v>10.394640897056838</v>
      </c>
      <c r="H39" s="1">
        <v>0.4</v>
      </c>
      <c r="I39" s="1">
        <v>1.5</v>
      </c>
      <c r="J39" s="1">
        <v>1</v>
      </c>
      <c r="M39" s="1">
        <v>16</v>
      </c>
      <c r="N39" s="6">
        <f t="shared" si="11"/>
        <v>4044.7626658627573</v>
      </c>
      <c r="O39" s="6">
        <f t="shared" si="5"/>
        <v>200386.62031600942</v>
      </c>
      <c r="P39" s="6">
        <f t="shared" si="6"/>
        <v>1559.1961345585257</v>
      </c>
      <c r="Q39" s="1">
        <v>0.4</v>
      </c>
      <c r="R39" s="1">
        <v>1.5</v>
      </c>
      <c r="S39" s="1">
        <v>1</v>
      </c>
      <c r="T39" s="1">
        <v>0.8</v>
      </c>
      <c r="U39" s="1">
        <v>10</v>
      </c>
      <c r="V39" s="5">
        <f t="shared" si="7"/>
        <v>2.4999999999999991</v>
      </c>
      <c r="X39" s="1">
        <v>16</v>
      </c>
      <c r="Y39" s="6">
        <f t="shared" si="12"/>
        <v>808.95253317255151</v>
      </c>
      <c r="Z39" s="6">
        <f t="shared" si="13"/>
        <v>22265.180035112156</v>
      </c>
      <c r="AA39" s="6">
        <f t="shared" si="14"/>
        <v>1559.1961345585257</v>
      </c>
      <c r="AB39" s="1">
        <f t="shared" si="15"/>
        <v>0.4</v>
      </c>
      <c r="AC39" s="1">
        <f t="shared" si="18"/>
        <v>1.5</v>
      </c>
      <c r="AD39" s="1">
        <f t="shared" si="19"/>
        <v>1</v>
      </c>
      <c r="AE39" s="1">
        <f t="shared" si="16"/>
        <v>10</v>
      </c>
      <c r="AF39" s="36">
        <f t="shared" si="17"/>
        <v>2.4999999999999991</v>
      </c>
    </row>
    <row r="40" spans="4:32" ht="14.25" customHeight="1" outlineLevel="1" x14ac:dyDescent="0.2">
      <c r="D40" s="1">
        <v>17</v>
      </c>
      <c r="E40" s="6">
        <f t="shared" si="10"/>
        <v>42.470007991558944</v>
      </c>
      <c r="F40" s="6">
        <f t="shared" si="10"/>
        <v>1621.4157728818436</v>
      </c>
      <c r="G40" s="6">
        <f t="shared" si="10"/>
        <v>10.914372941909679</v>
      </c>
      <c r="H40" s="1">
        <v>0.4</v>
      </c>
      <c r="I40" s="1">
        <v>1.5</v>
      </c>
      <c r="J40" s="1">
        <v>1</v>
      </c>
      <c r="M40" s="1">
        <v>17</v>
      </c>
      <c r="N40" s="6">
        <f t="shared" si="11"/>
        <v>4247.0007991558941</v>
      </c>
      <c r="O40" s="6">
        <f t="shared" si="5"/>
        <v>208996.39667919595</v>
      </c>
      <c r="P40" s="6">
        <f t="shared" si="6"/>
        <v>1637.1559412864519</v>
      </c>
      <c r="Q40" s="1">
        <v>0.4</v>
      </c>
      <c r="R40" s="1">
        <v>1.5</v>
      </c>
      <c r="S40" s="1">
        <v>1</v>
      </c>
      <c r="T40" s="1">
        <v>0.8</v>
      </c>
      <c r="U40" s="1">
        <v>10</v>
      </c>
      <c r="V40" s="5">
        <f t="shared" si="7"/>
        <v>2.4999999999999996</v>
      </c>
      <c r="X40" s="1">
        <v>17</v>
      </c>
      <c r="Y40" s="6">
        <f t="shared" si="12"/>
        <v>849.40015983117883</v>
      </c>
      <c r="Z40" s="6">
        <f t="shared" si="13"/>
        <v>23221.821853243993</v>
      </c>
      <c r="AA40" s="6">
        <f t="shared" si="14"/>
        <v>1637.1559412864519</v>
      </c>
      <c r="AB40" s="1">
        <f t="shared" si="15"/>
        <v>0.4</v>
      </c>
      <c r="AC40" s="1">
        <f t="shared" si="18"/>
        <v>1.5</v>
      </c>
      <c r="AD40" s="1">
        <f t="shared" si="19"/>
        <v>1</v>
      </c>
      <c r="AE40" s="1">
        <f t="shared" si="16"/>
        <v>10</v>
      </c>
      <c r="AF40" s="36">
        <f t="shared" si="17"/>
        <v>2.4999999999999996</v>
      </c>
    </row>
    <row r="41" spans="4:32" ht="14.25" customHeight="1" outlineLevel="1" x14ac:dyDescent="0.2">
      <c r="D41" s="1">
        <v>18</v>
      </c>
      <c r="E41" s="6">
        <f t="shared" si="10"/>
        <v>44.593508391136901</v>
      </c>
      <c r="F41" s="6">
        <f t="shared" si="10"/>
        <v>1702.4865615259362</v>
      </c>
      <c r="G41" s="6">
        <f t="shared" si="10"/>
        <v>11.460091589005167</v>
      </c>
      <c r="H41" s="1">
        <v>0.4</v>
      </c>
      <c r="I41" s="1">
        <v>1.5</v>
      </c>
      <c r="J41" s="1">
        <v>1</v>
      </c>
      <c r="M41" s="1">
        <v>18</v>
      </c>
      <c r="N41" s="6">
        <f t="shared" si="11"/>
        <v>4459.3508391136902</v>
      </c>
      <c r="O41" s="6">
        <f t="shared" si="5"/>
        <v>217913.37558823382</v>
      </c>
      <c r="P41" s="6">
        <f t="shared" si="6"/>
        <v>1719.0137383507749</v>
      </c>
      <c r="Q41" s="1">
        <v>0.4</v>
      </c>
      <c r="R41" s="1">
        <v>1.5</v>
      </c>
      <c r="S41" s="1">
        <v>1</v>
      </c>
      <c r="T41" s="1">
        <v>0.8</v>
      </c>
      <c r="U41" s="1">
        <v>10</v>
      </c>
      <c r="V41" s="5">
        <f t="shared" si="7"/>
        <v>2.4999999999999991</v>
      </c>
      <c r="X41" s="1">
        <v>18</v>
      </c>
      <c r="Y41" s="6">
        <f t="shared" si="12"/>
        <v>891.87016782273804</v>
      </c>
      <c r="Z41" s="6">
        <f t="shared" si="13"/>
        <v>24212.597287581535</v>
      </c>
      <c r="AA41" s="6">
        <f t="shared" si="14"/>
        <v>1719.0137383507749</v>
      </c>
      <c r="AB41" s="1">
        <f t="shared" si="15"/>
        <v>0.4</v>
      </c>
      <c r="AC41" s="1">
        <f t="shared" si="18"/>
        <v>1.5</v>
      </c>
      <c r="AD41" s="1">
        <f t="shared" si="19"/>
        <v>1</v>
      </c>
      <c r="AE41" s="1">
        <f t="shared" si="16"/>
        <v>10</v>
      </c>
      <c r="AF41" s="36">
        <f t="shared" si="17"/>
        <v>2.4999999999999991</v>
      </c>
    </row>
    <row r="42" spans="4:32" ht="14.25" customHeight="1" outlineLevel="1" x14ac:dyDescent="0.2">
      <c r="D42" s="1">
        <v>19</v>
      </c>
      <c r="E42" s="6">
        <f t="shared" si="10"/>
        <v>46.823183810693742</v>
      </c>
      <c r="F42" s="6">
        <f t="shared" si="10"/>
        <v>1787.6108896022329</v>
      </c>
      <c r="G42" s="6">
        <f t="shared" si="10"/>
        <v>12.033096168455424</v>
      </c>
      <c r="H42" s="1">
        <v>0.4</v>
      </c>
      <c r="I42" s="1">
        <v>1.5</v>
      </c>
      <c r="J42" s="1">
        <v>1</v>
      </c>
      <c r="M42" s="1">
        <v>19</v>
      </c>
      <c r="N42" s="6">
        <f t="shared" si="11"/>
        <v>4682.3183810693754</v>
      </c>
      <c r="O42" s="6">
        <f t="shared" si="5"/>
        <v>227143.11011931777</v>
      </c>
      <c r="P42" s="6">
        <f t="shared" si="6"/>
        <v>1804.9644252683136</v>
      </c>
      <c r="Q42" s="1">
        <v>0.4</v>
      </c>
      <c r="R42" s="1">
        <v>1.5</v>
      </c>
      <c r="S42" s="1">
        <v>1</v>
      </c>
      <c r="T42" s="1">
        <v>0.8</v>
      </c>
      <c r="U42" s="1">
        <v>10</v>
      </c>
      <c r="V42" s="5">
        <f t="shared" si="7"/>
        <v>2.4999999999999987</v>
      </c>
      <c r="X42" s="1">
        <v>19</v>
      </c>
      <c r="Y42" s="6">
        <f t="shared" si="12"/>
        <v>936.46367621387503</v>
      </c>
      <c r="Z42" s="6">
        <f t="shared" si="13"/>
        <v>25238.123346590863</v>
      </c>
      <c r="AA42" s="6">
        <f t="shared" si="14"/>
        <v>1804.9644252683136</v>
      </c>
      <c r="AB42" s="1">
        <f t="shared" si="15"/>
        <v>0.4</v>
      </c>
      <c r="AC42" s="1">
        <f t="shared" si="18"/>
        <v>1.5</v>
      </c>
      <c r="AD42" s="1">
        <f t="shared" si="19"/>
        <v>1</v>
      </c>
      <c r="AE42" s="1">
        <f t="shared" si="16"/>
        <v>10</v>
      </c>
      <c r="AF42" s="36">
        <f t="shared" si="17"/>
        <v>2.4999999999999987</v>
      </c>
    </row>
    <row r="43" spans="4:32" ht="14.25" customHeight="1" outlineLevel="1" x14ac:dyDescent="0.2">
      <c r="D43" s="1">
        <v>20</v>
      </c>
      <c r="E43" s="6">
        <f t="shared" si="10"/>
        <v>49.164343001228431</v>
      </c>
      <c r="F43" s="6">
        <f t="shared" si="10"/>
        <v>1876.9914340823445</v>
      </c>
      <c r="G43" s="6">
        <f t="shared" si="10"/>
        <v>12.634750976878195</v>
      </c>
      <c r="H43" s="1">
        <v>0.4</v>
      </c>
      <c r="I43" s="1">
        <v>1.5</v>
      </c>
      <c r="J43" s="1">
        <v>1</v>
      </c>
      <c r="M43" s="1">
        <v>20</v>
      </c>
      <c r="N43" s="6">
        <f t="shared" si="11"/>
        <v>4916.4343001228444</v>
      </c>
      <c r="O43" s="6">
        <f t="shared" si="5"/>
        <v>236690.77928963501</v>
      </c>
      <c r="P43" s="6">
        <f t="shared" si="6"/>
        <v>1895.2126465317292</v>
      </c>
      <c r="Q43" s="1">
        <v>0.4</v>
      </c>
      <c r="R43" s="1">
        <v>1.5</v>
      </c>
      <c r="S43" s="1">
        <v>1</v>
      </c>
      <c r="T43" s="1">
        <v>0.8</v>
      </c>
      <c r="U43" s="1">
        <v>10</v>
      </c>
      <c r="V43" s="5">
        <f t="shared" si="7"/>
        <v>2.4999999999999991</v>
      </c>
      <c r="X43" s="1">
        <v>20</v>
      </c>
      <c r="Y43" s="6">
        <f t="shared" si="12"/>
        <v>983.28686002456891</v>
      </c>
      <c r="Z43" s="6">
        <f t="shared" si="13"/>
        <v>26298.975476626114</v>
      </c>
      <c r="AA43" s="6">
        <f t="shared" si="14"/>
        <v>1895.2126465317292</v>
      </c>
      <c r="AB43" s="1">
        <f t="shared" si="15"/>
        <v>0.4</v>
      </c>
      <c r="AC43" s="1">
        <f t="shared" si="18"/>
        <v>1.5</v>
      </c>
      <c r="AD43" s="1">
        <f t="shared" si="19"/>
        <v>1</v>
      </c>
      <c r="AE43" s="1">
        <f t="shared" si="16"/>
        <v>10</v>
      </c>
      <c r="AF43" s="36">
        <f t="shared" si="17"/>
        <v>2.4999999999999991</v>
      </c>
    </row>
    <row r="44" spans="4:32" ht="14.25" customHeight="1" outlineLevel="1" x14ac:dyDescent="0.2">
      <c r="D44" s="1">
        <v>21</v>
      </c>
      <c r="E44" s="6">
        <f t="shared" si="10"/>
        <v>51.622560151289854</v>
      </c>
      <c r="F44" s="6">
        <f t="shared" si="10"/>
        <v>1970.8410057864617</v>
      </c>
      <c r="G44" s="6">
        <f t="shared" si="10"/>
        <v>13.266488525722105</v>
      </c>
      <c r="H44" s="1">
        <v>0.4</v>
      </c>
      <c r="I44" s="1">
        <v>1.5</v>
      </c>
      <c r="J44" s="1">
        <v>1</v>
      </c>
      <c r="M44" s="1">
        <v>21</v>
      </c>
      <c r="N44" s="6">
        <f t="shared" si="11"/>
        <v>5162.2560151289863</v>
      </c>
      <c r="O44" s="6">
        <f t="shared" si="5"/>
        <v>246561.14237488838</v>
      </c>
      <c r="P44" s="6">
        <f t="shared" si="6"/>
        <v>1989.9732788583158</v>
      </c>
      <c r="Q44" s="1">
        <v>0.4</v>
      </c>
      <c r="R44" s="1">
        <v>1.5</v>
      </c>
      <c r="S44" s="1">
        <v>1</v>
      </c>
      <c r="T44" s="1">
        <v>0.8</v>
      </c>
      <c r="U44" s="1">
        <v>10</v>
      </c>
      <c r="V44" s="5">
        <f t="shared" si="7"/>
        <v>2.4999999999999991</v>
      </c>
      <c r="X44" s="1">
        <v>21</v>
      </c>
      <c r="Y44" s="6">
        <f t="shared" si="12"/>
        <v>1032.4512030257972</v>
      </c>
      <c r="Z44" s="6">
        <f t="shared" si="13"/>
        <v>27395.682486098711</v>
      </c>
      <c r="AA44" s="6">
        <f t="shared" si="14"/>
        <v>1989.9732788583158</v>
      </c>
      <c r="AB44" s="1">
        <f t="shared" si="15"/>
        <v>0.4</v>
      </c>
      <c r="AC44" s="1">
        <f t="shared" si="18"/>
        <v>1.5</v>
      </c>
      <c r="AD44" s="1">
        <f t="shared" si="19"/>
        <v>1</v>
      </c>
      <c r="AE44" s="1">
        <f t="shared" si="16"/>
        <v>10</v>
      </c>
      <c r="AF44" s="36">
        <f t="shared" si="17"/>
        <v>2.4999999999999991</v>
      </c>
    </row>
    <row r="45" spans="4:32" ht="14.25" customHeight="1" outlineLevel="1" x14ac:dyDescent="0.2">
      <c r="D45" s="1">
        <v>22</v>
      </c>
      <c r="E45" s="6">
        <f t="shared" si="10"/>
        <v>54.203688158854341</v>
      </c>
      <c r="F45" s="6">
        <f t="shared" si="10"/>
        <v>2069.3830560757847</v>
      </c>
      <c r="G45" s="6">
        <f t="shared" si="10"/>
        <v>13.929812952008209</v>
      </c>
      <c r="H45" s="1">
        <v>0.4</v>
      </c>
      <c r="I45" s="1">
        <v>1.5</v>
      </c>
      <c r="J45" s="1">
        <v>1</v>
      </c>
      <c r="M45" s="1">
        <v>22</v>
      </c>
      <c r="N45" s="6">
        <f t="shared" si="11"/>
        <v>5420.3688158854347</v>
      </c>
      <c r="O45" s="6">
        <f t="shared" si="5"/>
        <v>256758.49191759134</v>
      </c>
      <c r="P45" s="6">
        <f t="shared" si="6"/>
        <v>2089.4719428012313</v>
      </c>
      <c r="Q45" s="1">
        <v>0.4</v>
      </c>
      <c r="R45" s="1">
        <v>1.5</v>
      </c>
      <c r="S45" s="1">
        <v>1</v>
      </c>
      <c r="T45" s="1">
        <v>0.8</v>
      </c>
      <c r="U45" s="1">
        <v>10</v>
      </c>
      <c r="V45" s="5">
        <f t="shared" si="7"/>
        <v>2.4999999999999991</v>
      </c>
      <c r="X45" s="1">
        <v>22</v>
      </c>
      <c r="Y45" s="6">
        <f t="shared" si="12"/>
        <v>1084.0737631770869</v>
      </c>
      <c r="Z45" s="6">
        <f t="shared" si="13"/>
        <v>28528.721324176815</v>
      </c>
      <c r="AA45" s="6">
        <f t="shared" si="14"/>
        <v>2089.4719428012313</v>
      </c>
      <c r="AB45" s="1">
        <f t="shared" si="15"/>
        <v>0.4</v>
      </c>
      <c r="AC45" s="1">
        <f t="shared" si="18"/>
        <v>1.5</v>
      </c>
      <c r="AD45" s="1">
        <f t="shared" si="19"/>
        <v>1</v>
      </c>
      <c r="AE45" s="1">
        <f t="shared" si="16"/>
        <v>10</v>
      </c>
      <c r="AF45" s="36">
        <f t="shared" si="17"/>
        <v>2.4999999999999991</v>
      </c>
    </row>
    <row r="46" spans="4:32" ht="14.25" customHeight="1" outlineLevel="1" x14ac:dyDescent="0.2">
      <c r="D46" s="1">
        <v>23</v>
      </c>
      <c r="E46" s="6">
        <f t="shared" si="10"/>
        <v>56.913872566797053</v>
      </c>
      <c r="F46" s="6">
        <f t="shared" si="10"/>
        <v>2172.8522088795739</v>
      </c>
      <c r="G46" s="6">
        <f t="shared" si="10"/>
        <v>14.626303599608619</v>
      </c>
      <c r="H46" s="1">
        <v>0.4</v>
      </c>
      <c r="I46" s="1">
        <v>1.5</v>
      </c>
      <c r="J46" s="1">
        <v>1</v>
      </c>
      <c r="M46" s="1">
        <v>23</v>
      </c>
      <c r="N46" s="6">
        <f t="shared" si="11"/>
        <v>5691.3872566797063</v>
      </c>
      <c r="O46" s="6">
        <f t="shared" si="5"/>
        <v>267286.6056883384</v>
      </c>
      <c r="P46" s="6">
        <f t="shared" si="6"/>
        <v>2193.9455399412927</v>
      </c>
      <c r="Q46" s="1">
        <v>0.4</v>
      </c>
      <c r="R46" s="1">
        <v>1.5</v>
      </c>
      <c r="S46" s="1">
        <v>1</v>
      </c>
      <c r="T46" s="1">
        <v>0.8</v>
      </c>
      <c r="U46" s="1">
        <v>10</v>
      </c>
      <c r="V46" s="5">
        <f t="shared" si="7"/>
        <v>2.4999999999999987</v>
      </c>
      <c r="X46" s="1">
        <v>23</v>
      </c>
      <c r="Y46" s="6">
        <f t="shared" si="12"/>
        <v>1138.2774513359414</v>
      </c>
      <c r="Z46" s="6">
        <f t="shared" si="13"/>
        <v>29698.511743148712</v>
      </c>
      <c r="AA46" s="6">
        <f t="shared" si="14"/>
        <v>2193.9455399412927</v>
      </c>
      <c r="AB46" s="1">
        <f t="shared" si="15"/>
        <v>0.4</v>
      </c>
      <c r="AC46" s="1">
        <f t="shared" si="18"/>
        <v>1.5</v>
      </c>
      <c r="AD46" s="1">
        <f t="shared" si="19"/>
        <v>1</v>
      </c>
      <c r="AE46" s="1">
        <f t="shared" si="16"/>
        <v>10</v>
      </c>
      <c r="AF46" s="36">
        <f t="shared" si="17"/>
        <v>2.4999999999999987</v>
      </c>
    </row>
    <row r="47" spans="4:32" ht="14.25" customHeight="1" outlineLevel="1" x14ac:dyDescent="0.2">
      <c r="D47" s="1">
        <v>24</v>
      </c>
      <c r="E47" s="6">
        <f t="shared" si="10"/>
        <v>59.759566195136919</v>
      </c>
      <c r="F47" s="6">
        <f t="shared" si="10"/>
        <v>2281.4948193235527</v>
      </c>
      <c r="G47" s="6">
        <f t="shared" si="10"/>
        <v>15.357618779589053</v>
      </c>
      <c r="H47" s="1">
        <v>0.4</v>
      </c>
      <c r="I47" s="1">
        <v>1.5</v>
      </c>
      <c r="J47" s="1">
        <v>1</v>
      </c>
      <c r="M47" s="1">
        <v>24</v>
      </c>
      <c r="N47" s="6">
        <f t="shared" si="11"/>
        <v>5975.9566195136922</v>
      </c>
      <c r="O47" s="6">
        <f t="shared" si="5"/>
        <v>278148.69790221372</v>
      </c>
      <c r="P47" s="6">
        <f t="shared" si="6"/>
        <v>2303.642816938358</v>
      </c>
      <c r="Q47" s="1">
        <v>0.4</v>
      </c>
      <c r="R47" s="1">
        <v>1.5</v>
      </c>
      <c r="S47" s="1">
        <v>1</v>
      </c>
      <c r="T47" s="1">
        <v>0.8</v>
      </c>
      <c r="U47" s="1">
        <v>10</v>
      </c>
      <c r="V47" s="5">
        <f t="shared" si="7"/>
        <v>2.4999999999999991</v>
      </c>
      <c r="X47" s="1">
        <v>24</v>
      </c>
      <c r="Y47" s="6">
        <f t="shared" si="12"/>
        <v>1195.1913239027385</v>
      </c>
      <c r="Z47" s="6">
        <f t="shared" si="13"/>
        <v>30905.410878023748</v>
      </c>
      <c r="AA47" s="6">
        <f t="shared" si="14"/>
        <v>2303.642816938358</v>
      </c>
      <c r="AB47" s="1">
        <f t="shared" si="15"/>
        <v>0.4</v>
      </c>
      <c r="AC47" s="1">
        <f t="shared" si="18"/>
        <v>1.5</v>
      </c>
      <c r="AD47" s="1">
        <f t="shared" si="19"/>
        <v>1</v>
      </c>
      <c r="AE47" s="1">
        <f t="shared" si="16"/>
        <v>10</v>
      </c>
      <c r="AF47" s="36">
        <f t="shared" si="17"/>
        <v>2.4999999999999991</v>
      </c>
    </row>
    <row r="48" spans="4:32" ht="14.25" customHeight="1" outlineLevel="1" x14ac:dyDescent="0.2">
      <c r="D48" s="1">
        <v>25</v>
      </c>
      <c r="E48" s="6">
        <f t="shared" si="10"/>
        <v>62.74754450489376</v>
      </c>
      <c r="F48" s="6">
        <f t="shared" si="10"/>
        <v>2395.5695602897304</v>
      </c>
      <c r="G48" s="6">
        <f t="shared" si="10"/>
        <v>16.125499718568502</v>
      </c>
      <c r="H48" s="1">
        <v>0.4</v>
      </c>
      <c r="I48" s="1">
        <v>1.5</v>
      </c>
      <c r="J48" s="1">
        <v>1</v>
      </c>
      <c r="M48" s="1">
        <v>25</v>
      </c>
      <c r="N48" s="6">
        <f t="shared" si="11"/>
        <v>6274.7544504893758</v>
      </c>
      <c r="O48" s="6">
        <f t="shared" si="5"/>
        <v>289347.37003293913</v>
      </c>
      <c r="P48" s="6">
        <f t="shared" si="6"/>
        <v>2418.8249577852753</v>
      </c>
      <c r="Q48" s="1">
        <v>0.4</v>
      </c>
      <c r="R48" s="1">
        <v>1.5</v>
      </c>
      <c r="S48" s="1">
        <v>1</v>
      </c>
      <c r="T48" s="1">
        <v>0.8</v>
      </c>
      <c r="U48" s="1">
        <v>10</v>
      </c>
      <c r="V48" s="5">
        <f t="shared" si="7"/>
        <v>2.5</v>
      </c>
      <c r="X48" s="1">
        <v>25</v>
      </c>
      <c r="Y48" s="6">
        <f t="shared" si="12"/>
        <v>1254.9508900978751</v>
      </c>
      <c r="Z48" s="6">
        <f t="shared" si="13"/>
        <v>32149.707781437683</v>
      </c>
      <c r="AA48" s="6">
        <f t="shared" si="14"/>
        <v>2418.8249577852753</v>
      </c>
      <c r="AB48" s="1">
        <f t="shared" si="15"/>
        <v>0.4</v>
      </c>
      <c r="AC48" s="1">
        <f t="shared" si="18"/>
        <v>1.5</v>
      </c>
      <c r="AD48" s="1">
        <f t="shared" si="19"/>
        <v>1</v>
      </c>
      <c r="AE48" s="1">
        <f t="shared" si="16"/>
        <v>10</v>
      </c>
      <c r="AF48" s="36">
        <f t="shared" si="17"/>
        <v>2.5</v>
      </c>
    </row>
    <row r="49" spans="4:32" ht="14.25" customHeight="1" outlineLevel="1" x14ac:dyDescent="0.2">
      <c r="D49" s="1">
        <v>26</v>
      </c>
      <c r="E49" s="6">
        <f t="shared" si="10"/>
        <v>65.884921730138444</v>
      </c>
      <c r="F49" s="6">
        <f t="shared" si="10"/>
        <v>2515.348038304217</v>
      </c>
      <c r="G49" s="6">
        <f t="shared" si="10"/>
        <v>16.931774704496931</v>
      </c>
      <c r="H49" s="1">
        <v>0.4</v>
      </c>
      <c r="I49" s="1">
        <v>1.5</v>
      </c>
      <c r="J49" s="1">
        <v>1</v>
      </c>
      <c r="M49" s="1">
        <v>26</v>
      </c>
      <c r="N49" s="6">
        <f t="shared" si="11"/>
        <v>6588.4921730138449</v>
      </c>
      <c r="O49" s="6">
        <f t="shared" si="5"/>
        <v>300884.56160761142</v>
      </c>
      <c r="P49" s="6">
        <f t="shared" si="6"/>
        <v>2539.7662056745398</v>
      </c>
      <c r="Q49" s="1">
        <v>0.4</v>
      </c>
      <c r="R49" s="1">
        <v>1.5</v>
      </c>
      <c r="S49" s="1">
        <v>1</v>
      </c>
      <c r="T49" s="1">
        <v>0.8</v>
      </c>
      <c r="U49" s="1">
        <v>10</v>
      </c>
      <c r="V49" s="5">
        <f t="shared" si="7"/>
        <v>2.4999999999999996</v>
      </c>
      <c r="X49" s="1">
        <v>26</v>
      </c>
      <c r="Y49" s="6">
        <f t="shared" si="12"/>
        <v>1317.6984346027689</v>
      </c>
      <c r="Z49" s="6">
        <f t="shared" si="13"/>
        <v>33431.617956401271</v>
      </c>
      <c r="AA49" s="6">
        <f t="shared" si="14"/>
        <v>2539.7662056745398</v>
      </c>
      <c r="AB49" s="1">
        <f t="shared" si="15"/>
        <v>0.4</v>
      </c>
      <c r="AC49" s="1">
        <f t="shared" si="18"/>
        <v>1.5</v>
      </c>
      <c r="AD49" s="1">
        <f t="shared" si="19"/>
        <v>1</v>
      </c>
      <c r="AE49" s="1">
        <f t="shared" si="16"/>
        <v>10</v>
      </c>
      <c r="AF49" s="36">
        <f t="shared" si="17"/>
        <v>2.4999999999999996</v>
      </c>
    </row>
    <row r="50" spans="4:32" ht="14.25" customHeight="1" outlineLevel="1" x14ac:dyDescent="0.2">
      <c r="D50" s="1">
        <v>27</v>
      </c>
      <c r="E50" s="6">
        <f t="shared" si="10"/>
        <v>69.179167816645375</v>
      </c>
      <c r="F50" s="6">
        <f t="shared" si="10"/>
        <v>2641.1154402194279</v>
      </c>
      <c r="G50" s="6">
        <f t="shared" si="10"/>
        <v>17.778363439721776</v>
      </c>
      <c r="H50" s="1">
        <v>0.4</v>
      </c>
      <c r="I50" s="1">
        <v>1.5</v>
      </c>
      <c r="J50" s="1">
        <v>1</v>
      </c>
      <c r="M50" s="1">
        <v>27</v>
      </c>
      <c r="N50" s="6">
        <f t="shared" si="11"/>
        <v>6917.9167816645386</v>
      </c>
      <c r="O50" s="6">
        <f t="shared" si="5"/>
        <v>312761.50140416872</v>
      </c>
      <c r="P50" s="6">
        <f t="shared" si="6"/>
        <v>2666.7545159582664</v>
      </c>
      <c r="Q50" s="1">
        <v>0.4</v>
      </c>
      <c r="R50" s="1">
        <v>1.5</v>
      </c>
      <c r="S50" s="1">
        <v>1</v>
      </c>
      <c r="T50" s="1">
        <v>0.8</v>
      </c>
      <c r="U50" s="1">
        <v>10</v>
      </c>
      <c r="V50" s="5">
        <f t="shared" si="7"/>
        <v>2.4999999999999991</v>
      </c>
      <c r="X50" s="1">
        <v>27</v>
      </c>
      <c r="Y50" s="6">
        <f t="shared" si="12"/>
        <v>1383.5833563329077</v>
      </c>
      <c r="Z50" s="6">
        <f t="shared" si="13"/>
        <v>34751.277933796526</v>
      </c>
      <c r="AA50" s="6">
        <f t="shared" si="14"/>
        <v>2666.7545159582664</v>
      </c>
      <c r="AB50" s="1">
        <f t="shared" si="15"/>
        <v>0.4</v>
      </c>
      <c r="AC50" s="1">
        <f t="shared" si="18"/>
        <v>1.5</v>
      </c>
      <c r="AD50" s="1">
        <f t="shared" si="19"/>
        <v>1</v>
      </c>
      <c r="AE50" s="1">
        <f t="shared" si="16"/>
        <v>10</v>
      </c>
      <c r="AF50" s="36">
        <f t="shared" si="17"/>
        <v>2.4999999999999991</v>
      </c>
    </row>
    <row r="51" spans="4:32" ht="14.25" customHeight="1" outlineLevel="1" x14ac:dyDescent="0.2">
      <c r="D51" s="1">
        <v>28</v>
      </c>
      <c r="E51" s="6">
        <f t="shared" si="10"/>
        <v>72.638126207477654</v>
      </c>
      <c r="F51" s="6">
        <f t="shared" si="10"/>
        <v>2773.1712122303993</v>
      </c>
      <c r="G51" s="6">
        <f t="shared" si="10"/>
        <v>18.667281611707867</v>
      </c>
      <c r="H51" s="1">
        <v>0.4</v>
      </c>
      <c r="I51" s="1">
        <v>1.5</v>
      </c>
      <c r="J51" s="1">
        <v>1</v>
      </c>
      <c r="M51" s="1">
        <v>28</v>
      </c>
      <c r="N51" s="6">
        <f t="shared" si="11"/>
        <v>7263.8126207477662</v>
      </c>
      <c r="O51" s="6">
        <f t="shared" si="5"/>
        <v>324978.65951119724</v>
      </c>
      <c r="P51" s="6">
        <f t="shared" si="6"/>
        <v>2800.0922417561801</v>
      </c>
      <c r="Q51" s="1">
        <v>0.4</v>
      </c>
      <c r="R51" s="1">
        <v>1.5</v>
      </c>
      <c r="S51" s="1">
        <v>1</v>
      </c>
      <c r="T51" s="1">
        <v>0.8</v>
      </c>
      <c r="U51" s="1">
        <v>10</v>
      </c>
      <c r="V51" s="5">
        <f t="shared" si="7"/>
        <v>2.4999999999999996</v>
      </c>
      <c r="X51" s="1">
        <v>28</v>
      </c>
      <c r="Y51" s="6">
        <f t="shared" si="12"/>
        <v>1452.7625241495532</v>
      </c>
      <c r="Z51" s="6">
        <f t="shared" si="13"/>
        <v>36108.739945688583</v>
      </c>
      <c r="AA51" s="6">
        <f t="shared" si="14"/>
        <v>2800.0922417561801</v>
      </c>
      <c r="AB51" s="1">
        <f t="shared" si="15"/>
        <v>0.4</v>
      </c>
      <c r="AC51" s="1">
        <f t="shared" si="18"/>
        <v>1.5</v>
      </c>
      <c r="AD51" s="1">
        <f t="shared" si="19"/>
        <v>1</v>
      </c>
      <c r="AE51" s="1">
        <f t="shared" si="16"/>
        <v>10</v>
      </c>
      <c r="AF51" s="36">
        <f t="shared" si="17"/>
        <v>2.4999999999999996</v>
      </c>
    </row>
    <row r="52" spans="4:32" ht="14.25" customHeight="1" outlineLevel="1" x14ac:dyDescent="0.2">
      <c r="D52" s="1">
        <v>29</v>
      </c>
      <c r="E52" s="6">
        <f t="shared" si="10"/>
        <v>76.270032517851519</v>
      </c>
      <c r="F52" s="6">
        <f t="shared" si="10"/>
        <v>2911.8297728419188</v>
      </c>
      <c r="G52" s="6">
        <f t="shared" si="10"/>
        <v>19.600645692293256</v>
      </c>
      <c r="H52" s="1">
        <v>0.4</v>
      </c>
      <c r="I52" s="1">
        <v>1.5</v>
      </c>
      <c r="J52" s="1">
        <v>1</v>
      </c>
      <c r="M52" s="1">
        <v>29</v>
      </c>
      <c r="N52" s="6">
        <f t="shared" si="11"/>
        <v>7627.0032517851532</v>
      </c>
      <c r="O52" s="6">
        <f t="shared" si="5"/>
        <v>337535.70074441872</v>
      </c>
      <c r="P52" s="6">
        <f t="shared" si="6"/>
        <v>2940.0968538439884</v>
      </c>
      <c r="Q52" s="1">
        <v>0.4</v>
      </c>
      <c r="R52" s="1">
        <v>1.5</v>
      </c>
      <c r="S52" s="1">
        <v>1</v>
      </c>
      <c r="T52" s="1">
        <v>0.8</v>
      </c>
      <c r="U52" s="1">
        <v>10</v>
      </c>
      <c r="V52" s="5">
        <f t="shared" si="7"/>
        <v>2.4999999999999987</v>
      </c>
      <c r="X52" s="1">
        <v>29</v>
      </c>
      <c r="Y52" s="6">
        <f t="shared" si="12"/>
        <v>1525.4006503570306</v>
      </c>
      <c r="Z52" s="6">
        <f t="shared" si="13"/>
        <v>37503.966749379855</v>
      </c>
      <c r="AA52" s="6">
        <f t="shared" si="14"/>
        <v>2940.0968538439884</v>
      </c>
      <c r="AB52" s="1">
        <f t="shared" si="15"/>
        <v>0.4</v>
      </c>
      <c r="AC52" s="1">
        <f t="shared" si="18"/>
        <v>1.5</v>
      </c>
      <c r="AD52" s="1">
        <f t="shared" si="19"/>
        <v>1</v>
      </c>
      <c r="AE52" s="1">
        <f t="shared" si="16"/>
        <v>10</v>
      </c>
      <c r="AF52" s="36">
        <f t="shared" si="17"/>
        <v>2.4999999999999987</v>
      </c>
    </row>
    <row r="53" spans="4:32" ht="14.25" customHeight="1" outlineLevel="1" x14ac:dyDescent="0.2">
      <c r="D53" s="1">
        <v>30</v>
      </c>
      <c r="E53" s="6">
        <f t="shared" si="10"/>
        <v>80.083534143744117</v>
      </c>
      <c r="F53" s="6">
        <f t="shared" si="10"/>
        <v>3057.4212614840153</v>
      </c>
      <c r="G53" s="6">
        <f t="shared" si="10"/>
        <v>20.580677976907925</v>
      </c>
      <c r="H53" s="1">
        <v>0.4</v>
      </c>
      <c r="I53" s="1">
        <v>1.5</v>
      </c>
      <c r="J53" s="1">
        <v>1</v>
      </c>
      <c r="M53" s="1">
        <v>30</v>
      </c>
      <c r="N53" s="6">
        <f t="shared" si="11"/>
        <v>8008.3534143744118</v>
      </c>
      <c r="O53" s="6">
        <f t="shared" si="5"/>
        <v>350431.43994516769</v>
      </c>
      <c r="P53" s="6">
        <f t="shared" si="6"/>
        <v>3087.1016965361887</v>
      </c>
      <c r="Q53" s="1">
        <v>0.4</v>
      </c>
      <c r="R53" s="1">
        <v>1.5</v>
      </c>
      <c r="S53" s="1">
        <v>1</v>
      </c>
      <c r="T53" s="1">
        <v>0.8</v>
      </c>
      <c r="U53" s="1">
        <v>10</v>
      </c>
      <c r="V53" s="5">
        <f t="shared" si="7"/>
        <v>2.4999999999999991</v>
      </c>
      <c r="X53" s="1">
        <v>30</v>
      </c>
      <c r="Y53" s="6">
        <f t="shared" si="12"/>
        <v>1601.6706828748825</v>
      </c>
      <c r="Z53" s="6">
        <f t="shared" si="13"/>
        <v>38936.826660574188</v>
      </c>
      <c r="AA53" s="6">
        <f t="shared" si="14"/>
        <v>3087.1016965361887</v>
      </c>
      <c r="AB53" s="1">
        <f t="shared" si="15"/>
        <v>0.4</v>
      </c>
      <c r="AC53" s="1">
        <f t="shared" si="18"/>
        <v>1.5</v>
      </c>
      <c r="AD53" s="1">
        <f t="shared" si="19"/>
        <v>1</v>
      </c>
      <c r="AE53" s="1">
        <f t="shared" si="16"/>
        <v>10</v>
      </c>
      <c r="AF53" s="36">
        <f t="shared" si="17"/>
        <v>2.4999999999999991</v>
      </c>
    </row>
    <row r="54" spans="4:32" ht="14.25" customHeight="1" outlineLevel="1" x14ac:dyDescent="0.2">
      <c r="D54" s="1">
        <v>31</v>
      </c>
      <c r="E54" s="6">
        <f t="shared" si="10"/>
        <v>84.087710850931288</v>
      </c>
      <c r="F54" s="6">
        <f t="shared" si="10"/>
        <v>3210.2923245582151</v>
      </c>
      <c r="G54" s="6">
        <f t="shared" si="10"/>
        <v>21.609711875753312</v>
      </c>
      <c r="H54" s="1">
        <v>0.4</v>
      </c>
      <c r="I54" s="1">
        <v>1.5</v>
      </c>
      <c r="J54" s="1">
        <v>1</v>
      </c>
      <c r="M54" s="1">
        <v>31</v>
      </c>
      <c r="N54" s="6">
        <f t="shared" si="11"/>
        <v>8408.7710850931289</v>
      </c>
      <c r="O54" s="6">
        <f t="shared" si="5"/>
        <v>363663.79971234931</v>
      </c>
      <c r="P54" s="6">
        <f t="shared" si="6"/>
        <v>3241.4567813629969</v>
      </c>
      <c r="Q54" s="1">
        <v>0.4</v>
      </c>
      <c r="R54" s="1">
        <v>1.5</v>
      </c>
      <c r="S54" s="1">
        <v>1</v>
      </c>
      <c r="T54" s="1">
        <v>0.8</v>
      </c>
      <c r="U54" s="1">
        <v>10</v>
      </c>
      <c r="V54" s="5">
        <f t="shared" si="7"/>
        <v>2.5</v>
      </c>
      <c r="X54" s="1">
        <v>31</v>
      </c>
      <c r="Y54" s="6">
        <f t="shared" si="12"/>
        <v>1681.7542170186257</v>
      </c>
      <c r="Z54" s="6">
        <f t="shared" si="13"/>
        <v>40407.088856927701</v>
      </c>
      <c r="AA54" s="6">
        <f t="shared" si="14"/>
        <v>3241.4567813629969</v>
      </c>
      <c r="AB54" s="1">
        <f t="shared" si="15"/>
        <v>0.4</v>
      </c>
      <c r="AC54" s="1">
        <f t="shared" si="18"/>
        <v>1.5</v>
      </c>
      <c r="AD54" s="1">
        <f t="shared" si="19"/>
        <v>1</v>
      </c>
      <c r="AE54" s="1">
        <f t="shared" si="16"/>
        <v>10</v>
      </c>
      <c r="AF54" s="36">
        <f t="shared" si="17"/>
        <v>2.5</v>
      </c>
    </row>
    <row r="55" spans="4:32" ht="14.25" customHeight="1" outlineLevel="1" x14ac:dyDescent="0.2">
      <c r="D55" s="1">
        <v>32</v>
      </c>
      <c r="E55" s="6">
        <f t="shared" si="10"/>
        <v>88.292096393477891</v>
      </c>
      <c r="F55" s="6">
        <f t="shared" si="10"/>
        <v>3370.8069407861271</v>
      </c>
      <c r="G55" s="6">
        <f t="shared" si="10"/>
        <v>22.690197469540987</v>
      </c>
      <c r="H55" s="1">
        <v>0.4</v>
      </c>
      <c r="I55" s="1">
        <v>1.5</v>
      </c>
      <c r="J55" s="1">
        <v>1</v>
      </c>
      <c r="M55" s="1">
        <v>32</v>
      </c>
      <c r="N55" s="6">
        <f t="shared" si="11"/>
        <v>8829.2096393477896</v>
      </c>
      <c r="O55" s="6">
        <f t="shared" si="5"/>
        <v>377229.77113968204</v>
      </c>
      <c r="P55" s="6">
        <f t="shared" si="6"/>
        <v>3403.529620431148</v>
      </c>
      <c r="Q55" s="1">
        <v>0.4</v>
      </c>
      <c r="R55" s="1">
        <v>1.5</v>
      </c>
      <c r="S55" s="1">
        <v>1</v>
      </c>
      <c r="T55" s="1">
        <v>0.8</v>
      </c>
      <c r="U55" s="1">
        <v>10</v>
      </c>
      <c r="V55" s="5">
        <f t="shared" si="7"/>
        <v>2.4999999999999991</v>
      </c>
      <c r="X55" s="1">
        <v>32</v>
      </c>
      <c r="Y55" s="6">
        <f t="shared" si="12"/>
        <v>1765.8419278695578</v>
      </c>
      <c r="Z55" s="6">
        <f t="shared" si="13"/>
        <v>41914.419015520223</v>
      </c>
      <c r="AA55" s="6">
        <f t="shared" si="14"/>
        <v>3403.529620431148</v>
      </c>
      <c r="AB55" s="1">
        <f t="shared" si="15"/>
        <v>0.4</v>
      </c>
      <c r="AC55" s="1">
        <f t="shared" si="18"/>
        <v>1.5</v>
      </c>
      <c r="AD55" s="1">
        <f t="shared" si="19"/>
        <v>1</v>
      </c>
      <c r="AE55" s="1">
        <f t="shared" si="16"/>
        <v>10</v>
      </c>
      <c r="AF55" s="36">
        <f t="shared" si="17"/>
        <v>2.4999999999999991</v>
      </c>
    </row>
    <row r="56" spans="4:32" ht="14.25" customHeight="1" outlineLevel="1" x14ac:dyDescent="0.2">
      <c r="D56" s="1">
        <v>33</v>
      </c>
      <c r="E56" s="6">
        <f t="shared" si="10"/>
        <v>92.706701213151774</v>
      </c>
      <c r="F56" s="6">
        <f t="shared" si="10"/>
        <v>3539.3472878254333</v>
      </c>
      <c r="G56" s="6">
        <f t="shared" si="10"/>
        <v>23.824707343018034</v>
      </c>
      <c r="H56" s="1">
        <v>0.4</v>
      </c>
      <c r="I56" s="1">
        <v>1.5</v>
      </c>
      <c r="J56" s="1">
        <v>1</v>
      </c>
      <c r="M56" s="1">
        <v>33</v>
      </c>
      <c r="N56" s="6">
        <f t="shared" si="11"/>
        <v>9270.6701213151773</v>
      </c>
      <c r="O56" s="6">
        <f t="shared" si="5"/>
        <v>391125.3781434063</v>
      </c>
      <c r="P56" s="6">
        <f t="shared" si="6"/>
        <v>3573.7061014527048</v>
      </c>
      <c r="Q56" s="1">
        <v>0.4</v>
      </c>
      <c r="R56" s="1">
        <v>1.5</v>
      </c>
      <c r="S56" s="1">
        <v>1</v>
      </c>
      <c r="T56" s="1">
        <v>0.8</v>
      </c>
      <c r="U56" s="1">
        <v>10</v>
      </c>
      <c r="V56" s="5">
        <f t="shared" si="7"/>
        <v>2.4999999999999996</v>
      </c>
      <c r="X56" s="1">
        <v>33</v>
      </c>
      <c r="Y56" s="6">
        <f t="shared" si="12"/>
        <v>1854.1340242630354</v>
      </c>
      <c r="Z56" s="6">
        <f t="shared" si="13"/>
        <v>43458.375349267364</v>
      </c>
      <c r="AA56" s="6">
        <f t="shared" si="14"/>
        <v>3573.7061014527048</v>
      </c>
      <c r="AB56" s="1">
        <f t="shared" si="15"/>
        <v>0.4</v>
      </c>
      <c r="AC56" s="1">
        <f t="shared" si="18"/>
        <v>1.5</v>
      </c>
      <c r="AD56" s="1">
        <f t="shared" si="19"/>
        <v>1</v>
      </c>
      <c r="AE56" s="1">
        <f t="shared" si="16"/>
        <v>10</v>
      </c>
      <c r="AF56" s="36">
        <f t="shared" si="17"/>
        <v>2.4999999999999996</v>
      </c>
    </row>
    <row r="57" spans="4:32" ht="14.25" customHeight="1" outlineLevel="1" x14ac:dyDescent="0.2">
      <c r="D57" s="1">
        <v>34</v>
      </c>
      <c r="E57" s="6">
        <f t="shared" si="10"/>
        <v>97.34203627380937</v>
      </c>
      <c r="F57" s="6">
        <f t="shared" si="10"/>
        <v>3716.3146522167049</v>
      </c>
      <c r="G57" s="6">
        <f t="shared" si="10"/>
        <v>25.015942710168936</v>
      </c>
      <c r="H57" s="1">
        <v>0.4</v>
      </c>
      <c r="I57" s="1">
        <v>1.5</v>
      </c>
      <c r="J57" s="1">
        <v>1</v>
      </c>
      <c r="M57" s="1">
        <v>34</v>
      </c>
      <c r="N57" s="6">
        <f t="shared" si="11"/>
        <v>9734.2036273809372</v>
      </c>
      <c r="O57" s="6">
        <f t="shared" si="5"/>
        <v>405345.64597107371</v>
      </c>
      <c r="P57" s="6">
        <f t="shared" si="6"/>
        <v>3752.3914065253402</v>
      </c>
      <c r="Q57" s="1">
        <v>0.4</v>
      </c>
      <c r="R57" s="1">
        <v>1.5</v>
      </c>
      <c r="S57" s="1">
        <v>1</v>
      </c>
      <c r="T57" s="1">
        <v>0.8</v>
      </c>
      <c r="U57" s="1">
        <v>10</v>
      </c>
      <c r="V57" s="5">
        <f t="shared" si="7"/>
        <v>2.4999999999999991</v>
      </c>
      <c r="X57" s="1">
        <v>34</v>
      </c>
      <c r="Y57" s="6">
        <f t="shared" si="12"/>
        <v>1946.8407254761873</v>
      </c>
      <c r="Z57" s="6">
        <f t="shared" si="13"/>
        <v>45038.405107897081</v>
      </c>
      <c r="AA57" s="6">
        <f t="shared" si="14"/>
        <v>3752.3914065253402</v>
      </c>
      <c r="AB57" s="1">
        <f t="shared" si="15"/>
        <v>0.4</v>
      </c>
      <c r="AC57" s="1">
        <f t="shared" si="18"/>
        <v>1.5</v>
      </c>
      <c r="AD57" s="1">
        <f t="shared" si="19"/>
        <v>1</v>
      </c>
      <c r="AE57" s="1">
        <f t="shared" si="16"/>
        <v>10</v>
      </c>
      <c r="AF57" s="36">
        <f t="shared" si="17"/>
        <v>2.4999999999999991</v>
      </c>
    </row>
    <row r="58" spans="4:32" ht="14.25" customHeight="1" outlineLevel="1" x14ac:dyDescent="0.2">
      <c r="D58" s="1">
        <v>35</v>
      </c>
      <c r="E58" s="6">
        <f t="shared" ref="E58:G89" si="20">E$21*E$22^($D58-1)</f>
        <v>102.20913808749982</v>
      </c>
      <c r="F58" s="6">
        <f t="shared" si="20"/>
        <v>3902.1303848275402</v>
      </c>
      <c r="G58" s="6">
        <f t="shared" si="20"/>
        <v>26.266739845677382</v>
      </c>
      <c r="H58" s="1">
        <v>0.4</v>
      </c>
      <c r="I58" s="1">
        <v>1.5</v>
      </c>
      <c r="J58" s="1">
        <v>1</v>
      </c>
      <c r="M58" s="1">
        <v>35</v>
      </c>
      <c r="N58" s="6">
        <f t="shared" si="11"/>
        <v>10220.913808749983</v>
      </c>
      <c r="O58" s="6">
        <f t="shared" si="5"/>
        <v>419884.57447852544</v>
      </c>
      <c r="P58" s="6">
        <f t="shared" si="6"/>
        <v>3940.0109768516072</v>
      </c>
      <c r="Q58" s="1">
        <v>0.4</v>
      </c>
      <c r="R58" s="1">
        <v>1.5</v>
      </c>
      <c r="S58" s="1">
        <v>1</v>
      </c>
      <c r="T58" s="1">
        <v>0.8</v>
      </c>
      <c r="U58" s="1">
        <v>10</v>
      </c>
      <c r="V58" s="5">
        <f t="shared" si="7"/>
        <v>2.4999999999999991</v>
      </c>
      <c r="X58" s="1">
        <v>35</v>
      </c>
      <c r="Y58" s="6">
        <f t="shared" si="12"/>
        <v>2044.1827617499966</v>
      </c>
      <c r="Z58" s="6">
        <f t="shared" si="13"/>
        <v>46653.841608725052</v>
      </c>
      <c r="AA58" s="6">
        <f t="shared" si="14"/>
        <v>3940.0109768516072</v>
      </c>
      <c r="AB58" s="1">
        <f t="shared" si="15"/>
        <v>0.4</v>
      </c>
      <c r="AC58" s="1">
        <f t="shared" si="18"/>
        <v>1.5</v>
      </c>
      <c r="AD58" s="1">
        <f t="shared" si="19"/>
        <v>1</v>
      </c>
      <c r="AE58" s="1">
        <f t="shared" si="16"/>
        <v>10</v>
      </c>
      <c r="AF58" s="36">
        <f t="shared" si="17"/>
        <v>2.4999999999999991</v>
      </c>
    </row>
    <row r="59" spans="4:32" ht="14.25" customHeight="1" outlineLevel="1" x14ac:dyDescent="0.2">
      <c r="D59" s="1">
        <v>36</v>
      </c>
      <c r="E59" s="6">
        <f t="shared" si="20"/>
        <v>107.31959499187484</v>
      </c>
      <c r="F59" s="6">
        <f t="shared" si="20"/>
        <v>4097.2369040689182</v>
      </c>
      <c r="G59" s="6">
        <f t="shared" si="20"/>
        <v>27.580076837961258</v>
      </c>
      <c r="H59" s="1">
        <v>0.4</v>
      </c>
      <c r="I59" s="1">
        <v>1.5</v>
      </c>
      <c r="J59" s="1">
        <v>1</v>
      </c>
      <c r="M59" s="1">
        <v>36</v>
      </c>
      <c r="N59" s="6">
        <f t="shared" si="11"/>
        <v>10731.959499187486</v>
      </c>
      <c r="O59" s="6">
        <f t="shared" si="5"/>
        <v>434735.11674891197</v>
      </c>
      <c r="P59" s="6">
        <f t="shared" si="6"/>
        <v>4137.011525694189</v>
      </c>
      <c r="Q59" s="1">
        <v>0.4</v>
      </c>
      <c r="R59" s="1">
        <v>1.5</v>
      </c>
      <c r="S59" s="1">
        <v>1</v>
      </c>
      <c r="T59" s="1">
        <v>0.8</v>
      </c>
      <c r="U59" s="1">
        <v>10</v>
      </c>
      <c r="V59" s="5">
        <f t="shared" si="7"/>
        <v>2.4999999999999991</v>
      </c>
      <c r="X59" s="1">
        <v>36</v>
      </c>
      <c r="Y59" s="6">
        <f t="shared" si="12"/>
        <v>2146.391899837497</v>
      </c>
      <c r="Z59" s="6">
        <f t="shared" si="13"/>
        <v>48303.90186099022</v>
      </c>
      <c r="AA59" s="6">
        <f t="shared" si="14"/>
        <v>4137.011525694189</v>
      </c>
      <c r="AB59" s="1">
        <f t="shared" si="15"/>
        <v>0.4</v>
      </c>
      <c r="AC59" s="1">
        <f t="shared" si="18"/>
        <v>1.5</v>
      </c>
      <c r="AD59" s="1">
        <f t="shared" si="19"/>
        <v>1</v>
      </c>
      <c r="AE59" s="1">
        <f t="shared" si="16"/>
        <v>10</v>
      </c>
      <c r="AF59" s="36">
        <f t="shared" si="17"/>
        <v>2.4999999999999991</v>
      </c>
    </row>
    <row r="60" spans="4:32" ht="14.25" customHeight="1" outlineLevel="1" x14ac:dyDescent="0.2">
      <c r="D60" s="1">
        <v>37</v>
      </c>
      <c r="E60" s="6">
        <f t="shared" si="20"/>
        <v>112.68557474146856</v>
      </c>
      <c r="F60" s="6">
        <f t="shared" si="20"/>
        <v>4302.0987492723634</v>
      </c>
      <c r="G60" s="6">
        <f t="shared" si="20"/>
        <v>28.959080679859316</v>
      </c>
      <c r="H60" s="1">
        <v>0.4</v>
      </c>
      <c r="I60" s="1">
        <v>1.5</v>
      </c>
      <c r="J60" s="1">
        <v>1</v>
      </c>
      <c r="M60" s="1">
        <v>37</v>
      </c>
      <c r="N60" s="6">
        <f t="shared" si="11"/>
        <v>11268.557474146857</v>
      </c>
      <c r="O60" s="6">
        <f t="shared" si="5"/>
        <v>449889.16360387072</v>
      </c>
      <c r="P60" s="6">
        <f t="shared" si="6"/>
        <v>4343.862101978897</v>
      </c>
      <c r="Q60" s="1">
        <v>0.4</v>
      </c>
      <c r="R60" s="1">
        <v>1.5</v>
      </c>
      <c r="S60" s="1">
        <v>1</v>
      </c>
      <c r="T60" s="1">
        <v>0.8</v>
      </c>
      <c r="U60" s="1">
        <v>10</v>
      </c>
      <c r="V60" s="5">
        <f t="shared" si="7"/>
        <v>2.4999999999999996</v>
      </c>
      <c r="X60" s="1">
        <v>37</v>
      </c>
      <c r="Y60" s="6">
        <f t="shared" si="12"/>
        <v>2253.7114948293715</v>
      </c>
      <c r="Z60" s="6">
        <f t="shared" si="13"/>
        <v>49987.684844874522</v>
      </c>
      <c r="AA60" s="6">
        <f t="shared" si="14"/>
        <v>4343.862101978897</v>
      </c>
      <c r="AB60" s="1">
        <f t="shared" si="15"/>
        <v>0.4</v>
      </c>
      <c r="AC60" s="1">
        <f t="shared" si="18"/>
        <v>1.5</v>
      </c>
      <c r="AD60" s="1">
        <f t="shared" si="19"/>
        <v>1</v>
      </c>
      <c r="AE60" s="1">
        <f t="shared" si="16"/>
        <v>10</v>
      </c>
      <c r="AF60" s="36">
        <f t="shared" si="17"/>
        <v>2.4999999999999996</v>
      </c>
    </row>
    <row r="61" spans="4:32" ht="14.25" customHeight="1" outlineLevel="1" x14ac:dyDescent="0.2">
      <c r="D61" s="1">
        <v>38</v>
      </c>
      <c r="E61" s="6">
        <f t="shared" si="20"/>
        <v>118.319853478542</v>
      </c>
      <c r="F61" s="6">
        <f t="shared" si="20"/>
        <v>4517.203686735982</v>
      </c>
      <c r="G61" s="6">
        <f t="shared" si="20"/>
        <v>30.407034713852283</v>
      </c>
      <c r="H61" s="1">
        <v>0.4</v>
      </c>
      <c r="I61" s="1">
        <v>1.5</v>
      </c>
      <c r="J61" s="1">
        <v>1</v>
      </c>
      <c r="M61" s="1">
        <v>38</v>
      </c>
      <c r="N61" s="6">
        <f t="shared" si="11"/>
        <v>11831.985347854201</v>
      </c>
      <c r="O61" s="6">
        <f t="shared" si="5"/>
        <v>465337.53452225</v>
      </c>
      <c r="P61" s="6">
        <f t="shared" si="6"/>
        <v>4561.0552070778422</v>
      </c>
      <c r="Q61" s="1">
        <v>0.4</v>
      </c>
      <c r="R61" s="1">
        <v>1.5</v>
      </c>
      <c r="S61" s="1">
        <v>1</v>
      </c>
      <c r="T61" s="1">
        <v>0.8</v>
      </c>
      <c r="U61" s="1">
        <v>10</v>
      </c>
      <c r="V61" s="5">
        <f t="shared" si="7"/>
        <v>2.4999999999999987</v>
      </c>
      <c r="X61" s="1">
        <v>38</v>
      </c>
      <c r="Y61" s="6">
        <f t="shared" si="12"/>
        <v>2366.3970695708404</v>
      </c>
      <c r="Z61" s="6">
        <f t="shared" si="13"/>
        <v>51704.170502472225</v>
      </c>
      <c r="AA61" s="6">
        <f t="shared" si="14"/>
        <v>4561.0552070778422</v>
      </c>
      <c r="AB61" s="1">
        <f t="shared" si="15"/>
        <v>0.4</v>
      </c>
      <c r="AC61" s="1">
        <f t="shared" si="18"/>
        <v>1.5</v>
      </c>
      <c r="AD61" s="1">
        <f t="shared" si="19"/>
        <v>1</v>
      </c>
      <c r="AE61" s="1">
        <f t="shared" si="16"/>
        <v>10</v>
      </c>
      <c r="AF61" s="36">
        <f t="shared" si="17"/>
        <v>2.4999999999999987</v>
      </c>
    </row>
    <row r="62" spans="4:32" ht="14.25" customHeight="1" outlineLevel="1" x14ac:dyDescent="0.2">
      <c r="D62" s="1">
        <v>39</v>
      </c>
      <c r="E62" s="6">
        <f t="shared" si="20"/>
        <v>124.23584615246908</v>
      </c>
      <c r="F62" s="6">
        <f t="shared" si="20"/>
        <v>4743.0638710727799</v>
      </c>
      <c r="G62" s="6">
        <f t="shared" si="20"/>
        <v>31.92738644954489</v>
      </c>
      <c r="H62" s="1">
        <v>0.4</v>
      </c>
      <c r="I62" s="1">
        <v>1.5</v>
      </c>
      <c r="J62" s="1">
        <v>1</v>
      </c>
      <c r="M62" s="1">
        <v>39</v>
      </c>
      <c r="N62" s="6">
        <f t="shared" si="11"/>
        <v>12423.584615246909</v>
      </c>
      <c r="O62" s="6">
        <f t="shared" si="5"/>
        <v>481069.97543575888</v>
      </c>
      <c r="P62" s="6">
        <f t="shared" si="6"/>
        <v>4789.1079674317334</v>
      </c>
      <c r="Q62" s="1">
        <v>0.4</v>
      </c>
      <c r="R62" s="1">
        <v>1.5</v>
      </c>
      <c r="S62" s="1">
        <v>1</v>
      </c>
      <c r="T62" s="1">
        <v>0.8</v>
      </c>
      <c r="U62" s="1">
        <v>10</v>
      </c>
      <c r="V62" s="5">
        <f t="shared" si="7"/>
        <v>2.4999999999999991</v>
      </c>
      <c r="X62" s="1">
        <v>39</v>
      </c>
      <c r="Y62" s="6">
        <f t="shared" si="12"/>
        <v>2484.7169230493819</v>
      </c>
      <c r="Z62" s="6">
        <f t="shared" si="13"/>
        <v>53452.219492862096</v>
      </c>
      <c r="AA62" s="6">
        <f t="shared" si="14"/>
        <v>4789.1079674317334</v>
      </c>
      <c r="AB62" s="1">
        <f t="shared" si="15"/>
        <v>0.4</v>
      </c>
      <c r="AC62" s="1">
        <f t="shared" si="18"/>
        <v>1.5</v>
      </c>
      <c r="AD62" s="1">
        <f t="shared" si="19"/>
        <v>1</v>
      </c>
      <c r="AE62" s="1">
        <f t="shared" si="16"/>
        <v>10</v>
      </c>
      <c r="AF62" s="36">
        <f t="shared" si="17"/>
        <v>2.4999999999999991</v>
      </c>
    </row>
    <row r="63" spans="4:32" ht="14.25" customHeight="1" outlineLevel="1" x14ac:dyDescent="0.2">
      <c r="D63" s="1">
        <v>40</v>
      </c>
      <c r="E63" s="6">
        <f t="shared" si="20"/>
        <v>130.44763846009255</v>
      </c>
      <c r="F63" s="6">
        <f t="shared" si="20"/>
        <v>4980.2170646264203</v>
      </c>
      <c r="G63" s="6">
        <f t="shared" si="20"/>
        <v>33.523755772022142</v>
      </c>
      <c r="H63" s="1">
        <v>0.4</v>
      </c>
      <c r="I63" s="1">
        <v>1.5</v>
      </c>
      <c r="J63" s="1">
        <v>1</v>
      </c>
      <c r="M63" s="1">
        <v>40</v>
      </c>
      <c r="N63" s="6">
        <f t="shared" si="11"/>
        <v>13044.763846009255</v>
      </c>
      <c r="O63" s="6">
        <f t="shared" si="5"/>
        <v>497075.16381359182</v>
      </c>
      <c r="P63" s="6">
        <f t="shared" si="6"/>
        <v>5028.5633658033212</v>
      </c>
      <c r="Q63" s="1">
        <v>0.4</v>
      </c>
      <c r="R63" s="1">
        <v>1.5</v>
      </c>
      <c r="S63" s="1">
        <v>1</v>
      </c>
      <c r="T63" s="1">
        <v>0.8</v>
      </c>
      <c r="U63" s="1">
        <v>10</v>
      </c>
      <c r="V63" s="5">
        <f t="shared" si="7"/>
        <v>2.4999999999999996</v>
      </c>
      <c r="X63" s="1">
        <v>40</v>
      </c>
      <c r="Y63" s="6">
        <f t="shared" si="12"/>
        <v>2608.952769201851</v>
      </c>
      <c r="Z63" s="6">
        <f t="shared" si="13"/>
        <v>55230.573757065758</v>
      </c>
      <c r="AA63" s="6">
        <f t="shared" si="14"/>
        <v>5028.5633658033212</v>
      </c>
      <c r="AB63" s="1">
        <f t="shared" si="15"/>
        <v>0.4</v>
      </c>
      <c r="AC63" s="1">
        <f t="shared" si="18"/>
        <v>1.5</v>
      </c>
      <c r="AD63" s="1">
        <f t="shared" si="19"/>
        <v>1</v>
      </c>
      <c r="AE63" s="1">
        <f t="shared" si="16"/>
        <v>10</v>
      </c>
      <c r="AF63" s="36">
        <f t="shared" si="17"/>
        <v>2.4999999999999996</v>
      </c>
    </row>
    <row r="64" spans="4:32" ht="14.25" customHeight="1" outlineLevel="1" x14ac:dyDescent="0.2">
      <c r="D64" s="1">
        <v>41</v>
      </c>
      <c r="E64" s="6">
        <f t="shared" si="20"/>
        <v>136.97002038309716</v>
      </c>
      <c r="F64" s="6">
        <f t="shared" si="20"/>
        <v>5229.2279178577401</v>
      </c>
      <c r="G64" s="6">
        <f t="shared" si="20"/>
        <v>35.199943560623247</v>
      </c>
      <c r="H64" s="1">
        <v>0.4</v>
      </c>
      <c r="I64" s="1">
        <v>1.5</v>
      </c>
      <c r="J64" s="1">
        <v>1</v>
      </c>
      <c r="M64" s="1">
        <v>41</v>
      </c>
      <c r="N64" s="6">
        <f t="shared" si="11"/>
        <v>13697.002038309718</v>
      </c>
      <c r="O64" s="6">
        <f t="shared" si="5"/>
        <v>513340.72137965751</v>
      </c>
      <c r="P64" s="6">
        <f t="shared" si="6"/>
        <v>5279.9915340934867</v>
      </c>
      <c r="Q64" s="1">
        <v>0.4</v>
      </c>
      <c r="R64" s="1">
        <v>1.5</v>
      </c>
      <c r="S64" s="1">
        <v>1</v>
      </c>
      <c r="T64" s="1">
        <v>0.8</v>
      </c>
      <c r="U64" s="1">
        <v>10</v>
      </c>
      <c r="V64" s="5">
        <f t="shared" si="7"/>
        <v>2.4999999999999987</v>
      </c>
      <c r="X64" s="1">
        <v>41</v>
      </c>
      <c r="Y64" s="6">
        <f t="shared" si="12"/>
        <v>2739.4004076619435</v>
      </c>
      <c r="Z64" s="6">
        <f t="shared" si="13"/>
        <v>57037.857931073057</v>
      </c>
      <c r="AA64" s="6">
        <f t="shared" si="14"/>
        <v>5279.9915340934867</v>
      </c>
      <c r="AB64" s="1">
        <f t="shared" si="15"/>
        <v>0.4</v>
      </c>
      <c r="AC64" s="1">
        <f t="shared" si="18"/>
        <v>1.5</v>
      </c>
      <c r="AD64" s="1">
        <f t="shared" si="19"/>
        <v>1</v>
      </c>
      <c r="AE64" s="1">
        <f t="shared" si="16"/>
        <v>10</v>
      </c>
      <c r="AF64" s="36">
        <f t="shared" si="17"/>
        <v>2.4999999999999987</v>
      </c>
    </row>
    <row r="65" spans="4:32" ht="14.25" customHeight="1" outlineLevel="1" x14ac:dyDescent="0.2">
      <c r="D65" s="1">
        <v>42</v>
      </c>
      <c r="E65" s="6">
        <f t="shared" si="20"/>
        <v>143.81852140225203</v>
      </c>
      <c r="F65" s="6">
        <f t="shared" si="20"/>
        <v>5490.6893137506277</v>
      </c>
      <c r="G65" s="6">
        <f t="shared" si="20"/>
        <v>36.95994073865441</v>
      </c>
      <c r="H65" s="1">
        <v>0.4</v>
      </c>
      <c r="I65" s="1">
        <v>1.5</v>
      </c>
      <c r="J65" s="1">
        <v>1</v>
      </c>
      <c r="M65" s="1">
        <v>42</v>
      </c>
      <c r="N65" s="6">
        <f t="shared" si="11"/>
        <v>14381.852140225204</v>
      </c>
      <c r="O65" s="6">
        <f t="shared" si="5"/>
        <v>529853.23472711595</v>
      </c>
      <c r="P65" s="6">
        <f t="shared" si="6"/>
        <v>5543.9911107981616</v>
      </c>
      <c r="Q65" s="1">
        <v>0.4</v>
      </c>
      <c r="R65" s="1">
        <v>1.5</v>
      </c>
      <c r="S65" s="1">
        <v>1</v>
      </c>
      <c r="T65" s="1">
        <v>0.8</v>
      </c>
      <c r="U65" s="1">
        <v>10</v>
      </c>
      <c r="V65" s="5">
        <f t="shared" si="7"/>
        <v>2.4999999999999996</v>
      </c>
      <c r="X65" s="1">
        <v>42</v>
      </c>
      <c r="Y65" s="6">
        <f t="shared" si="12"/>
        <v>2876.3704280450411</v>
      </c>
      <c r="Z65" s="6">
        <f t="shared" si="13"/>
        <v>58872.581636346215</v>
      </c>
      <c r="AA65" s="6">
        <f t="shared" si="14"/>
        <v>5543.9911107981616</v>
      </c>
      <c r="AB65" s="1">
        <f t="shared" si="15"/>
        <v>0.4</v>
      </c>
      <c r="AC65" s="1">
        <f t="shared" si="18"/>
        <v>1.5</v>
      </c>
      <c r="AD65" s="1">
        <f t="shared" si="19"/>
        <v>1</v>
      </c>
      <c r="AE65" s="1">
        <f t="shared" si="16"/>
        <v>10</v>
      </c>
      <c r="AF65" s="36">
        <f t="shared" si="17"/>
        <v>2.4999999999999996</v>
      </c>
    </row>
    <row r="66" spans="4:32" ht="14.25" customHeight="1" outlineLevel="1" x14ac:dyDescent="0.2">
      <c r="D66" s="1">
        <v>43</v>
      </c>
      <c r="E66" s="6">
        <f t="shared" si="20"/>
        <v>151.00944747236466</v>
      </c>
      <c r="F66" s="6">
        <f t="shared" si="20"/>
        <v>5765.223779438159</v>
      </c>
      <c r="G66" s="6">
        <f t="shared" si="20"/>
        <v>38.807937775587135</v>
      </c>
      <c r="H66" s="1">
        <v>0.4</v>
      </c>
      <c r="I66" s="1">
        <v>1.5</v>
      </c>
      <c r="J66" s="1">
        <v>1</v>
      </c>
      <c r="M66" s="1">
        <v>43</v>
      </c>
      <c r="N66" s="6">
        <f t="shared" si="11"/>
        <v>15100.944747236466</v>
      </c>
      <c r="O66" s="6">
        <f t="shared" si="5"/>
        <v>546598.28400632273</v>
      </c>
      <c r="P66" s="6">
        <f t="shared" si="6"/>
        <v>5821.1906663380705</v>
      </c>
      <c r="Q66" s="1">
        <v>0.4</v>
      </c>
      <c r="R66" s="1">
        <v>1.5</v>
      </c>
      <c r="S66" s="1">
        <v>1</v>
      </c>
      <c r="T66" s="1">
        <v>0.8</v>
      </c>
      <c r="U66" s="1">
        <v>10</v>
      </c>
      <c r="V66" s="5">
        <f t="shared" si="7"/>
        <v>2.4999999999999996</v>
      </c>
      <c r="X66" s="1">
        <v>43</v>
      </c>
      <c r="Y66" s="6">
        <f t="shared" si="12"/>
        <v>3020.1889494472935</v>
      </c>
      <c r="Z66" s="6">
        <f t="shared" si="13"/>
        <v>60733.142667369189</v>
      </c>
      <c r="AA66" s="6">
        <f t="shared" si="14"/>
        <v>5821.1906663380705</v>
      </c>
      <c r="AB66" s="1">
        <f t="shared" si="15"/>
        <v>0.4</v>
      </c>
      <c r="AC66" s="1">
        <f t="shared" si="18"/>
        <v>1.5</v>
      </c>
      <c r="AD66" s="1">
        <f t="shared" si="19"/>
        <v>1</v>
      </c>
      <c r="AE66" s="1">
        <f t="shared" si="16"/>
        <v>10</v>
      </c>
      <c r="AF66" s="36">
        <f t="shared" si="17"/>
        <v>2.4999999999999996</v>
      </c>
    </row>
    <row r="67" spans="4:32" ht="14.25" customHeight="1" outlineLevel="1" x14ac:dyDescent="0.2">
      <c r="D67" s="1">
        <v>44</v>
      </c>
      <c r="E67" s="6">
        <f t="shared" si="20"/>
        <v>158.5599198459829</v>
      </c>
      <c r="F67" s="6">
        <f t="shared" si="20"/>
        <v>6053.4849684100673</v>
      </c>
      <c r="G67" s="6">
        <f t="shared" si="20"/>
        <v>40.748334664366496</v>
      </c>
      <c r="H67" s="1">
        <v>0.4</v>
      </c>
      <c r="I67" s="1">
        <v>1.5</v>
      </c>
      <c r="J67" s="1">
        <v>1</v>
      </c>
      <c r="M67" s="1">
        <v>44</v>
      </c>
      <c r="N67" s="6">
        <f t="shared" si="11"/>
        <v>15855.991984598289</v>
      </c>
      <c r="O67" s="6">
        <f t="shared" si="5"/>
        <v>563560.47976523754</v>
      </c>
      <c r="P67" s="6">
        <f t="shared" si="6"/>
        <v>6112.2501996549745</v>
      </c>
      <c r="Q67" s="1">
        <v>0.4</v>
      </c>
      <c r="R67" s="1">
        <v>1.5</v>
      </c>
      <c r="S67" s="1">
        <v>1</v>
      </c>
      <c r="T67" s="1">
        <v>0.8</v>
      </c>
      <c r="U67" s="1">
        <v>10</v>
      </c>
      <c r="V67" s="5">
        <f t="shared" si="7"/>
        <v>2.4999999999999996</v>
      </c>
      <c r="X67" s="1">
        <v>44</v>
      </c>
      <c r="Y67" s="6">
        <f t="shared" si="12"/>
        <v>3171.1983969196581</v>
      </c>
      <c r="Z67" s="6">
        <f t="shared" si="13"/>
        <v>62617.831085026395</v>
      </c>
      <c r="AA67" s="6">
        <f t="shared" si="14"/>
        <v>6112.2501996549745</v>
      </c>
      <c r="AB67" s="1">
        <f t="shared" si="15"/>
        <v>0.4</v>
      </c>
      <c r="AC67" s="1">
        <f t="shared" si="18"/>
        <v>1.5</v>
      </c>
      <c r="AD67" s="1">
        <f t="shared" si="19"/>
        <v>1</v>
      </c>
      <c r="AE67" s="1">
        <f t="shared" si="16"/>
        <v>10</v>
      </c>
      <c r="AF67" s="36">
        <f t="shared" si="17"/>
        <v>2.4999999999999996</v>
      </c>
    </row>
    <row r="68" spans="4:32" ht="14.25" customHeight="1" outlineLevel="1" x14ac:dyDescent="0.2">
      <c r="D68" s="1">
        <v>45</v>
      </c>
      <c r="E68" s="6">
        <f t="shared" si="20"/>
        <v>166.48791583828202</v>
      </c>
      <c r="F68" s="6">
        <f t="shared" si="20"/>
        <v>6356.1592168305706</v>
      </c>
      <c r="G68" s="6">
        <f t="shared" si="20"/>
        <v>42.785751397584811</v>
      </c>
      <c r="H68" s="1">
        <v>0.4</v>
      </c>
      <c r="I68" s="1">
        <v>1.5</v>
      </c>
      <c r="J68" s="1">
        <v>1</v>
      </c>
      <c r="M68" s="1">
        <v>45</v>
      </c>
      <c r="N68" s="6">
        <f t="shared" si="11"/>
        <v>16648.791583828202</v>
      </c>
      <c r="O68" s="6">
        <f t="shared" si="5"/>
        <v>580723.50791732501</v>
      </c>
      <c r="P68" s="6">
        <f t="shared" si="6"/>
        <v>6417.8627096377213</v>
      </c>
      <c r="Q68" s="1">
        <v>0.4</v>
      </c>
      <c r="R68" s="1">
        <v>1.5</v>
      </c>
      <c r="S68" s="1">
        <v>1</v>
      </c>
      <c r="T68" s="1">
        <v>0.8</v>
      </c>
      <c r="U68" s="1">
        <v>10</v>
      </c>
      <c r="V68" s="5">
        <f t="shared" si="7"/>
        <v>2.4999999999999991</v>
      </c>
      <c r="X68" s="1">
        <v>45</v>
      </c>
      <c r="Y68" s="6">
        <f t="shared" si="12"/>
        <v>3329.7583167656403</v>
      </c>
      <c r="Z68" s="6">
        <f t="shared" si="13"/>
        <v>64524.834213036112</v>
      </c>
      <c r="AA68" s="6">
        <f t="shared" si="14"/>
        <v>6417.8627096377213</v>
      </c>
      <c r="AB68" s="1">
        <f t="shared" si="15"/>
        <v>0.4</v>
      </c>
      <c r="AC68" s="1">
        <f t="shared" si="18"/>
        <v>1.5</v>
      </c>
      <c r="AD68" s="1">
        <f t="shared" si="19"/>
        <v>1</v>
      </c>
      <c r="AE68" s="1">
        <f t="shared" si="16"/>
        <v>10</v>
      </c>
      <c r="AF68" s="36">
        <f t="shared" si="17"/>
        <v>2.4999999999999991</v>
      </c>
    </row>
    <row r="69" spans="4:32" ht="14.25" customHeight="1" outlineLevel="1" x14ac:dyDescent="0.2">
      <c r="D69" s="1">
        <v>46</v>
      </c>
      <c r="E69" s="6">
        <f t="shared" si="20"/>
        <v>174.81231163019615</v>
      </c>
      <c r="F69" s="6">
        <f t="shared" si="20"/>
        <v>6673.9671776720998</v>
      </c>
      <c r="G69" s="6">
        <f t="shared" si="20"/>
        <v>44.925038967464062</v>
      </c>
      <c r="H69" s="1">
        <v>0.4</v>
      </c>
      <c r="I69" s="1">
        <v>1.5</v>
      </c>
      <c r="J69" s="1">
        <v>1</v>
      </c>
      <c r="M69" s="1">
        <v>46</v>
      </c>
      <c r="N69" s="6">
        <f t="shared" si="11"/>
        <v>17481.231163019616</v>
      </c>
      <c r="O69" s="6">
        <f t="shared" si="5"/>
        <v>598070.18270279432</v>
      </c>
      <c r="P69" s="6">
        <f t="shared" si="6"/>
        <v>6738.7558451196091</v>
      </c>
      <c r="Q69" s="1">
        <v>0.4</v>
      </c>
      <c r="R69" s="1">
        <v>1.5</v>
      </c>
      <c r="S69" s="1">
        <v>1</v>
      </c>
      <c r="T69" s="1">
        <v>0.8</v>
      </c>
      <c r="U69" s="1">
        <v>10</v>
      </c>
      <c r="V69" s="5">
        <f t="shared" si="7"/>
        <v>2.4999999999999991</v>
      </c>
      <c r="X69" s="1">
        <v>46</v>
      </c>
      <c r="Y69" s="6">
        <f t="shared" si="12"/>
        <v>3496.2462326039231</v>
      </c>
      <c r="Z69" s="6">
        <f t="shared" si="13"/>
        <v>66452.242522532702</v>
      </c>
      <c r="AA69" s="6">
        <f t="shared" si="14"/>
        <v>6738.7558451196091</v>
      </c>
      <c r="AB69" s="1">
        <f t="shared" si="15"/>
        <v>0.4</v>
      </c>
      <c r="AC69" s="1">
        <f t="shared" si="18"/>
        <v>1.5</v>
      </c>
      <c r="AD69" s="1">
        <f t="shared" si="19"/>
        <v>1</v>
      </c>
      <c r="AE69" s="1">
        <f t="shared" si="16"/>
        <v>10</v>
      </c>
      <c r="AF69" s="36">
        <f t="shared" si="17"/>
        <v>2.4999999999999991</v>
      </c>
    </row>
    <row r="70" spans="4:32" ht="14.25" customHeight="1" outlineLevel="1" x14ac:dyDescent="0.2">
      <c r="D70" s="1">
        <v>47</v>
      </c>
      <c r="E70" s="6">
        <f t="shared" si="20"/>
        <v>183.55292721170591</v>
      </c>
      <c r="F70" s="6">
        <f t="shared" si="20"/>
        <v>7007.6655365557035</v>
      </c>
      <c r="G70" s="6">
        <f t="shared" si="20"/>
        <v>47.171290915837254</v>
      </c>
      <c r="H70" s="1">
        <v>0.4</v>
      </c>
      <c r="I70" s="1">
        <v>1.5</v>
      </c>
      <c r="J70" s="1">
        <v>1</v>
      </c>
      <c r="M70" s="1">
        <v>47</v>
      </c>
      <c r="N70" s="6">
        <f t="shared" si="11"/>
        <v>18355.292721170594</v>
      </c>
      <c r="O70" s="6">
        <f t="shared" si="5"/>
        <v>615582.50739670091</v>
      </c>
      <c r="P70" s="6">
        <f t="shared" si="6"/>
        <v>7075.693637375588</v>
      </c>
      <c r="Q70" s="1">
        <v>0.4</v>
      </c>
      <c r="R70" s="1">
        <v>1.5</v>
      </c>
      <c r="S70" s="1">
        <v>1</v>
      </c>
      <c r="T70" s="1">
        <v>0.8</v>
      </c>
      <c r="U70" s="1">
        <v>10</v>
      </c>
      <c r="V70" s="5">
        <f t="shared" si="7"/>
        <v>2.4999999999999991</v>
      </c>
      <c r="X70" s="1">
        <v>47</v>
      </c>
      <c r="Y70" s="6">
        <f t="shared" si="12"/>
        <v>3671.0585442341189</v>
      </c>
      <c r="Z70" s="6">
        <f t="shared" si="13"/>
        <v>68398.056377411209</v>
      </c>
      <c r="AA70" s="6">
        <f t="shared" si="14"/>
        <v>7075.693637375588</v>
      </c>
      <c r="AB70" s="1">
        <f t="shared" si="15"/>
        <v>0.4</v>
      </c>
      <c r="AC70" s="1">
        <f t="shared" si="18"/>
        <v>1.5</v>
      </c>
      <c r="AD70" s="1">
        <f t="shared" si="19"/>
        <v>1</v>
      </c>
      <c r="AE70" s="1">
        <f t="shared" si="16"/>
        <v>10</v>
      </c>
      <c r="AF70" s="36">
        <f t="shared" si="17"/>
        <v>2.4999999999999991</v>
      </c>
    </row>
    <row r="71" spans="4:32" ht="14.25" customHeight="1" outlineLevel="1" x14ac:dyDescent="0.2">
      <c r="D71" s="1">
        <v>48</v>
      </c>
      <c r="E71" s="6">
        <f t="shared" si="20"/>
        <v>192.73057357229126</v>
      </c>
      <c r="F71" s="6">
        <f t="shared" si="20"/>
        <v>7358.0488133834906</v>
      </c>
      <c r="G71" s="6">
        <f t="shared" si="20"/>
        <v>49.529855461629133</v>
      </c>
      <c r="H71" s="1">
        <v>0.4</v>
      </c>
      <c r="I71" s="1">
        <v>1.5</v>
      </c>
      <c r="J71" s="1">
        <v>1</v>
      </c>
      <c r="M71" s="1">
        <v>48</v>
      </c>
      <c r="N71" s="6">
        <f t="shared" si="11"/>
        <v>19273.057357229129</v>
      </c>
      <c r="O71" s="6">
        <f t="shared" si="5"/>
        <v>633241.74240424042</v>
      </c>
      <c r="P71" s="6">
        <f t="shared" si="6"/>
        <v>7429.4783192443701</v>
      </c>
      <c r="Q71" s="1">
        <v>0.4</v>
      </c>
      <c r="R71" s="1">
        <v>1.5</v>
      </c>
      <c r="S71" s="1">
        <v>1</v>
      </c>
      <c r="T71" s="1">
        <v>0.8</v>
      </c>
      <c r="U71" s="1">
        <v>10</v>
      </c>
      <c r="V71" s="5">
        <f t="shared" si="7"/>
        <v>2.4999999999999996</v>
      </c>
      <c r="X71" s="1">
        <v>48</v>
      </c>
      <c r="Y71" s="6">
        <f t="shared" si="12"/>
        <v>3854.6114714458258</v>
      </c>
      <c r="Z71" s="6">
        <f t="shared" si="13"/>
        <v>70360.193600471161</v>
      </c>
      <c r="AA71" s="6">
        <f t="shared" si="14"/>
        <v>7429.4783192443701</v>
      </c>
      <c r="AB71" s="1">
        <f t="shared" si="15"/>
        <v>0.4</v>
      </c>
      <c r="AC71" s="1">
        <f t="shared" si="18"/>
        <v>1.5</v>
      </c>
      <c r="AD71" s="1">
        <f t="shared" si="19"/>
        <v>1</v>
      </c>
      <c r="AE71" s="1">
        <f t="shared" si="16"/>
        <v>10</v>
      </c>
      <c r="AF71" s="36">
        <f t="shared" si="17"/>
        <v>2.4999999999999996</v>
      </c>
    </row>
    <row r="72" spans="4:32" ht="14.25" customHeight="1" outlineLevel="1" x14ac:dyDescent="0.2">
      <c r="D72" s="1">
        <v>49</v>
      </c>
      <c r="E72" s="6">
        <f t="shared" si="20"/>
        <v>202.36710225090582</v>
      </c>
      <c r="F72" s="6">
        <f t="shared" si="20"/>
        <v>7725.9512540526648</v>
      </c>
      <c r="G72" s="6">
        <f t="shared" si="20"/>
        <v>52.006348234710586</v>
      </c>
      <c r="H72" s="1">
        <v>0.4</v>
      </c>
      <c r="I72" s="1">
        <v>1.5</v>
      </c>
      <c r="J72" s="1">
        <v>1</v>
      </c>
      <c r="M72" s="1">
        <v>49</v>
      </c>
      <c r="N72" s="6">
        <f t="shared" si="11"/>
        <v>20236.710225090585</v>
      </c>
      <c r="O72" s="6">
        <f t="shared" si="5"/>
        <v>651028.48027188715</v>
      </c>
      <c r="P72" s="6">
        <f t="shared" si="6"/>
        <v>7800.9522352065878</v>
      </c>
      <c r="Q72" s="1">
        <v>0.4</v>
      </c>
      <c r="R72" s="1">
        <v>1.5</v>
      </c>
      <c r="S72" s="1">
        <v>1</v>
      </c>
      <c r="T72" s="1">
        <v>0.8</v>
      </c>
      <c r="U72" s="1">
        <v>10</v>
      </c>
      <c r="V72" s="5">
        <f t="shared" si="7"/>
        <v>2.4999999999999991</v>
      </c>
      <c r="X72" s="1">
        <v>49</v>
      </c>
      <c r="Y72" s="6">
        <f t="shared" si="12"/>
        <v>4047.342045018117</v>
      </c>
      <c r="Z72" s="6">
        <f t="shared" si="13"/>
        <v>72336.497807987456</v>
      </c>
      <c r="AA72" s="6">
        <f t="shared" si="14"/>
        <v>7800.9522352065878</v>
      </c>
      <c r="AB72" s="1">
        <f t="shared" si="15"/>
        <v>0.4</v>
      </c>
      <c r="AC72" s="1">
        <f t="shared" si="18"/>
        <v>1.5</v>
      </c>
      <c r="AD72" s="1">
        <f t="shared" si="19"/>
        <v>1</v>
      </c>
      <c r="AE72" s="1">
        <f t="shared" si="16"/>
        <v>10</v>
      </c>
      <c r="AF72" s="36">
        <f t="shared" si="17"/>
        <v>2.4999999999999991</v>
      </c>
    </row>
    <row r="73" spans="4:32" ht="14.25" customHeight="1" outlineLevel="1" x14ac:dyDescent="0.2">
      <c r="D73" s="1">
        <v>50</v>
      </c>
      <c r="E73" s="6">
        <f t="shared" si="20"/>
        <v>212.48545736345113</v>
      </c>
      <c r="F73" s="6">
        <f t="shared" si="20"/>
        <v>8112.2488167552983</v>
      </c>
      <c r="G73" s="6">
        <f t="shared" si="20"/>
        <v>54.606665646446118</v>
      </c>
      <c r="H73" s="1">
        <v>0.4</v>
      </c>
      <c r="I73" s="1">
        <v>1.5</v>
      </c>
      <c r="J73" s="1">
        <v>1</v>
      </c>
      <c r="M73" s="1">
        <v>50</v>
      </c>
      <c r="N73" s="6">
        <f t="shared" si="11"/>
        <v>21248.545736345113</v>
      </c>
      <c r="O73" s="6">
        <f t="shared" si="5"/>
        <v>668922.72703536111</v>
      </c>
      <c r="P73" s="6">
        <f t="shared" si="6"/>
        <v>8190.9998469669172</v>
      </c>
      <c r="Q73" s="1">
        <v>0.4</v>
      </c>
      <c r="R73" s="1">
        <v>1.5</v>
      </c>
      <c r="S73" s="1">
        <v>1</v>
      </c>
      <c r="T73" s="1">
        <v>0.8</v>
      </c>
      <c r="U73" s="1">
        <v>10</v>
      </c>
      <c r="V73" s="5">
        <f t="shared" si="7"/>
        <v>2.4999999999999991</v>
      </c>
      <c r="X73" s="1">
        <v>50</v>
      </c>
      <c r="Y73" s="6">
        <f t="shared" si="12"/>
        <v>4249.7091472690227</v>
      </c>
      <c r="Z73" s="6">
        <f t="shared" si="13"/>
        <v>74324.747448373455</v>
      </c>
      <c r="AA73" s="6">
        <f t="shared" si="14"/>
        <v>8190.9998469669172</v>
      </c>
      <c r="AB73" s="1">
        <f t="shared" si="15"/>
        <v>0.4</v>
      </c>
      <c r="AC73" s="1">
        <f t="shared" si="18"/>
        <v>1.5</v>
      </c>
      <c r="AD73" s="1">
        <f t="shared" si="19"/>
        <v>1</v>
      </c>
      <c r="AE73" s="1">
        <f t="shared" si="16"/>
        <v>10</v>
      </c>
      <c r="AF73" s="36">
        <f t="shared" si="17"/>
        <v>2.4999999999999991</v>
      </c>
    </row>
    <row r="74" spans="4:32" ht="14.25" customHeight="1" outlineLevel="1" x14ac:dyDescent="0.2">
      <c r="D74" s="1">
        <v>51</v>
      </c>
      <c r="E74" s="6">
        <f t="shared" si="20"/>
        <v>223.10973023162367</v>
      </c>
      <c r="F74" s="6">
        <f t="shared" si="20"/>
        <v>8517.8612575930638</v>
      </c>
      <c r="G74" s="6">
        <f t="shared" si="20"/>
        <v>57.336998928768423</v>
      </c>
      <c r="H74" s="1">
        <v>0.4</v>
      </c>
      <c r="I74" s="1">
        <v>1.5</v>
      </c>
      <c r="J74" s="1">
        <v>1</v>
      </c>
      <c r="M74" s="1">
        <v>51</v>
      </c>
      <c r="N74" s="6">
        <f t="shared" si="11"/>
        <v>22310.973023162369</v>
      </c>
      <c r="O74" s="6">
        <f t="shared" si="5"/>
        <v>686903.98922422086</v>
      </c>
      <c r="P74" s="6">
        <f t="shared" si="6"/>
        <v>8600.5498393152629</v>
      </c>
      <c r="Q74" s="1">
        <v>0.4</v>
      </c>
      <c r="R74" s="1">
        <v>1.5</v>
      </c>
      <c r="S74" s="1">
        <v>1</v>
      </c>
      <c r="T74" s="1">
        <v>0.8</v>
      </c>
      <c r="U74" s="1">
        <v>10</v>
      </c>
      <c r="V74" s="5">
        <f t="shared" si="7"/>
        <v>2.4999999999999991</v>
      </c>
      <c r="X74" s="1">
        <v>51</v>
      </c>
      <c r="Y74" s="6">
        <f t="shared" si="12"/>
        <v>4462.1946046324738</v>
      </c>
      <c r="Z74" s="6">
        <f t="shared" si="13"/>
        <v>76322.665469357875</v>
      </c>
      <c r="AA74" s="6">
        <f t="shared" si="14"/>
        <v>8600.5498393152629</v>
      </c>
      <c r="AB74" s="1">
        <f t="shared" si="15"/>
        <v>0.4</v>
      </c>
      <c r="AC74" s="1">
        <f t="shared" si="18"/>
        <v>1.5</v>
      </c>
      <c r="AD74" s="1">
        <f t="shared" si="19"/>
        <v>1</v>
      </c>
      <c r="AE74" s="1">
        <f t="shared" si="16"/>
        <v>10</v>
      </c>
      <c r="AF74" s="36">
        <f t="shared" si="17"/>
        <v>2.4999999999999991</v>
      </c>
    </row>
    <row r="75" spans="4:32" ht="14.25" customHeight="1" outlineLevel="1" x14ac:dyDescent="0.2">
      <c r="D75" s="1">
        <v>52</v>
      </c>
      <c r="E75" s="6">
        <f t="shared" si="20"/>
        <v>234.26521674320486</v>
      </c>
      <c r="F75" s="6">
        <f t="shared" si="20"/>
        <v>8943.7543204727172</v>
      </c>
      <c r="G75" s="6">
        <f t="shared" si="20"/>
        <v>60.203848875206845</v>
      </c>
      <c r="H75" s="1">
        <v>0.4</v>
      </c>
      <c r="I75" s="1">
        <v>1.5</v>
      </c>
      <c r="J75" s="1">
        <v>1</v>
      </c>
      <c r="M75" s="1">
        <v>52</v>
      </c>
      <c r="N75" s="6">
        <f t="shared" si="11"/>
        <v>23426.521674320487</v>
      </c>
      <c r="O75" s="6">
        <f t="shared" si="5"/>
        <v>704951.36575060571</v>
      </c>
      <c r="P75" s="6">
        <f t="shared" si="6"/>
        <v>9030.577331281027</v>
      </c>
      <c r="Q75" s="1">
        <v>0.4</v>
      </c>
      <c r="R75" s="1">
        <v>1.5</v>
      </c>
      <c r="S75" s="1">
        <v>1</v>
      </c>
      <c r="T75" s="1">
        <v>0.8</v>
      </c>
      <c r="U75" s="1">
        <v>10</v>
      </c>
      <c r="V75" s="5">
        <f t="shared" si="7"/>
        <v>2.4999999999999991</v>
      </c>
      <c r="X75" s="1">
        <v>52</v>
      </c>
      <c r="Y75" s="6">
        <f t="shared" si="12"/>
        <v>4685.3043348640977</v>
      </c>
      <c r="Z75" s="6">
        <f t="shared" si="13"/>
        <v>78327.929527845074</v>
      </c>
      <c r="AA75" s="6">
        <f t="shared" si="14"/>
        <v>9030.577331281027</v>
      </c>
      <c r="AB75" s="1">
        <f t="shared" si="15"/>
        <v>0.4</v>
      </c>
      <c r="AC75" s="1">
        <f t="shared" si="18"/>
        <v>1.5</v>
      </c>
      <c r="AD75" s="1">
        <f t="shared" si="19"/>
        <v>1</v>
      </c>
      <c r="AE75" s="1">
        <f t="shared" si="16"/>
        <v>10</v>
      </c>
      <c r="AF75" s="36">
        <f t="shared" si="17"/>
        <v>2.4999999999999991</v>
      </c>
    </row>
    <row r="76" spans="4:32" ht="14.25" customHeight="1" outlineLevel="1" x14ac:dyDescent="0.2">
      <c r="D76" s="1">
        <v>53</v>
      </c>
      <c r="E76" s="6">
        <f t="shared" si="20"/>
        <v>245.97847758036511</v>
      </c>
      <c r="F76" s="6">
        <f t="shared" si="20"/>
        <v>9390.9420364963535</v>
      </c>
      <c r="G76" s="6">
        <f t="shared" si="20"/>
        <v>63.21404131896719</v>
      </c>
      <c r="H76" s="1">
        <v>0.4</v>
      </c>
      <c r="I76" s="1">
        <v>1.5</v>
      </c>
      <c r="J76" s="1">
        <v>1</v>
      </c>
      <c r="M76" s="1">
        <v>53</v>
      </c>
      <c r="N76" s="6">
        <f t="shared" si="11"/>
        <v>24597.847758036511</v>
      </c>
      <c r="O76" s="6">
        <f t="shared" si="5"/>
        <v>723043.64382854209</v>
      </c>
      <c r="P76" s="6">
        <f t="shared" si="6"/>
        <v>9482.106197845078</v>
      </c>
      <c r="Q76" s="1">
        <v>0.4</v>
      </c>
      <c r="R76" s="1">
        <v>1.5</v>
      </c>
      <c r="S76" s="1">
        <v>1</v>
      </c>
      <c r="T76" s="1">
        <v>0.8</v>
      </c>
      <c r="U76" s="1">
        <v>10</v>
      </c>
      <c r="V76" s="5">
        <f t="shared" si="7"/>
        <v>2.4999999999999996</v>
      </c>
      <c r="X76" s="1">
        <v>53</v>
      </c>
      <c r="Y76" s="6">
        <f t="shared" si="12"/>
        <v>4919.5695516073019</v>
      </c>
      <c r="Z76" s="6">
        <f t="shared" si="13"/>
        <v>80338.182647615788</v>
      </c>
      <c r="AA76" s="6">
        <f t="shared" si="14"/>
        <v>9482.106197845078</v>
      </c>
      <c r="AB76" s="1">
        <f t="shared" si="15"/>
        <v>0.4</v>
      </c>
      <c r="AC76" s="1">
        <f t="shared" si="18"/>
        <v>1.5</v>
      </c>
      <c r="AD76" s="1">
        <f t="shared" si="19"/>
        <v>1</v>
      </c>
      <c r="AE76" s="1">
        <f t="shared" si="16"/>
        <v>10</v>
      </c>
      <c r="AF76" s="36">
        <f t="shared" si="17"/>
        <v>2.4999999999999996</v>
      </c>
    </row>
    <row r="77" spans="4:32" ht="14.25" customHeight="1" outlineLevel="1" x14ac:dyDescent="0.2">
      <c r="D77" s="1">
        <v>54</v>
      </c>
      <c r="E77" s="6">
        <f t="shared" si="20"/>
        <v>258.27740145938333</v>
      </c>
      <c r="F77" s="6">
        <f t="shared" si="20"/>
        <v>9860.4891383211689</v>
      </c>
      <c r="G77" s="6">
        <f t="shared" si="20"/>
        <v>66.374743384915547</v>
      </c>
      <c r="H77" s="1">
        <v>0.4</v>
      </c>
      <c r="I77" s="1">
        <v>1.5</v>
      </c>
      <c r="J77" s="1">
        <v>1</v>
      </c>
      <c r="M77" s="1">
        <v>54</v>
      </c>
      <c r="N77" s="6">
        <f t="shared" si="11"/>
        <v>25827.740145938336</v>
      </c>
      <c r="O77" s="6">
        <f t="shared" si="5"/>
        <v>741159.39800232905</v>
      </c>
      <c r="P77" s="6">
        <f t="shared" si="6"/>
        <v>9956.2115077373328</v>
      </c>
      <c r="Q77" s="1">
        <v>0.4</v>
      </c>
      <c r="R77" s="1">
        <v>1.5</v>
      </c>
      <c r="S77" s="1">
        <v>1</v>
      </c>
      <c r="T77" s="1">
        <v>0.8</v>
      </c>
      <c r="U77" s="1">
        <v>10</v>
      </c>
      <c r="V77" s="5">
        <f t="shared" si="7"/>
        <v>2.4999999999999996</v>
      </c>
      <c r="X77" s="1">
        <v>54</v>
      </c>
      <c r="Y77" s="6">
        <f t="shared" si="12"/>
        <v>5165.5480291876675</v>
      </c>
      <c r="Z77" s="6">
        <f t="shared" si="13"/>
        <v>82351.04422248101</v>
      </c>
      <c r="AA77" s="6">
        <f t="shared" si="14"/>
        <v>9956.2115077373328</v>
      </c>
      <c r="AB77" s="1">
        <f t="shared" si="15"/>
        <v>0.4</v>
      </c>
      <c r="AC77" s="1">
        <f t="shared" si="18"/>
        <v>1.5</v>
      </c>
      <c r="AD77" s="1">
        <f t="shared" si="19"/>
        <v>1</v>
      </c>
      <c r="AE77" s="1">
        <f t="shared" si="16"/>
        <v>10</v>
      </c>
      <c r="AF77" s="36">
        <f t="shared" si="17"/>
        <v>2.4999999999999996</v>
      </c>
    </row>
    <row r="78" spans="4:32" ht="14.25" customHeight="1" outlineLevel="1" x14ac:dyDescent="0.2">
      <c r="D78" s="1">
        <v>55</v>
      </c>
      <c r="E78" s="6">
        <f t="shared" si="20"/>
        <v>271.19127153235252</v>
      </c>
      <c r="F78" s="6">
        <f t="shared" si="20"/>
        <v>10353.513595237227</v>
      </c>
      <c r="G78" s="6">
        <f t="shared" si="20"/>
        <v>69.693480554161312</v>
      </c>
      <c r="H78" s="1">
        <v>0.4</v>
      </c>
      <c r="I78" s="1">
        <v>1.5</v>
      </c>
      <c r="J78" s="1">
        <v>1</v>
      </c>
      <c r="M78" s="1">
        <v>55</v>
      </c>
      <c r="N78" s="6">
        <f t="shared" si="11"/>
        <v>27119.127153235255</v>
      </c>
      <c r="O78" s="6">
        <f t="shared" si="5"/>
        <v>759277.09130954987</v>
      </c>
      <c r="P78" s="6">
        <f t="shared" si="6"/>
        <v>10454.022083124197</v>
      </c>
      <c r="Q78" s="1">
        <v>0.4</v>
      </c>
      <c r="R78" s="1">
        <v>1.5</v>
      </c>
      <c r="S78" s="1">
        <v>1</v>
      </c>
      <c r="T78" s="1">
        <v>0.8</v>
      </c>
      <c r="U78" s="1">
        <v>10</v>
      </c>
      <c r="V78" s="5">
        <f t="shared" si="7"/>
        <v>2.4999999999999991</v>
      </c>
      <c r="X78" s="1">
        <v>55</v>
      </c>
      <c r="Y78" s="6">
        <f t="shared" si="12"/>
        <v>5423.8254306470508</v>
      </c>
      <c r="Z78" s="6">
        <f t="shared" si="13"/>
        <v>84364.12125661665</v>
      </c>
      <c r="AA78" s="6">
        <f t="shared" si="14"/>
        <v>10454.022083124197</v>
      </c>
      <c r="AB78" s="1">
        <f t="shared" si="15"/>
        <v>0.4</v>
      </c>
      <c r="AC78" s="1">
        <f t="shared" si="18"/>
        <v>1.5</v>
      </c>
      <c r="AD78" s="1">
        <f t="shared" si="19"/>
        <v>1</v>
      </c>
      <c r="AE78" s="1">
        <f t="shared" si="16"/>
        <v>10</v>
      </c>
      <c r="AF78" s="36">
        <f t="shared" si="17"/>
        <v>2.4999999999999991</v>
      </c>
    </row>
    <row r="79" spans="4:32" ht="14.25" customHeight="1" outlineLevel="1" x14ac:dyDescent="0.2">
      <c r="D79" s="1">
        <v>56</v>
      </c>
      <c r="E79" s="6">
        <f t="shared" si="20"/>
        <v>284.75083510897019</v>
      </c>
      <c r="F79" s="6">
        <f t="shared" si="20"/>
        <v>10871.189274999091</v>
      </c>
      <c r="G79" s="6">
        <f t="shared" si="20"/>
        <v>73.178154581869393</v>
      </c>
      <c r="H79" s="1">
        <v>0.4</v>
      </c>
      <c r="I79" s="1">
        <v>1.5</v>
      </c>
      <c r="J79" s="1">
        <v>1</v>
      </c>
      <c r="M79" s="1">
        <v>56</v>
      </c>
      <c r="N79" s="6">
        <f t="shared" si="11"/>
        <v>28475.08351089702</v>
      </c>
      <c r="O79" s="6">
        <f t="shared" si="5"/>
        <v>777375.17756760644</v>
      </c>
      <c r="P79" s="6">
        <f t="shared" si="6"/>
        <v>10976.72318728041</v>
      </c>
      <c r="Q79" s="1">
        <v>0.4</v>
      </c>
      <c r="R79" s="1">
        <v>1.5</v>
      </c>
      <c r="S79" s="1">
        <v>1</v>
      </c>
      <c r="T79" s="1">
        <v>0.8</v>
      </c>
      <c r="U79" s="1">
        <v>10</v>
      </c>
      <c r="V79" s="5">
        <f t="shared" si="7"/>
        <v>2.4999999999999991</v>
      </c>
      <c r="X79" s="1">
        <v>56</v>
      </c>
      <c r="Y79" s="6">
        <f t="shared" si="12"/>
        <v>5695.0167021794041</v>
      </c>
      <c r="Z79" s="6">
        <f t="shared" si="13"/>
        <v>86375.019729734049</v>
      </c>
      <c r="AA79" s="6">
        <f t="shared" si="14"/>
        <v>10976.72318728041</v>
      </c>
      <c r="AB79" s="1">
        <f t="shared" si="15"/>
        <v>0.4</v>
      </c>
      <c r="AC79" s="1">
        <f t="shared" si="18"/>
        <v>1.5</v>
      </c>
      <c r="AD79" s="1">
        <f t="shared" si="19"/>
        <v>1</v>
      </c>
      <c r="AE79" s="1">
        <f t="shared" si="16"/>
        <v>10</v>
      </c>
      <c r="AF79" s="36">
        <f t="shared" si="17"/>
        <v>2.4999999999999991</v>
      </c>
    </row>
    <row r="80" spans="4:32" ht="14.25" customHeight="1" outlineLevel="1" x14ac:dyDescent="0.2">
      <c r="D80" s="1">
        <v>57</v>
      </c>
      <c r="E80" s="6">
        <f t="shared" si="20"/>
        <v>298.98837686441863</v>
      </c>
      <c r="F80" s="6">
        <f t="shared" si="20"/>
        <v>11414.748738749044</v>
      </c>
      <c r="G80" s="6">
        <f t="shared" si="20"/>
        <v>76.83706231096285</v>
      </c>
      <c r="H80" s="1">
        <v>0.4</v>
      </c>
      <c r="I80" s="1">
        <v>1.5</v>
      </c>
      <c r="J80" s="1">
        <v>1</v>
      </c>
      <c r="M80" s="1">
        <v>57</v>
      </c>
      <c r="N80" s="6">
        <f t="shared" si="11"/>
        <v>29898.837686441864</v>
      </c>
      <c r="O80" s="6">
        <f t="shared" si="5"/>
        <v>795432.20375328814</v>
      </c>
      <c r="P80" s="6">
        <f t="shared" si="6"/>
        <v>11525.559346644428</v>
      </c>
      <c r="Q80" s="1">
        <v>0.4</v>
      </c>
      <c r="R80" s="1">
        <v>1.5</v>
      </c>
      <c r="S80" s="1">
        <v>1</v>
      </c>
      <c r="T80" s="1">
        <v>0.8</v>
      </c>
      <c r="U80" s="1">
        <v>10</v>
      </c>
      <c r="V80" s="5">
        <f t="shared" si="7"/>
        <v>2.4999999999999991</v>
      </c>
      <c r="X80" s="1">
        <v>57</v>
      </c>
      <c r="Y80" s="6">
        <f t="shared" si="12"/>
        <v>5979.7675372883732</v>
      </c>
      <c r="Z80" s="6">
        <f t="shared" si="13"/>
        <v>88381.355972587568</v>
      </c>
      <c r="AA80" s="6">
        <f t="shared" si="14"/>
        <v>11525.559346644428</v>
      </c>
      <c r="AB80" s="1">
        <f t="shared" si="15"/>
        <v>0.4</v>
      </c>
      <c r="AC80" s="1">
        <f t="shared" si="18"/>
        <v>1.5</v>
      </c>
      <c r="AD80" s="1">
        <f t="shared" si="19"/>
        <v>1</v>
      </c>
      <c r="AE80" s="1">
        <f t="shared" si="16"/>
        <v>10</v>
      </c>
      <c r="AF80" s="36">
        <f t="shared" si="17"/>
        <v>2.4999999999999991</v>
      </c>
    </row>
    <row r="81" spans="4:32" ht="14.25" customHeight="1" outlineLevel="1" x14ac:dyDescent="0.2">
      <c r="D81" s="1">
        <v>58</v>
      </c>
      <c r="E81" s="6">
        <f t="shared" si="20"/>
        <v>313.93779570763962</v>
      </c>
      <c r="F81" s="6">
        <f t="shared" si="20"/>
        <v>11985.486175686498</v>
      </c>
      <c r="G81" s="6">
        <f t="shared" si="20"/>
        <v>80.678915426510997</v>
      </c>
      <c r="H81" s="1">
        <v>0.4</v>
      </c>
      <c r="I81" s="1">
        <v>1.5</v>
      </c>
      <c r="J81" s="1">
        <v>1</v>
      </c>
      <c r="M81" s="1">
        <v>58</v>
      </c>
      <c r="N81" s="6">
        <f t="shared" si="11"/>
        <v>31393.779570763963</v>
      </c>
      <c r="O81" s="6">
        <f t="shared" si="5"/>
        <v>813426.9114432747</v>
      </c>
      <c r="P81" s="6">
        <f t="shared" si="6"/>
        <v>12101.83731397665</v>
      </c>
      <c r="Q81" s="1">
        <v>0.4</v>
      </c>
      <c r="R81" s="1">
        <v>1.5</v>
      </c>
      <c r="S81" s="1">
        <v>1</v>
      </c>
      <c r="T81" s="1">
        <v>0.8</v>
      </c>
      <c r="U81" s="1">
        <v>10</v>
      </c>
      <c r="V81" s="5">
        <f t="shared" si="7"/>
        <v>2.4999999999999991</v>
      </c>
      <c r="X81" s="1">
        <v>58</v>
      </c>
      <c r="Y81" s="6">
        <f t="shared" si="12"/>
        <v>6278.7559141527927</v>
      </c>
      <c r="Z81" s="6">
        <f t="shared" si="13"/>
        <v>90380.767938141638</v>
      </c>
      <c r="AA81" s="6">
        <f t="shared" si="14"/>
        <v>12101.83731397665</v>
      </c>
      <c r="AB81" s="1">
        <f t="shared" si="15"/>
        <v>0.4</v>
      </c>
      <c r="AC81" s="1">
        <f t="shared" si="18"/>
        <v>1.5</v>
      </c>
      <c r="AD81" s="1">
        <f t="shared" si="19"/>
        <v>1</v>
      </c>
      <c r="AE81" s="1">
        <f t="shared" si="16"/>
        <v>10</v>
      </c>
      <c r="AF81" s="36">
        <f t="shared" si="17"/>
        <v>2.4999999999999991</v>
      </c>
    </row>
    <row r="82" spans="4:32" ht="14.25" customHeight="1" outlineLevel="1" x14ac:dyDescent="0.2">
      <c r="D82" s="1">
        <v>59</v>
      </c>
      <c r="E82" s="6">
        <f t="shared" si="20"/>
        <v>329.63468549302161</v>
      </c>
      <c r="F82" s="6">
        <f t="shared" si="20"/>
        <v>12584.760484470822</v>
      </c>
      <c r="G82" s="6">
        <f t="shared" si="20"/>
        <v>84.71286119783656</v>
      </c>
      <c r="H82" s="1">
        <v>0.4</v>
      </c>
      <c r="I82" s="1">
        <v>1.5</v>
      </c>
      <c r="J82" s="1">
        <v>1</v>
      </c>
      <c r="M82" s="1">
        <v>59</v>
      </c>
      <c r="N82" s="6">
        <f t="shared" si="11"/>
        <v>32963.468549302161</v>
      </c>
      <c r="O82" s="6">
        <f t="shared" si="5"/>
        <v>831338.33629968693</v>
      </c>
      <c r="P82" s="6">
        <f t="shared" si="6"/>
        <v>12706.929179675484</v>
      </c>
      <c r="Q82" s="1">
        <v>0.4</v>
      </c>
      <c r="R82" s="1">
        <v>1.5</v>
      </c>
      <c r="S82" s="1">
        <v>1</v>
      </c>
      <c r="T82" s="1">
        <v>0.8</v>
      </c>
      <c r="U82" s="1">
        <v>10</v>
      </c>
      <c r="V82" s="5">
        <f t="shared" si="7"/>
        <v>2.4999999999999991</v>
      </c>
      <c r="X82" s="1">
        <v>59</v>
      </c>
      <c r="Y82" s="6">
        <f t="shared" si="12"/>
        <v>6592.6937098604321</v>
      </c>
      <c r="Z82" s="6">
        <f t="shared" si="13"/>
        <v>92370.926255520768</v>
      </c>
      <c r="AA82" s="6">
        <f t="shared" si="14"/>
        <v>12706.929179675484</v>
      </c>
      <c r="AB82" s="1">
        <f t="shared" si="15"/>
        <v>0.4</v>
      </c>
      <c r="AC82" s="1">
        <f t="shared" si="18"/>
        <v>1.5</v>
      </c>
      <c r="AD82" s="1">
        <f t="shared" si="19"/>
        <v>1</v>
      </c>
      <c r="AE82" s="1">
        <f t="shared" si="16"/>
        <v>10</v>
      </c>
      <c r="AF82" s="36">
        <f t="shared" si="17"/>
        <v>2.4999999999999991</v>
      </c>
    </row>
    <row r="83" spans="4:32" ht="14.25" customHeight="1" outlineLevel="1" x14ac:dyDescent="0.2">
      <c r="D83" s="1">
        <v>60</v>
      </c>
      <c r="E83" s="6">
        <f t="shared" si="20"/>
        <v>346.11641976767271</v>
      </c>
      <c r="F83" s="6">
        <f t="shared" si="20"/>
        <v>13213.998508694365</v>
      </c>
      <c r="G83" s="6">
        <f t="shared" si="20"/>
        <v>88.948504257728388</v>
      </c>
      <c r="H83" s="1">
        <v>0.4</v>
      </c>
      <c r="I83" s="1">
        <v>1.5</v>
      </c>
      <c r="J83" s="1">
        <v>1</v>
      </c>
      <c r="M83" s="1">
        <v>60</v>
      </c>
      <c r="N83" s="6">
        <f t="shared" si="11"/>
        <v>34611.641976767271</v>
      </c>
      <c r="O83" s="6">
        <f t="shared" si="5"/>
        <v>849145.9046184083</v>
      </c>
      <c r="P83" s="6">
        <f t="shared" si="6"/>
        <v>13342.275638659257</v>
      </c>
      <c r="Q83" s="1">
        <v>0.4</v>
      </c>
      <c r="R83" s="1">
        <v>1.5</v>
      </c>
      <c r="S83" s="1">
        <v>1</v>
      </c>
      <c r="T83" s="1">
        <v>0.8</v>
      </c>
      <c r="U83" s="1">
        <v>10</v>
      </c>
      <c r="V83" s="5">
        <f t="shared" si="7"/>
        <v>2.4999999999999996</v>
      </c>
      <c r="X83" s="1">
        <v>60</v>
      </c>
      <c r="Y83" s="6">
        <f t="shared" si="12"/>
        <v>6922.3283953534537</v>
      </c>
      <c r="Z83" s="6">
        <f t="shared" si="13"/>
        <v>94349.544957600927</v>
      </c>
      <c r="AA83" s="6">
        <f t="shared" si="14"/>
        <v>13342.275638659257</v>
      </c>
      <c r="AB83" s="1">
        <f t="shared" si="15"/>
        <v>0.4</v>
      </c>
      <c r="AC83" s="1">
        <f t="shared" si="18"/>
        <v>1.5</v>
      </c>
      <c r="AD83" s="1">
        <f t="shared" si="19"/>
        <v>1</v>
      </c>
      <c r="AE83" s="1">
        <f t="shared" si="16"/>
        <v>10</v>
      </c>
      <c r="AF83" s="36">
        <f t="shared" si="17"/>
        <v>2.4999999999999996</v>
      </c>
    </row>
    <row r="84" spans="4:32" ht="14.25" customHeight="1" outlineLevel="1" x14ac:dyDescent="0.2">
      <c r="D84" s="1">
        <v>61</v>
      </c>
      <c r="E84" s="6">
        <f t="shared" si="20"/>
        <v>363.42224075605628</v>
      </c>
      <c r="F84" s="6">
        <f t="shared" si="20"/>
        <v>13874.698434129081</v>
      </c>
      <c r="G84" s="6">
        <f t="shared" si="20"/>
        <v>93.395929470614789</v>
      </c>
      <c r="H84" s="1">
        <v>0.4</v>
      </c>
      <c r="I84" s="1">
        <v>1.5</v>
      </c>
      <c r="J84" s="1">
        <v>1</v>
      </c>
      <c r="M84" s="1">
        <v>61</v>
      </c>
      <c r="N84" s="6">
        <f t="shared" si="11"/>
        <v>36342.224075605627</v>
      </c>
      <c r="O84" s="6">
        <f t="shared" si="5"/>
        <v>866829.52600800747</v>
      </c>
      <c r="P84" s="6">
        <f t="shared" si="6"/>
        <v>14009.389420592219</v>
      </c>
      <c r="Q84" s="1">
        <v>0.4</v>
      </c>
      <c r="R84" s="1">
        <v>1.5</v>
      </c>
      <c r="S84" s="1">
        <v>1</v>
      </c>
      <c r="T84" s="1">
        <v>0.8</v>
      </c>
      <c r="U84" s="1">
        <v>10</v>
      </c>
      <c r="V84" s="5">
        <f t="shared" si="7"/>
        <v>2.4999999999999996</v>
      </c>
      <c r="X84" s="1">
        <v>61</v>
      </c>
      <c r="Y84" s="6">
        <f t="shared" si="12"/>
        <v>7268.4448151211254</v>
      </c>
      <c r="Z84" s="6">
        <f t="shared" si="13"/>
        <v>96314.391778667501</v>
      </c>
      <c r="AA84" s="6">
        <f t="shared" si="14"/>
        <v>14009.389420592219</v>
      </c>
      <c r="AB84" s="1">
        <f t="shared" si="15"/>
        <v>0.4</v>
      </c>
      <c r="AC84" s="1">
        <f t="shared" si="18"/>
        <v>1.5</v>
      </c>
      <c r="AD84" s="1">
        <f t="shared" si="19"/>
        <v>1</v>
      </c>
      <c r="AE84" s="1">
        <f t="shared" si="16"/>
        <v>10</v>
      </c>
      <c r="AF84" s="36">
        <f t="shared" si="17"/>
        <v>2.4999999999999996</v>
      </c>
    </row>
    <row r="85" spans="4:32" ht="14.25" customHeight="1" outlineLevel="1" x14ac:dyDescent="0.2">
      <c r="D85" s="1">
        <v>62</v>
      </c>
      <c r="E85" s="6">
        <f t="shared" si="20"/>
        <v>381.5933527938592</v>
      </c>
      <c r="F85" s="6">
        <f t="shared" si="20"/>
        <v>14568.433355835537</v>
      </c>
      <c r="G85" s="6">
        <f t="shared" si="20"/>
        <v>98.065725944145555</v>
      </c>
      <c r="H85" s="1">
        <v>0.4</v>
      </c>
      <c r="I85" s="1">
        <v>1.5</v>
      </c>
      <c r="J85" s="1">
        <v>1</v>
      </c>
      <c r="M85" s="1">
        <v>62</v>
      </c>
      <c r="N85" s="6">
        <f t="shared" si="11"/>
        <v>38159.335279385923</v>
      </c>
      <c r="O85" s="6">
        <f t="shared" si="5"/>
        <v>884369.6813324457</v>
      </c>
      <c r="P85" s="6">
        <f t="shared" si="6"/>
        <v>14709.858891621834</v>
      </c>
      <c r="Q85" s="1">
        <v>0.4</v>
      </c>
      <c r="R85" s="1">
        <v>1.5</v>
      </c>
      <c r="S85" s="1">
        <v>1</v>
      </c>
      <c r="T85" s="1">
        <v>0.8</v>
      </c>
      <c r="U85" s="1">
        <v>10</v>
      </c>
      <c r="V85" s="5">
        <f t="shared" si="7"/>
        <v>2.4999999999999991</v>
      </c>
      <c r="X85" s="1">
        <v>62</v>
      </c>
      <c r="Y85" s="6">
        <f t="shared" si="12"/>
        <v>7631.8670558771846</v>
      </c>
      <c r="Z85" s="6">
        <f t="shared" si="13"/>
        <v>98263.297925827297</v>
      </c>
      <c r="AA85" s="6">
        <f t="shared" si="14"/>
        <v>14709.858891621834</v>
      </c>
      <c r="AB85" s="1">
        <f t="shared" si="15"/>
        <v>0.4</v>
      </c>
      <c r="AC85" s="1">
        <f t="shared" si="18"/>
        <v>1.5</v>
      </c>
      <c r="AD85" s="1">
        <f t="shared" si="19"/>
        <v>1</v>
      </c>
      <c r="AE85" s="1">
        <f t="shared" si="16"/>
        <v>10</v>
      </c>
      <c r="AF85" s="36">
        <f t="shared" si="17"/>
        <v>2.4999999999999991</v>
      </c>
    </row>
    <row r="86" spans="4:32" ht="14.25" customHeight="1" outlineLevel="1" x14ac:dyDescent="0.2">
      <c r="D86" s="1">
        <v>63</v>
      </c>
      <c r="E86" s="6">
        <f t="shared" si="20"/>
        <v>400.67302043355198</v>
      </c>
      <c r="F86" s="6">
        <f t="shared" si="20"/>
        <v>15296.855023627308</v>
      </c>
      <c r="G86" s="6">
        <f t="shared" si="20"/>
        <v>102.9690122413528</v>
      </c>
      <c r="H86" s="1">
        <v>0.4</v>
      </c>
      <c r="I86" s="1">
        <v>1.5</v>
      </c>
      <c r="J86" s="1">
        <v>1</v>
      </c>
      <c r="M86" s="1">
        <v>63</v>
      </c>
      <c r="N86" s="6">
        <f t="shared" si="11"/>
        <v>40067.302043355201</v>
      </c>
      <c r="O86" s="6">
        <f t="shared" si="5"/>
        <v>901747.50512960367</v>
      </c>
      <c r="P86" s="6">
        <f t="shared" si="6"/>
        <v>15445.351836202921</v>
      </c>
      <c r="Q86" s="1">
        <v>0.4</v>
      </c>
      <c r="R86" s="1">
        <v>1.5</v>
      </c>
      <c r="S86" s="1">
        <v>1</v>
      </c>
      <c r="T86" s="1">
        <v>0.8</v>
      </c>
      <c r="U86" s="1">
        <v>10</v>
      </c>
      <c r="V86" s="5">
        <f t="shared" si="7"/>
        <v>2.4999999999999991</v>
      </c>
      <c r="X86" s="1">
        <v>63</v>
      </c>
      <c r="Y86" s="6">
        <f t="shared" si="12"/>
        <v>8013.4604086710406</v>
      </c>
      <c r="Z86" s="6">
        <f t="shared" si="13"/>
        <v>100194.16723662263</v>
      </c>
      <c r="AA86" s="6">
        <f t="shared" si="14"/>
        <v>15445.351836202921</v>
      </c>
      <c r="AB86" s="1">
        <f t="shared" si="15"/>
        <v>0.4</v>
      </c>
      <c r="AC86" s="1">
        <f t="shared" si="18"/>
        <v>1.5</v>
      </c>
      <c r="AD86" s="1">
        <f t="shared" si="19"/>
        <v>1</v>
      </c>
      <c r="AE86" s="1">
        <f t="shared" si="16"/>
        <v>10</v>
      </c>
      <c r="AF86" s="36">
        <f t="shared" si="17"/>
        <v>2.4999999999999991</v>
      </c>
    </row>
    <row r="87" spans="4:32" ht="14.25" customHeight="1" outlineLevel="1" x14ac:dyDescent="0.2">
      <c r="D87" s="1">
        <v>64</v>
      </c>
      <c r="E87" s="6">
        <f t="shared" si="20"/>
        <v>420.70667145522975</v>
      </c>
      <c r="F87" s="6">
        <f t="shared" si="20"/>
        <v>16061.697774808681</v>
      </c>
      <c r="G87" s="6">
        <f t="shared" si="20"/>
        <v>108.11746285342048</v>
      </c>
      <c r="H87" s="1">
        <v>0.4</v>
      </c>
      <c r="I87" s="1">
        <v>1.5</v>
      </c>
      <c r="J87" s="1">
        <v>1</v>
      </c>
      <c r="M87" s="1">
        <v>64</v>
      </c>
      <c r="N87" s="6">
        <f t="shared" si="11"/>
        <v>42070.667145522981</v>
      </c>
      <c r="O87" s="6">
        <f t="shared" si="5"/>
        <v>918944.86180810735</v>
      </c>
      <c r="P87" s="6">
        <f t="shared" si="6"/>
        <v>16217.619428013071</v>
      </c>
      <c r="Q87" s="1">
        <v>0.4</v>
      </c>
      <c r="R87" s="1">
        <v>1.5</v>
      </c>
      <c r="S87" s="1">
        <v>1</v>
      </c>
      <c r="T87" s="1">
        <v>0.8</v>
      </c>
      <c r="U87" s="1">
        <v>10</v>
      </c>
      <c r="V87" s="5">
        <f t="shared" si="7"/>
        <v>2.4999999999999991</v>
      </c>
      <c r="X87" s="1">
        <v>64</v>
      </c>
      <c r="Y87" s="6">
        <f t="shared" si="12"/>
        <v>8414.1334291045969</v>
      </c>
      <c r="Z87" s="6">
        <f t="shared" si="13"/>
        <v>102104.98464534526</v>
      </c>
      <c r="AA87" s="6">
        <f t="shared" si="14"/>
        <v>16217.619428013071</v>
      </c>
      <c r="AB87" s="1">
        <f t="shared" si="15"/>
        <v>0.4</v>
      </c>
      <c r="AC87" s="1">
        <f t="shared" si="18"/>
        <v>1.5</v>
      </c>
      <c r="AD87" s="1">
        <f t="shared" si="19"/>
        <v>1</v>
      </c>
      <c r="AE87" s="1">
        <f t="shared" si="16"/>
        <v>10</v>
      </c>
      <c r="AF87" s="36">
        <f t="shared" si="17"/>
        <v>2.4999999999999991</v>
      </c>
    </row>
    <row r="88" spans="4:32" ht="14.25" customHeight="1" outlineLevel="1" x14ac:dyDescent="0.2">
      <c r="D88" s="1">
        <v>65</v>
      </c>
      <c r="E88" s="6">
        <f t="shared" si="20"/>
        <v>441.74200502799124</v>
      </c>
      <c r="F88" s="6">
        <f t="shared" si="20"/>
        <v>16864.782663549115</v>
      </c>
      <c r="G88" s="6">
        <f t="shared" si="20"/>
        <v>113.5233359960915</v>
      </c>
      <c r="H88" s="1">
        <v>0.4</v>
      </c>
      <c r="I88" s="1">
        <v>1.5</v>
      </c>
      <c r="J88" s="1">
        <v>1</v>
      </c>
      <c r="M88" s="1">
        <v>65</v>
      </c>
      <c r="N88" s="6">
        <f t="shared" si="11"/>
        <v>44174.200502799125</v>
      </c>
      <c r="O88" s="6">
        <f t="shared" si="5"/>
        <v>935944.41502468218</v>
      </c>
      <c r="P88" s="6">
        <f t="shared" si="6"/>
        <v>17028.500399413726</v>
      </c>
      <c r="Q88" s="1">
        <v>0.4</v>
      </c>
      <c r="R88" s="1">
        <v>1.5</v>
      </c>
      <c r="S88" s="1">
        <v>1</v>
      </c>
      <c r="T88" s="1">
        <v>0.8</v>
      </c>
      <c r="U88" s="1">
        <v>10</v>
      </c>
      <c r="V88" s="5">
        <f t="shared" si="7"/>
        <v>2.4999999999999996</v>
      </c>
      <c r="X88" s="1">
        <v>65</v>
      </c>
      <c r="Y88" s="6">
        <f t="shared" si="12"/>
        <v>8834.8401005598244</v>
      </c>
      <c r="Z88" s="6">
        <f t="shared" si="13"/>
        <v>103993.82389163136</v>
      </c>
      <c r="AA88" s="6">
        <f t="shared" si="14"/>
        <v>17028.500399413726</v>
      </c>
      <c r="AB88" s="1">
        <f t="shared" si="15"/>
        <v>0.4</v>
      </c>
      <c r="AC88" s="1">
        <f t="shared" si="18"/>
        <v>1.5</v>
      </c>
      <c r="AD88" s="1">
        <f t="shared" si="19"/>
        <v>1</v>
      </c>
      <c r="AE88" s="1">
        <f t="shared" si="16"/>
        <v>10</v>
      </c>
      <c r="AF88" s="36">
        <f t="shared" si="17"/>
        <v>2.4999999999999996</v>
      </c>
    </row>
    <row r="89" spans="4:32" ht="14.25" customHeight="1" outlineLevel="1" x14ac:dyDescent="0.2">
      <c r="D89" s="1">
        <v>66</v>
      </c>
      <c r="E89" s="6">
        <f t="shared" si="20"/>
        <v>463.82910527939083</v>
      </c>
      <c r="F89" s="6">
        <f t="shared" si="20"/>
        <v>17708.021796726571</v>
      </c>
      <c r="G89" s="6">
        <f t="shared" si="20"/>
        <v>119.19950279589608</v>
      </c>
      <c r="H89" s="1">
        <v>0.4</v>
      </c>
      <c r="I89" s="1">
        <v>1.5</v>
      </c>
      <c r="J89" s="1">
        <v>1</v>
      </c>
      <c r="M89" s="1">
        <v>66</v>
      </c>
      <c r="N89" s="6">
        <f t="shared" ref="N89:N123" si="21">E89*T89*$K$21/S89/(1+Q89*(R89-1))</f>
        <v>46382.910527939086</v>
      </c>
      <c r="O89" s="6">
        <f t="shared" ref="O89:O123" si="22">F89*$K$21/(1+P89/$P$22)</f>
        <v>952729.68975095439</v>
      </c>
      <c r="P89" s="6">
        <f t="shared" ref="P89:P123" si="23">G89*$K$21</f>
        <v>17879.925419384414</v>
      </c>
      <c r="Q89" s="1">
        <v>0.4</v>
      </c>
      <c r="R89" s="1">
        <v>1.5</v>
      </c>
      <c r="S89" s="1">
        <v>1</v>
      </c>
      <c r="T89" s="1">
        <v>0.8</v>
      </c>
      <c r="U89" s="1">
        <v>10</v>
      </c>
      <c r="V89" s="5">
        <f t="shared" ref="V89:V123" si="24">E89*$K$21*(1-T89)/(1/U89)/(1+Q89*(R89-1))/N89</f>
        <v>2.4999999999999996</v>
      </c>
      <c r="X89" s="1">
        <v>66</v>
      </c>
      <c r="Y89" s="6">
        <f t="shared" si="12"/>
        <v>9276.5821055878168</v>
      </c>
      <c r="Z89" s="6">
        <f t="shared" si="13"/>
        <v>105858.85441677271</v>
      </c>
      <c r="AA89" s="6">
        <f t="shared" si="14"/>
        <v>17879.925419384414</v>
      </c>
      <c r="AB89" s="1">
        <f t="shared" si="15"/>
        <v>0.4</v>
      </c>
      <c r="AC89" s="1">
        <f t="shared" si="18"/>
        <v>1.5</v>
      </c>
      <c r="AD89" s="1">
        <f t="shared" si="19"/>
        <v>1</v>
      </c>
      <c r="AE89" s="1">
        <f t="shared" si="16"/>
        <v>10</v>
      </c>
      <c r="AF89" s="36">
        <f t="shared" si="17"/>
        <v>2.4999999999999996</v>
      </c>
    </row>
    <row r="90" spans="4:32" ht="14.25" customHeight="1" outlineLevel="1" x14ac:dyDescent="0.2">
      <c r="D90" s="1">
        <v>67</v>
      </c>
      <c r="E90" s="6">
        <f t="shared" ref="E90:G123" si="25">E$21*E$22^($D90-1)</f>
        <v>487.02056054336038</v>
      </c>
      <c r="F90" s="6">
        <f t="shared" si="25"/>
        <v>18593.422886562901</v>
      </c>
      <c r="G90" s="6">
        <f t="shared" si="25"/>
        <v>125.15947793569089</v>
      </c>
      <c r="H90" s="1">
        <v>0.4</v>
      </c>
      <c r="I90" s="1">
        <v>1.5</v>
      </c>
      <c r="J90" s="1">
        <v>1</v>
      </c>
      <c r="M90" s="1">
        <v>67</v>
      </c>
      <c r="N90" s="6">
        <f t="shared" si="21"/>
        <v>48702.056054336041</v>
      </c>
      <c r="O90" s="6">
        <f t="shared" si="22"/>
        <v>969285.12664974807</v>
      </c>
      <c r="P90" s="6">
        <f t="shared" si="23"/>
        <v>18773.921690353633</v>
      </c>
      <c r="Q90" s="1">
        <v>0.4</v>
      </c>
      <c r="R90" s="1">
        <v>1.5</v>
      </c>
      <c r="S90" s="1">
        <v>1</v>
      </c>
      <c r="T90" s="1">
        <v>0.8</v>
      </c>
      <c r="U90" s="1">
        <v>10</v>
      </c>
      <c r="V90" s="5">
        <f t="shared" si="24"/>
        <v>2.4999999999999987</v>
      </c>
      <c r="X90" s="1">
        <v>67</v>
      </c>
      <c r="Y90" s="6">
        <f t="shared" ref="Y90:Y123" si="26">2*N90/(1+$X$22)</f>
        <v>9740.4112108672089</v>
      </c>
      <c r="Z90" s="6">
        <f t="shared" ref="Z90:Z123" si="27">O90/$X$22</f>
        <v>107698.34740552756</v>
      </c>
      <c r="AA90" s="6">
        <f t="shared" ref="AA90:AA123" si="28">P90</f>
        <v>18773.921690353633</v>
      </c>
      <c r="AB90" s="1">
        <f t="shared" ref="AB90:AB123" si="29">Q90</f>
        <v>0.4</v>
      </c>
      <c r="AC90" s="1">
        <f t="shared" si="18"/>
        <v>1.5</v>
      </c>
      <c r="AD90" s="1">
        <f t="shared" si="19"/>
        <v>1</v>
      </c>
      <c r="AE90" s="1">
        <f t="shared" ref="AE90:AE123" si="30">U90</f>
        <v>10</v>
      </c>
      <c r="AF90" s="36">
        <f t="shared" ref="AF90:AF123" si="31">V90</f>
        <v>2.4999999999999987</v>
      </c>
    </row>
    <row r="91" spans="4:32" ht="14.25" customHeight="1" outlineLevel="1" x14ac:dyDescent="0.2">
      <c r="D91" s="1">
        <v>68</v>
      </c>
      <c r="E91" s="6">
        <f t="shared" si="25"/>
        <v>511.37158857052839</v>
      </c>
      <c r="F91" s="6">
        <f t="shared" si="25"/>
        <v>19523.094030891047</v>
      </c>
      <c r="G91" s="6">
        <f t="shared" si="25"/>
        <v>131.41745183247542</v>
      </c>
      <c r="H91" s="1">
        <v>0.4</v>
      </c>
      <c r="I91" s="1">
        <v>1.5</v>
      </c>
      <c r="J91" s="1">
        <v>1</v>
      </c>
      <c r="M91" s="1">
        <v>68</v>
      </c>
      <c r="N91" s="6">
        <f t="shared" si="21"/>
        <v>51137.15885705284</v>
      </c>
      <c r="O91" s="6">
        <f t="shared" si="22"/>
        <v>985596.12849404686</v>
      </c>
      <c r="P91" s="6">
        <f t="shared" si="23"/>
        <v>19712.617774871313</v>
      </c>
      <c r="Q91" s="1">
        <v>0.4</v>
      </c>
      <c r="R91" s="1">
        <v>1.5</v>
      </c>
      <c r="S91" s="1">
        <v>1</v>
      </c>
      <c r="T91" s="1">
        <v>0.8</v>
      </c>
      <c r="U91" s="1">
        <v>10</v>
      </c>
      <c r="V91" s="5">
        <f t="shared" si="24"/>
        <v>2.4999999999999991</v>
      </c>
      <c r="X91" s="1">
        <v>68</v>
      </c>
      <c r="Y91" s="6">
        <f t="shared" si="26"/>
        <v>10227.431771410567</v>
      </c>
      <c r="Z91" s="6">
        <f t="shared" si="27"/>
        <v>109510.68094378298</v>
      </c>
      <c r="AA91" s="6">
        <f t="shared" si="28"/>
        <v>19712.617774871313</v>
      </c>
      <c r="AB91" s="1">
        <f t="shared" si="29"/>
        <v>0.4</v>
      </c>
      <c r="AC91" s="1">
        <f t="shared" ref="AC91:AC123" si="32">R91</f>
        <v>1.5</v>
      </c>
      <c r="AD91" s="1">
        <f t="shared" ref="AD91:AD123" si="33">S91</f>
        <v>1</v>
      </c>
      <c r="AE91" s="1">
        <f t="shared" si="30"/>
        <v>10</v>
      </c>
      <c r="AF91" s="36">
        <f t="shared" si="31"/>
        <v>2.4999999999999991</v>
      </c>
    </row>
    <row r="92" spans="4:32" ht="14.25" customHeight="1" outlineLevel="1" x14ac:dyDescent="0.2">
      <c r="D92" s="1">
        <v>69</v>
      </c>
      <c r="E92" s="6">
        <f t="shared" si="25"/>
        <v>536.94016799905478</v>
      </c>
      <c r="F92" s="6">
        <f t="shared" si="25"/>
        <v>20499.248732435597</v>
      </c>
      <c r="G92" s="6">
        <f t="shared" si="25"/>
        <v>137.9883244240992</v>
      </c>
      <c r="H92" s="1">
        <v>0.4</v>
      </c>
      <c r="I92" s="1">
        <v>1.5</v>
      </c>
      <c r="J92" s="1">
        <v>1</v>
      </c>
      <c r="M92" s="1">
        <v>69</v>
      </c>
      <c r="N92" s="6">
        <f t="shared" si="21"/>
        <v>53694.016799905483</v>
      </c>
      <c r="O92" s="6">
        <f t="shared" si="22"/>
        <v>1001649.0984744193</v>
      </c>
      <c r="P92" s="6">
        <f t="shared" si="23"/>
        <v>20698.248663614882</v>
      </c>
      <c r="Q92" s="1">
        <v>0.4</v>
      </c>
      <c r="R92" s="1">
        <v>1.5</v>
      </c>
      <c r="S92" s="1">
        <v>1</v>
      </c>
      <c r="T92" s="1">
        <v>0.8</v>
      </c>
      <c r="U92" s="1">
        <v>10</v>
      </c>
      <c r="V92" s="5">
        <f t="shared" si="24"/>
        <v>2.4999999999999991</v>
      </c>
      <c r="X92" s="1">
        <v>69</v>
      </c>
      <c r="Y92" s="6">
        <f t="shared" si="26"/>
        <v>10738.803359981097</v>
      </c>
      <c r="Z92" s="6">
        <f t="shared" si="27"/>
        <v>111294.34427493549</v>
      </c>
      <c r="AA92" s="6">
        <f t="shared" si="28"/>
        <v>20698.248663614882</v>
      </c>
      <c r="AB92" s="1">
        <f t="shared" si="29"/>
        <v>0.4</v>
      </c>
      <c r="AC92" s="1">
        <f t="shared" si="32"/>
        <v>1.5</v>
      </c>
      <c r="AD92" s="1">
        <f t="shared" si="33"/>
        <v>1</v>
      </c>
      <c r="AE92" s="1">
        <f t="shared" si="30"/>
        <v>10</v>
      </c>
      <c r="AF92" s="36">
        <f t="shared" si="31"/>
        <v>2.4999999999999991</v>
      </c>
    </row>
    <row r="93" spans="4:32" ht="14.25" customHeight="1" outlineLevel="1" x14ac:dyDescent="0.2">
      <c r="D93" s="1">
        <v>70</v>
      </c>
      <c r="E93" s="6">
        <f t="shared" si="25"/>
        <v>563.78717639900754</v>
      </c>
      <c r="F93" s="6">
        <f t="shared" si="25"/>
        <v>21524.211169057377</v>
      </c>
      <c r="G93" s="6">
        <f t="shared" si="25"/>
        <v>144.88774064530415</v>
      </c>
      <c r="H93" s="1">
        <v>0.4</v>
      </c>
      <c r="I93" s="1">
        <v>1.5</v>
      </c>
      <c r="J93" s="1">
        <v>1</v>
      </c>
      <c r="M93" s="1">
        <v>70</v>
      </c>
      <c r="N93" s="6">
        <f t="shared" si="21"/>
        <v>56378.717639900751</v>
      </c>
      <c r="O93" s="6">
        <f t="shared" si="22"/>
        <v>1017431.4703506264</v>
      </c>
      <c r="P93" s="6">
        <f t="shared" si="23"/>
        <v>21733.161096795622</v>
      </c>
      <c r="Q93" s="1">
        <v>0.4</v>
      </c>
      <c r="R93" s="1">
        <v>1.5</v>
      </c>
      <c r="S93" s="1">
        <v>1</v>
      </c>
      <c r="T93" s="1">
        <v>0.8</v>
      </c>
      <c r="U93" s="1">
        <v>10</v>
      </c>
      <c r="V93" s="5">
        <f t="shared" si="24"/>
        <v>2.4999999999999991</v>
      </c>
      <c r="X93" s="1">
        <v>70</v>
      </c>
      <c r="Y93" s="6">
        <f t="shared" si="26"/>
        <v>11275.74352798015</v>
      </c>
      <c r="Z93" s="6">
        <f t="shared" si="27"/>
        <v>113047.9411500696</v>
      </c>
      <c r="AA93" s="6">
        <f t="shared" si="28"/>
        <v>21733.161096795622</v>
      </c>
      <c r="AB93" s="1">
        <f t="shared" si="29"/>
        <v>0.4</v>
      </c>
      <c r="AC93" s="1">
        <f t="shared" si="32"/>
        <v>1.5</v>
      </c>
      <c r="AD93" s="1">
        <f t="shared" si="33"/>
        <v>1</v>
      </c>
      <c r="AE93" s="1">
        <f t="shared" si="30"/>
        <v>10</v>
      </c>
      <c r="AF93" s="36">
        <f t="shared" si="31"/>
        <v>2.4999999999999991</v>
      </c>
    </row>
    <row r="94" spans="4:32" ht="14.25" customHeight="1" outlineLevel="1" x14ac:dyDescent="0.2">
      <c r="D94" s="1">
        <v>71</v>
      </c>
      <c r="E94" s="6">
        <f t="shared" si="25"/>
        <v>591.97653521895791</v>
      </c>
      <c r="F94" s="6">
        <f t="shared" si="25"/>
        <v>22600.421727510246</v>
      </c>
      <c r="G94" s="6">
        <f t="shared" si="25"/>
        <v>152.13212767756937</v>
      </c>
      <c r="H94" s="1">
        <v>0.4</v>
      </c>
      <c r="I94" s="1">
        <v>1.5</v>
      </c>
      <c r="J94" s="1">
        <v>1</v>
      </c>
      <c r="M94" s="1">
        <v>71</v>
      </c>
      <c r="N94" s="6">
        <f t="shared" si="21"/>
        <v>59197.653521895802</v>
      </c>
      <c r="O94" s="6">
        <f t="shared" si="22"/>
        <v>1032931.7305082136</v>
      </c>
      <c r="P94" s="6">
        <f t="shared" si="23"/>
        <v>22819.819151635405</v>
      </c>
      <c r="Q94" s="1">
        <v>0.4</v>
      </c>
      <c r="R94" s="1">
        <v>1.5</v>
      </c>
      <c r="S94" s="1">
        <v>1</v>
      </c>
      <c r="T94" s="1">
        <v>0.8</v>
      </c>
      <c r="U94" s="1">
        <v>10</v>
      </c>
      <c r="V94" s="5">
        <f t="shared" si="24"/>
        <v>2.4999999999999987</v>
      </c>
      <c r="X94" s="1">
        <v>71</v>
      </c>
      <c r="Y94" s="6">
        <f t="shared" si="26"/>
        <v>11839.53070437916</v>
      </c>
      <c r="Z94" s="6">
        <f t="shared" si="27"/>
        <v>114770.1922786904</v>
      </c>
      <c r="AA94" s="6">
        <f t="shared" si="28"/>
        <v>22819.819151635405</v>
      </c>
      <c r="AB94" s="1">
        <f t="shared" si="29"/>
        <v>0.4</v>
      </c>
      <c r="AC94" s="1">
        <f t="shared" si="32"/>
        <v>1.5</v>
      </c>
      <c r="AD94" s="1">
        <f t="shared" si="33"/>
        <v>1</v>
      </c>
      <c r="AE94" s="1">
        <f t="shared" si="30"/>
        <v>10</v>
      </c>
      <c r="AF94" s="36">
        <f t="shared" si="31"/>
        <v>2.4999999999999987</v>
      </c>
    </row>
    <row r="95" spans="4:32" ht="14.25" customHeight="1" outlineLevel="1" x14ac:dyDescent="0.2">
      <c r="D95" s="1">
        <v>72</v>
      </c>
      <c r="E95" s="6">
        <f t="shared" si="25"/>
        <v>621.57536197990589</v>
      </c>
      <c r="F95" s="6">
        <f t="shared" si="25"/>
        <v>23730.442813885758</v>
      </c>
      <c r="G95" s="6">
        <f t="shared" si="25"/>
        <v>159.73873406144784</v>
      </c>
      <c r="H95" s="1">
        <v>0.4</v>
      </c>
      <c r="I95" s="1">
        <v>1.5</v>
      </c>
      <c r="J95" s="1">
        <v>1</v>
      </c>
      <c r="M95" s="1">
        <v>72</v>
      </c>
      <c r="N95" s="6">
        <f t="shared" si="21"/>
        <v>62157.536197990594</v>
      </c>
      <c r="O95" s="6">
        <f t="shared" si="22"/>
        <v>1048139.4320793233</v>
      </c>
      <c r="P95" s="6">
        <f t="shared" si="23"/>
        <v>23960.810109217178</v>
      </c>
      <c r="Q95" s="1">
        <v>0.4</v>
      </c>
      <c r="R95" s="1">
        <v>1.5</v>
      </c>
      <c r="S95" s="1">
        <v>1</v>
      </c>
      <c r="T95" s="1">
        <v>0.8</v>
      </c>
      <c r="U95" s="1">
        <v>10</v>
      </c>
      <c r="V95" s="5">
        <f t="shared" si="24"/>
        <v>2.4999999999999991</v>
      </c>
      <c r="X95" s="1">
        <v>72</v>
      </c>
      <c r="Y95" s="6">
        <f t="shared" si="26"/>
        <v>12431.507239598119</v>
      </c>
      <c r="Z95" s="6">
        <f t="shared" si="27"/>
        <v>116459.93689770259</v>
      </c>
      <c r="AA95" s="6">
        <f t="shared" si="28"/>
        <v>23960.810109217178</v>
      </c>
      <c r="AB95" s="1">
        <f t="shared" si="29"/>
        <v>0.4</v>
      </c>
      <c r="AC95" s="1">
        <f t="shared" si="32"/>
        <v>1.5</v>
      </c>
      <c r="AD95" s="1">
        <f t="shared" si="33"/>
        <v>1</v>
      </c>
      <c r="AE95" s="1">
        <f t="shared" si="30"/>
        <v>10</v>
      </c>
      <c r="AF95" s="36">
        <f t="shared" si="31"/>
        <v>2.4999999999999991</v>
      </c>
    </row>
    <row r="96" spans="4:32" ht="14.25" customHeight="1" outlineLevel="1" x14ac:dyDescent="0.2">
      <c r="D96" s="1">
        <v>73</v>
      </c>
      <c r="E96" s="6">
        <f t="shared" si="25"/>
        <v>652.65413007890118</v>
      </c>
      <c r="F96" s="6">
        <f t="shared" si="25"/>
        <v>24916.964954580046</v>
      </c>
      <c r="G96" s="6">
        <f t="shared" si="25"/>
        <v>167.72567076452023</v>
      </c>
      <c r="H96" s="1">
        <v>0.4</v>
      </c>
      <c r="I96" s="1">
        <v>1.5</v>
      </c>
      <c r="J96" s="1">
        <v>1</v>
      </c>
      <c r="M96" s="1">
        <v>73</v>
      </c>
      <c r="N96" s="6">
        <f t="shared" si="21"/>
        <v>65265.413007890122</v>
      </c>
      <c r="O96" s="6">
        <f t="shared" si="22"/>
        <v>1063045.2013771648</v>
      </c>
      <c r="P96" s="6">
        <f t="shared" si="23"/>
        <v>25158.850614678035</v>
      </c>
      <c r="Q96" s="1">
        <v>0.4</v>
      </c>
      <c r="R96" s="1">
        <v>1.5</v>
      </c>
      <c r="S96" s="1">
        <v>1</v>
      </c>
      <c r="T96" s="1">
        <v>0.8</v>
      </c>
      <c r="U96" s="1">
        <v>10</v>
      </c>
      <c r="V96" s="5">
        <f t="shared" si="24"/>
        <v>2.4999999999999991</v>
      </c>
      <c r="X96" s="1">
        <v>73</v>
      </c>
      <c r="Y96" s="6">
        <f t="shared" si="26"/>
        <v>13053.082601578024</v>
      </c>
      <c r="Z96" s="6">
        <f t="shared" si="27"/>
        <v>118116.13348635164</v>
      </c>
      <c r="AA96" s="6">
        <f t="shared" si="28"/>
        <v>25158.850614678035</v>
      </c>
      <c r="AB96" s="1">
        <f t="shared" si="29"/>
        <v>0.4</v>
      </c>
      <c r="AC96" s="1">
        <f t="shared" si="32"/>
        <v>1.5</v>
      </c>
      <c r="AD96" s="1">
        <f t="shared" si="33"/>
        <v>1</v>
      </c>
      <c r="AE96" s="1">
        <f t="shared" si="30"/>
        <v>10</v>
      </c>
      <c r="AF96" s="36">
        <f t="shared" si="31"/>
        <v>2.4999999999999991</v>
      </c>
    </row>
    <row r="97" spans="4:32" ht="14.25" customHeight="1" outlineLevel="1" x14ac:dyDescent="0.2">
      <c r="D97" s="1">
        <v>74</v>
      </c>
      <c r="E97" s="6">
        <f t="shared" si="25"/>
        <v>685.28683658284615</v>
      </c>
      <c r="F97" s="6">
        <f t="shared" si="25"/>
        <v>26162.813202309047</v>
      </c>
      <c r="G97" s="6">
        <f t="shared" si="25"/>
        <v>176.11195430274623</v>
      </c>
      <c r="H97" s="1">
        <v>0.4</v>
      </c>
      <c r="I97" s="1">
        <v>1.5</v>
      </c>
      <c r="J97" s="1">
        <v>1</v>
      </c>
      <c r="M97" s="1">
        <v>74</v>
      </c>
      <c r="N97" s="6">
        <f t="shared" si="21"/>
        <v>68528.68365828463</v>
      </c>
      <c r="O97" s="6">
        <f t="shared" si="22"/>
        <v>1077640.7369743334</v>
      </c>
      <c r="P97" s="6">
        <f t="shared" si="23"/>
        <v>26416.793145411935</v>
      </c>
      <c r="Q97" s="1">
        <v>0.4</v>
      </c>
      <c r="R97" s="1">
        <v>1.5</v>
      </c>
      <c r="S97" s="1">
        <v>1</v>
      </c>
      <c r="T97" s="1">
        <v>0.8</v>
      </c>
      <c r="U97" s="1">
        <v>10</v>
      </c>
      <c r="V97" s="5">
        <f t="shared" si="24"/>
        <v>2.4999999999999987</v>
      </c>
      <c r="X97" s="1">
        <v>74</v>
      </c>
      <c r="Y97" s="6">
        <f t="shared" si="26"/>
        <v>13705.736731656925</v>
      </c>
      <c r="Z97" s="6">
        <f t="shared" si="27"/>
        <v>119737.85966381483</v>
      </c>
      <c r="AA97" s="6">
        <f t="shared" si="28"/>
        <v>26416.793145411935</v>
      </c>
      <c r="AB97" s="1">
        <f t="shared" si="29"/>
        <v>0.4</v>
      </c>
      <c r="AC97" s="1">
        <f t="shared" si="32"/>
        <v>1.5</v>
      </c>
      <c r="AD97" s="1">
        <f t="shared" si="33"/>
        <v>1</v>
      </c>
      <c r="AE97" s="1">
        <f t="shared" si="30"/>
        <v>10</v>
      </c>
      <c r="AF97" s="36">
        <f t="shared" si="31"/>
        <v>2.4999999999999987</v>
      </c>
    </row>
    <row r="98" spans="4:32" ht="14.25" customHeight="1" outlineLevel="1" x14ac:dyDescent="0.2">
      <c r="D98" s="1">
        <v>75</v>
      </c>
      <c r="E98" s="6">
        <f t="shared" si="25"/>
        <v>719.55117841198842</v>
      </c>
      <c r="F98" s="6">
        <f t="shared" si="25"/>
        <v>27470.9538624245</v>
      </c>
      <c r="G98" s="6">
        <f t="shared" si="25"/>
        <v>184.91755201788354</v>
      </c>
      <c r="H98" s="1">
        <v>0.4</v>
      </c>
      <c r="I98" s="1">
        <v>1.5</v>
      </c>
      <c r="J98" s="1">
        <v>1</v>
      </c>
      <c r="M98" s="1">
        <v>75</v>
      </c>
      <c r="N98" s="6">
        <f t="shared" si="21"/>
        <v>71955.117841198851</v>
      </c>
      <c r="O98" s="6">
        <f t="shared" si="22"/>
        <v>1091918.8018255252</v>
      </c>
      <c r="P98" s="6">
        <f t="shared" si="23"/>
        <v>27737.632802682532</v>
      </c>
      <c r="Q98" s="1">
        <v>0.4</v>
      </c>
      <c r="R98" s="1">
        <v>1.5</v>
      </c>
      <c r="S98" s="1">
        <v>1</v>
      </c>
      <c r="T98" s="1">
        <v>0.8</v>
      </c>
      <c r="U98" s="1">
        <v>10</v>
      </c>
      <c r="V98" s="5">
        <f t="shared" si="24"/>
        <v>2.4999999999999991</v>
      </c>
      <c r="X98" s="1">
        <v>75</v>
      </c>
      <c r="Y98" s="6">
        <f t="shared" si="26"/>
        <v>14391.023568239771</v>
      </c>
      <c r="Z98" s="6">
        <f t="shared" si="27"/>
        <v>121324.31131394726</v>
      </c>
      <c r="AA98" s="6">
        <f t="shared" si="28"/>
        <v>27737.632802682532</v>
      </c>
      <c r="AB98" s="1">
        <f t="shared" si="29"/>
        <v>0.4</v>
      </c>
      <c r="AC98" s="1">
        <f t="shared" si="32"/>
        <v>1.5</v>
      </c>
      <c r="AD98" s="1">
        <f t="shared" si="33"/>
        <v>1</v>
      </c>
      <c r="AE98" s="1">
        <f t="shared" si="30"/>
        <v>10</v>
      </c>
      <c r="AF98" s="36">
        <f t="shared" si="31"/>
        <v>2.4999999999999991</v>
      </c>
    </row>
    <row r="99" spans="4:32" ht="14.25" customHeight="1" outlineLevel="1" x14ac:dyDescent="0.2">
      <c r="D99" s="1">
        <v>76</v>
      </c>
      <c r="E99" s="6">
        <f t="shared" si="25"/>
        <v>755.52873733258798</v>
      </c>
      <c r="F99" s="6">
        <f t="shared" si="25"/>
        <v>28844.501555545728</v>
      </c>
      <c r="G99" s="6">
        <f t="shared" si="25"/>
        <v>194.16342961877774</v>
      </c>
      <c r="H99" s="1">
        <v>0.4</v>
      </c>
      <c r="I99" s="1">
        <v>1.5</v>
      </c>
      <c r="J99" s="1">
        <v>1</v>
      </c>
      <c r="M99" s="1">
        <v>76</v>
      </c>
      <c r="N99" s="6">
        <f t="shared" si="21"/>
        <v>75552.873733258806</v>
      </c>
      <c r="O99" s="6">
        <f t="shared" si="22"/>
        <v>1105873.208894544</v>
      </c>
      <c r="P99" s="6">
        <f t="shared" si="23"/>
        <v>29124.51444281666</v>
      </c>
      <c r="Q99" s="1">
        <v>0.4</v>
      </c>
      <c r="R99" s="1">
        <v>1.5</v>
      </c>
      <c r="S99" s="1">
        <v>1</v>
      </c>
      <c r="T99" s="1">
        <v>0.8</v>
      </c>
      <c r="U99" s="1">
        <v>10</v>
      </c>
      <c r="V99" s="5">
        <f t="shared" si="24"/>
        <v>2.4999999999999991</v>
      </c>
      <c r="X99" s="1">
        <v>76</v>
      </c>
      <c r="Y99" s="6">
        <f t="shared" si="26"/>
        <v>15110.574746651761</v>
      </c>
      <c r="Z99" s="6">
        <f t="shared" si="27"/>
        <v>122874.80098828267</v>
      </c>
      <c r="AA99" s="6">
        <f t="shared" si="28"/>
        <v>29124.51444281666</v>
      </c>
      <c r="AB99" s="1">
        <f t="shared" si="29"/>
        <v>0.4</v>
      </c>
      <c r="AC99" s="1">
        <f t="shared" si="32"/>
        <v>1.5</v>
      </c>
      <c r="AD99" s="1">
        <f t="shared" si="33"/>
        <v>1</v>
      </c>
      <c r="AE99" s="1">
        <f t="shared" si="30"/>
        <v>10</v>
      </c>
      <c r="AF99" s="36">
        <f t="shared" si="31"/>
        <v>2.4999999999999991</v>
      </c>
    </row>
    <row r="100" spans="4:32" ht="14.25" customHeight="1" outlineLevel="1" x14ac:dyDescent="0.2">
      <c r="D100" s="1">
        <v>77</v>
      </c>
      <c r="E100" s="6">
        <f t="shared" si="25"/>
        <v>793.30517419921716</v>
      </c>
      <c r="F100" s="6">
        <f t="shared" si="25"/>
        <v>30286.726633323007</v>
      </c>
      <c r="G100" s="6">
        <f t="shared" si="25"/>
        <v>203.8716010997166</v>
      </c>
      <c r="H100" s="1">
        <v>0.4</v>
      </c>
      <c r="I100" s="1">
        <v>1.5</v>
      </c>
      <c r="J100" s="1">
        <v>1</v>
      </c>
      <c r="M100" s="1">
        <v>77</v>
      </c>
      <c r="N100" s="6">
        <f t="shared" si="21"/>
        <v>79330.517419921729</v>
      </c>
      <c r="O100" s="6">
        <f t="shared" si="22"/>
        <v>1119498.800793549</v>
      </c>
      <c r="P100" s="6">
        <f t="shared" si="23"/>
        <v>30580.740164957489</v>
      </c>
      <c r="Q100" s="1">
        <v>0.4</v>
      </c>
      <c r="R100" s="1">
        <v>1.5</v>
      </c>
      <c r="S100" s="1">
        <v>1</v>
      </c>
      <c r="T100" s="1">
        <v>0.8</v>
      </c>
      <c r="U100" s="1">
        <v>10</v>
      </c>
      <c r="V100" s="5">
        <f t="shared" si="24"/>
        <v>2.4999999999999991</v>
      </c>
      <c r="X100" s="1">
        <v>77</v>
      </c>
      <c r="Y100" s="6">
        <f t="shared" si="26"/>
        <v>15866.103483984345</v>
      </c>
      <c r="Z100" s="6">
        <f t="shared" si="27"/>
        <v>124388.75564372767</v>
      </c>
      <c r="AA100" s="6">
        <f t="shared" si="28"/>
        <v>30580.740164957489</v>
      </c>
      <c r="AB100" s="1">
        <f t="shared" si="29"/>
        <v>0.4</v>
      </c>
      <c r="AC100" s="1">
        <f t="shared" si="32"/>
        <v>1.5</v>
      </c>
      <c r="AD100" s="1">
        <f t="shared" si="33"/>
        <v>1</v>
      </c>
      <c r="AE100" s="1">
        <f t="shared" si="30"/>
        <v>10</v>
      </c>
      <c r="AF100" s="36">
        <f t="shared" si="31"/>
        <v>2.4999999999999991</v>
      </c>
    </row>
    <row r="101" spans="4:32" ht="14.25" customHeight="1" outlineLevel="1" x14ac:dyDescent="0.2">
      <c r="D101" s="1">
        <v>78</v>
      </c>
      <c r="E101" s="6">
        <f t="shared" si="25"/>
        <v>832.97043290917827</v>
      </c>
      <c r="F101" s="6">
        <f t="shared" si="25"/>
        <v>31801.062964989167</v>
      </c>
      <c r="G101" s="6">
        <f t="shared" si="25"/>
        <v>214.06518115470249</v>
      </c>
      <c r="H101" s="1">
        <v>0.4</v>
      </c>
      <c r="I101" s="1">
        <v>1.5</v>
      </c>
      <c r="J101" s="1">
        <v>1</v>
      </c>
      <c r="M101" s="1">
        <v>78</v>
      </c>
      <c r="N101" s="6">
        <f t="shared" si="21"/>
        <v>83297.043290917834</v>
      </c>
      <c r="O101" s="6">
        <f t="shared" si="22"/>
        <v>1132791.4239792386</v>
      </c>
      <c r="P101" s="6">
        <f t="shared" si="23"/>
        <v>32109.777173205373</v>
      </c>
      <c r="Q101" s="1">
        <v>0.4</v>
      </c>
      <c r="R101" s="1">
        <v>1.5</v>
      </c>
      <c r="S101" s="1">
        <v>1</v>
      </c>
      <c r="T101" s="1">
        <v>0.8</v>
      </c>
      <c r="U101" s="1">
        <v>10</v>
      </c>
      <c r="V101" s="5">
        <f t="shared" si="24"/>
        <v>2.4999999999999991</v>
      </c>
      <c r="X101" s="1">
        <v>78</v>
      </c>
      <c r="Y101" s="6">
        <f t="shared" si="26"/>
        <v>16659.408658183565</v>
      </c>
      <c r="Z101" s="6">
        <f t="shared" si="27"/>
        <v>125865.71377547095</v>
      </c>
      <c r="AA101" s="6">
        <f t="shared" si="28"/>
        <v>32109.777173205373</v>
      </c>
      <c r="AB101" s="1">
        <f t="shared" si="29"/>
        <v>0.4</v>
      </c>
      <c r="AC101" s="1">
        <f t="shared" si="32"/>
        <v>1.5</v>
      </c>
      <c r="AD101" s="1">
        <f t="shared" si="33"/>
        <v>1</v>
      </c>
      <c r="AE101" s="1">
        <f t="shared" si="30"/>
        <v>10</v>
      </c>
      <c r="AF101" s="36">
        <f t="shared" si="31"/>
        <v>2.4999999999999991</v>
      </c>
    </row>
    <row r="102" spans="4:32" ht="14.25" customHeight="1" outlineLevel="1" x14ac:dyDescent="0.2">
      <c r="D102" s="1">
        <v>79</v>
      </c>
      <c r="E102" s="6">
        <f t="shared" si="25"/>
        <v>874.61895455463696</v>
      </c>
      <c r="F102" s="6">
        <f t="shared" si="25"/>
        <v>33391.116113238611</v>
      </c>
      <c r="G102" s="6">
        <f t="shared" si="25"/>
        <v>224.76844021243753</v>
      </c>
      <c r="H102" s="1">
        <v>0.4</v>
      </c>
      <c r="I102" s="1">
        <v>1.5</v>
      </c>
      <c r="J102" s="1">
        <v>1</v>
      </c>
      <c r="M102" s="1">
        <v>79</v>
      </c>
      <c r="N102" s="6">
        <f t="shared" si="21"/>
        <v>87461.895455463717</v>
      </c>
      <c r="O102" s="6">
        <f t="shared" si="22"/>
        <v>1145747.8980763366</v>
      </c>
      <c r="P102" s="6">
        <f t="shared" si="23"/>
        <v>33715.266031865627</v>
      </c>
      <c r="Q102" s="1">
        <v>0.4</v>
      </c>
      <c r="R102" s="1">
        <v>1.5</v>
      </c>
      <c r="S102" s="1">
        <v>1</v>
      </c>
      <c r="T102" s="1">
        <v>0.8</v>
      </c>
      <c r="U102" s="1">
        <v>10</v>
      </c>
      <c r="V102" s="5">
        <f t="shared" si="24"/>
        <v>2.4999999999999987</v>
      </c>
      <c r="X102" s="1">
        <v>79</v>
      </c>
      <c r="Y102" s="6">
        <f t="shared" si="26"/>
        <v>17492.379091092742</v>
      </c>
      <c r="Z102" s="6">
        <f t="shared" si="27"/>
        <v>127305.32200848185</v>
      </c>
      <c r="AA102" s="6">
        <f t="shared" si="28"/>
        <v>33715.266031865627</v>
      </c>
      <c r="AB102" s="1">
        <f t="shared" si="29"/>
        <v>0.4</v>
      </c>
      <c r="AC102" s="1">
        <f t="shared" si="32"/>
        <v>1.5</v>
      </c>
      <c r="AD102" s="1">
        <f t="shared" si="33"/>
        <v>1</v>
      </c>
      <c r="AE102" s="1">
        <f t="shared" si="30"/>
        <v>10</v>
      </c>
      <c r="AF102" s="36">
        <f t="shared" si="31"/>
        <v>2.4999999999999987</v>
      </c>
    </row>
    <row r="103" spans="4:32" ht="14.25" customHeight="1" outlineLevel="1" x14ac:dyDescent="0.2">
      <c r="D103" s="1">
        <v>80</v>
      </c>
      <c r="E103" s="6">
        <f t="shared" si="25"/>
        <v>918.34990228236904</v>
      </c>
      <c r="F103" s="6">
        <f t="shared" si="25"/>
        <v>35060.67191890056</v>
      </c>
      <c r="G103" s="6">
        <f t="shared" si="25"/>
        <v>236.0068622230595</v>
      </c>
      <c r="H103" s="1">
        <v>0.4</v>
      </c>
      <c r="I103" s="1">
        <v>1.5</v>
      </c>
      <c r="J103" s="1">
        <v>1</v>
      </c>
      <c r="M103" s="1">
        <v>80</v>
      </c>
      <c r="N103" s="6">
        <f t="shared" si="21"/>
        <v>91834.990228236915</v>
      </c>
      <c r="O103" s="6">
        <f t="shared" si="22"/>
        <v>1158365.9809138547</v>
      </c>
      <c r="P103" s="6">
        <f t="shared" si="23"/>
        <v>35401.029333458922</v>
      </c>
      <c r="Q103" s="1">
        <v>0.4</v>
      </c>
      <c r="R103" s="1">
        <v>1.5</v>
      </c>
      <c r="S103" s="1">
        <v>1</v>
      </c>
      <c r="T103" s="1">
        <v>0.8</v>
      </c>
      <c r="U103" s="1">
        <v>10</v>
      </c>
      <c r="V103" s="5">
        <f t="shared" si="24"/>
        <v>2.4999999999999991</v>
      </c>
      <c r="X103" s="1">
        <v>80</v>
      </c>
      <c r="Y103" s="6">
        <f t="shared" si="26"/>
        <v>18366.998045647382</v>
      </c>
      <c r="Z103" s="6">
        <f t="shared" si="27"/>
        <v>128707.33121265052</v>
      </c>
      <c r="AA103" s="6">
        <f t="shared" si="28"/>
        <v>35401.029333458922</v>
      </c>
      <c r="AB103" s="1">
        <f t="shared" si="29"/>
        <v>0.4</v>
      </c>
      <c r="AC103" s="1">
        <f t="shared" si="32"/>
        <v>1.5</v>
      </c>
      <c r="AD103" s="1">
        <f t="shared" si="33"/>
        <v>1</v>
      </c>
      <c r="AE103" s="1">
        <f t="shared" si="30"/>
        <v>10</v>
      </c>
      <c r="AF103" s="36">
        <f t="shared" si="31"/>
        <v>2.4999999999999991</v>
      </c>
    </row>
    <row r="104" spans="4:32" ht="14.25" customHeight="1" outlineLevel="1" x14ac:dyDescent="0.2">
      <c r="D104" s="1">
        <v>81</v>
      </c>
      <c r="E104" s="6">
        <f t="shared" si="25"/>
        <v>964.26739739648747</v>
      </c>
      <c r="F104" s="6">
        <f t="shared" si="25"/>
        <v>36813.705514845584</v>
      </c>
      <c r="G104" s="6">
        <f t="shared" si="25"/>
        <v>247.80720533421245</v>
      </c>
      <c r="H104" s="1">
        <v>0.4</v>
      </c>
      <c r="I104" s="1">
        <v>1.5</v>
      </c>
      <c r="J104" s="1">
        <v>1</v>
      </c>
      <c r="M104" s="1">
        <v>81</v>
      </c>
      <c r="N104" s="6">
        <f t="shared" si="21"/>
        <v>96426.73973964875</v>
      </c>
      <c r="O104" s="6">
        <f t="shared" si="22"/>
        <v>1170644.329864793</v>
      </c>
      <c r="P104" s="6">
        <f t="shared" si="23"/>
        <v>37171.080800131866</v>
      </c>
      <c r="Q104" s="1">
        <v>0.4</v>
      </c>
      <c r="R104" s="1">
        <v>1.5</v>
      </c>
      <c r="S104" s="1">
        <v>1</v>
      </c>
      <c r="T104" s="1">
        <v>0.8</v>
      </c>
      <c r="U104" s="1">
        <v>10</v>
      </c>
      <c r="V104" s="5">
        <f t="shared" si="24"/>
        <v>2.4999999999999996</v>
      </c>
      <c r="X104" s="1">
        <v>81</v>
      </c>
      <c r="Y104" s="6">
        <f t="shared" si="26"/>
        <v>19285.347947929749</v>
      </c>
      <c r="Z104" s="6">
        <f t="shared" si="27"/>
        <v>130071.59220719922</v>
      </c>
      <c r="AA104" s="6">
        <f t="shared" si="28"/>
        <v>37171.080800131866</v>
      </c>
      <c r="AB104" s="1">
        <f t="shared" si="29"/>
        <v>0.4</v>
      </c>
      <c r="AC104" s="1">
        <f t="shared" si="32"/>
        <v>1.5</v>
      </c>
      <c r="AD104" s="1">
        <f t="shared" si="33"/>
        <v>1</v>
      </c>
      <c r="AE104" s="1">
        <f t="shared" si="30"/>
        <v>10</v>
      </c>
      <c r="AF104" s="36">
        <f t="shared" si="31"/>
        <v>2.4999999999999996</v>
      </c>
    </row>
    <row r="105" spans="4:32" ht="14.25" customHeight="1" outlineLevel="1" x14ac:dyDescent="0.2">
      <c r="D105" s="1">
        <v>82</v>
      </c>
      <c r="E105" s="6">
        <f t="shared" si="25"/>
        <v>1012.480767266312</v>
      </c>
      <c r="F105" s="6">
        <f t="shared" si="25"/>
        <v>38654.390790587866</v>
      </c>
      <c r="G105" s="6">
        <f t="shared" si="25"/>
        <v>260.1975656009231</v>
      </c>
      <c r="H105" s="1">
        <v>0.4</v>
      </c>
      <c r="I105" s="1">
        <v>1.5</v>
      </c>
      <c r="J105" s="1">
        <v>1</v>
      </c>
      <c r="M105" s="1">
        <v>82</v>
      </c>
      <c r="N105" s="6">
        <f t="shared" si="21"/>
        <v>101248.07672663122</v>
      </c>
      <c r="O105" s="6">
        <f t="shared" si="22"/>
        <v>1182582.460076059</v>
      </c>
      <c r="P105" s="6">
        <f t="shared" si="23"/>
        <v>39029.634840138468</v>
      </c>
      <c r="Q105" s="1">
        <v>0.4</v>
      </c>
      <c r="R105" s="1">
        <v>1.5</v>
      </c>
      <c r="S105" s="1">
        <v>1</v>
      </c>
      <c r="T105" s="1">
        <v>0.8</v>
      </c>
      <c r="U105" s="1">
        <v>10</v>
      </c>
      <c r="V105" s="5">
        <f t="shared" si="24"/>
        <v>2.4999999999999987</v>
      </c>
      <c r="X105" s="1">
        <v>82</v>
      </c>
      <c r="Y105" s="6">
        <f t="shared" si="26"/>
        <v>20249.615345326245</v>
      </c>
      <c r="Z105" s="6">
        <f t="shared" si="27"/>
        <v>131398.05111956212</v>
      </c>
      <c r="AA105" s="6">
        <f t="shared" si="28"/>
        <v>39029.634840138468</v>
      </c>
      <c r="AB105" s="1">
        <f t="shared" si="29"/>
        <v>0.4</v>
      </c>
      <c r="AC105" s="1">
        <f t="shared" si="32"/>
        <v>1.5</v>
      </c>
      <c r="AD105" s="1">
        <f t="shared" si="33"/>
        <v>1</v>
      </c>
      <c r="AE105" s="1">
        <f t="shared" si="30"/>
        <v>10</v>
      </c>
      <c r="AF105" s="36">
        <f t="shared" si="31"/>
        <v>2.4999999999999987</v>
      </c>
    </row>
    <row r="106" spans="4:32" ht="14.25" customHeight="1" outlineLevel="1" x14ac:dyDescent="0.2">
      <c r="D106" s="1">
        <v>83</v>
      </c>
      <c r="E106" s="6">
        <f t="shared" si="25"/>
        <v>1063.1048056296277</v>
      </c>
      <c r="F106" s="6">
        <f t="shared" si="25"/>
        <v>40587.110330117262</v>
      </c>
      <c r="G106" s="6">
        <f t="shared" si="25"/>
        <v>273.20744388096927</v>
      </c>
      <c r="H106" s="1">
        <v>0.4</v>
      </c>
      <c r="I106" s="1">
        <v>1.5</v>
      </c>
      <c r="J106" s="1">
        <v>1</v>
      </c>
      <c r="M106" s="1">
        <v>83</v>
      </c>
      <c r="N106" s="6">
        <f t="shared" si="21"/>
        <v>106310.48056296277</v>
      </c>
      <c r="O106" s="6">
        <f t="shared" si="22"/>
        <v>1194180.7001633528</v>
      </c>
      <c r="P106" s="6">
        <f t="shared" si="23"/>
        <v>40981.116582145391</v>
      </c>
      <c r="Q106" s="1">
        <v>0.4</v>
      </c>
      <c r="R106" s="1">
        <v>1.5</v>
      </c>
      <c r="S106" s="1">
        <v>1</v>
      </c>
      <c r="T106" s="1">
        <v>0.8</v>
      </c>
      <c r="U106" s="1">
        <v>10</v>
      </c>
      <c r="V106" s="5">
        <f t="shared" si="24"/>
        <v>2.4999999999999991</v>
      </c>
      <c r="X106" s="1">
        <v>83</v>
      </c>
      <c r="Y106" s="6">
        <f t="shared" si="26"/>
        <v>21262.096112592553</v>
      </c>
      <c r="Z106" s="6">
        <f t="shared" si="27"/>
        <v>132686.74446259474</v>
      </c>
      <c r="AA106" s="6">
        <f t="shared" si="28"/>
        <v>40981.116582145391</v>
      </c>
      <c r="AB106" s="1">
        <f t="shared" si="29"/>
        <v>0.4</v>
      </c>
      <c r="AC106" s="1">
        <f t="shared" si="32"/>
        <v>1.5</v>
      </c>
      <c r="AD106" s="1">
        <f t="shared" si="33"/>
        <v>1</v>
      </c>
      <c r="AE106" s="1">
        <f t="shared" si="30"/>
        <v>10</v>
      </c>
      <c r="AF106" s="36">
        <f t="shared" si="31"/>
        <v>2.4999999999999991</v>
      </c>
    </row>
    <row r="107" spans="4:32" ht="14.25" customHeight="1" outlineLevel="1" x14ac:dyDescent="0.2">
      <c r="D107" s="1">
        <v>84</v>
      </c>
      <c r="E107" s="6">
        <f t="shared" si="25"/>
        <v>1116.2600459111088</v>
      </c>
      <c r="F107" s="6">
        <f t="shared" si="25"/>
        <v>42616.465846623119</v>
      </c>
      <c r="G107" s="6">
        <f t="shared" si="25"/>
        <v>286.86781607501769</v>
      </c>
      <c r="H107" s="1">
        <v>0.4</v>
      </c>
      <c r="I107" s="1">
        <v>1.5</v>
      </c>
      <c r="J107" s="1">
        <v>1</v>
      </c>
      <c r="M107" s="1">
        <v>84</v>
      </c>
      <c r="N107" s="6">
        <f t="shared" si="21"/>
        <v>111626.00459111089</v>
      </c>
      <c r="O107" s="6">
        <f t="shared" si="22"/>
        <v>1205440.1459266287</v>
      </c>
      <c r="P107" s="6">
        <f t="shared" si="23"/>
        <v>43030.17241125265</v>
      </c>
      <c r="Q107" s="1">
        <v>0.4</v>
      </c>
      <c r="R107" s="1">
        <v>1.5</v>
      </c>
      <c r="S107" s="1">
        <v>1</v>
      </c>
      <c r="T107" s="1">
        <v>0.8</v>
      </c>
      <c r="U107" s="1">
        <v>10</v>
      </c>
      <c r="V107" s="5">
        <f t="shared" si="24"/>
        <v>2.4999999999999987</v>
      </c>
      <c r="X107" s="1">
        <v>84</v>
      </c>
      <c r="Y107" s="6">
        <f t="shared" si="26"/>
        <v>22325.200918222177</v>
      </c>
      <c r="Z107" s="6">
        <f t="shared" si="27"/>
        <v>133937.79399184763</v>
      </c>
      <c r="AA107" s="6">
        <f t="shared" si="28"/>
        <v>43030.17241125265</v>
      </c>
      <c r="AB107" s="1">
        <f t="shared" si="29"/>
        <v>0.4</v>
      </c>
      <c r="AC107" s="1">
        <f t="shared" si="32"/>
        <v>1.5</v>
      </c>
      <c r="AD107" s="1">
        <f t="shared" si="33"/>
        <v>1</v>
      </c>
      <c r="AE107" s="1">
        <f t="shared" si="30"/>
        <v>10</v>
      </c>
      <c r="AF107" s="36">
        <f t="shared" si="31"/>
        <v>2.4999999999999987</v>
      </c>
    </row>
    <row r="108" spans="4:32" ht="14.25" customHeight="1" outlineLevel="1" x14ac:dyDescent="0.2">
      <c r="D108" s="1">
        <v>85</v>
      </c>
      <c r="E108" s="6">
        <f t="shared" si="25"/>
        <v>1172.0730482066645</v>
      </c>
      <c r="F108" s="6">
        <f t="shared" si="25"/>
        <v>44747.289138954278</v>
      </c>
      <c r="G108" s="6">
        <f t="shared" si="25"/>
        <v>301.21120687876862</v>
      </c>
      <c r="H108" s="1">
        <v>0.4</v>
      </c>
      <c r="I108" s="1">
        <v>1.5</v>
      </c>
      <c r="J108" s="1">
        <v>1</v>
      </c>
      <c r="M108" s="1">
        <v>85</v>
      </c>
      <c r="N108" s="6">
        <f t="shared" si="21"/>
        <v>117207.30482066645</v>
      </c>
      <c r="O108" s="6">
        <f t="shared" si="22"/>
        <v>1216362.6126165399</v>
      </c>
      <c r="P108" s="6">
        <f t="shared" si="23"/>
        <v>45181.681031815293</v>
      </c>
      <c r="Q108" s="1">
        <v>0.4</v>
      </c>
      <c r="R108" s="1">
        <v>1.5</v>
      </c>
      <c r="S108" s="1">
        <v>1</v>
      </c>
      <c r="T108" s="1">
        <v>0.8</v>
      </c>
      <c r="U108" s="1">
        <v>10</v>
      </c>
      <c r="V108" s="5">
        <f t="shared" si="24"/>
        <v>2.4999999999999991</v>
      </c>
      <c r="X108" s="1">
        <v>85</v>
      </c>
      <c r="Y108" s="6">
        <f t="shared" si="26"/>
        <v>23441.46096413329</v>
      </c>
      <c r="Z108" s="6">
        <f t="shared" si="27"/>
        <v>135151.40140183776</v>
      </c>
      <c r="AA108" s="6">
        <f t="shared" si="28"/>
        <v>45181.681031815293</v>
      </c>
      <c r="AB108" s="1">
        <f t="shared" si="29"/>
        <v>0.4</v>
      </c>
      <c r="AC108" s="1">
        <f t="shared" si="32"/>
        <v>1.5</v>
      </c>
      <c r="AD108" s="1">
        <f t="shared" si="33"/>
        <v>1</v>
      </c>
      <c r="AE108" s="1">
        <f t="shared" si="30"/>
        <v>10</v>
      </c>
      <c r="AF108" s="36">
        <f t="shared" si="31"/>
        <v>2.4999999999999991</v>
      </c>
    </row>
    <row r="109" spans="4:32" ht="14.25" customHeight="1" outlineLevel="1" x14ac:dyDescent="0.2">
      <c r="D109" s="1">
        <v>86</v>
      </c>
      <c r="E109" s="6">
        <f t="shared" si="25"/>
        <v>1230.6767006169976</v>
      </c>
      <c r="F109" s="6">
        <f t="shared" si="25"/>
        <v>46984.653595901989</v>
      </c>
      <c r="G109" s="6">
        <f t="shared" si="25"/>
        <v>316.27176722270701</v>
      </c>
      <c r="H109" s="1">
        <v>0.4</v>
      </c>
      <c r="I109" s="1">
        <v>1.5</v>
      </c>
      <c r="J109" s="1">
        <v>1</v>
      </c>
      <c r="M109" s="1">
        <v>86</v>
      </c>
      <c r="N109" s="6">
        <f t="shared" si="21"/>
        <v>123067.67006169976</v>
      </c>
      <c r="O109" s="6">
        <f t="shared" si="22"/>
        <v>1226950.5862520784</v>
      </c>
      <c r="P109" s="6">
        <f t="shared" si="23"/>
        <v>47440.765083406055</v>
      </c>
      <c r="Q109" s="1">
        <v>0.4</v>
      </c>
      <c r="R109" s="1">
        <v>1.5</v>
      </c>
      <c r="S109" s="1">
        <v>1</v>
      </c>
      <c r="T109" s="1">
        <v>0.8</v>
      </c>
      <c r="U109" s="1">
        <v>10</v>
      </c>
      <c r="V109" s="5">
        <f t="shared" si="24"/>
        <v>2.4999999999999991</v>
      </c>
      <c r="X109" s="1">
        <v>86</v>
      </c>
      <c r="Y109" s="6">
        <f t="shared" si="26"/>
        <v>24613.534012339951</v>
      </c>
      <c r="Z109" s="6">
        <f t="shared" si="27"/>
        <v>136327.84291689761</v>
      </c>
      <c r="AA109" s="6">
        <f t="shared" si="28"/>
        <v>47440.765083406055</v>
      </c>
      <c r="AB109" s="1">
        <f t="shared" si="29"/>
        <v>0.4</v>
      </c>
      <c r="AC109" s="1">
        <f t="shared" si="32"/>
        <v>1.5</v>
      </c>
      <c r="AD109" s="1">
        <f t="shared" si="33"/>
        <v>1</v>
      </c>
      <c r="AE109" s="1">
        <f t="shared" si="30"/>
        <v>10</v>
      </c>
      <c r="AF109" s="36">
        <f t="shared" si="31"/>
        <v>2.4999999999999991</v>
      </c>
    </row>
    <row r="110" spans="4:32" ht="14.25" customHeight="1" outlineLevel="1" x14ac:dyDescent="0.2">
      <c r="D110" s="1">
        <v>87</v>
      </c>
      <c r="E110" s="6">
        <f t="shared" si="25"/>
        <v>1292.2105356478473</v>
      </c>
      <c r="F110" s="6">
        <f t="shared" si="25"/>
        <v>49333.886275697085</v>
      </c>
      <c r="G110" s="6">
        <f t="shared" si="25"/>
        <v>332.08535558384233</v>
      </c>
      <c r="H110" s="1">
        <v>0.4</v>
      </c>
      <c r="I110" s="1">
        <v>1.5</v>
      </c>
      <c r="J110" s="1">
        <v>1</v>
      </c>
      <c r="M110" s="1">
        <v>87</v>
      </c>
      <c r="N110" s="6">
        <f t="shared" si="21"/>
        <v>129221.05356478474</v>
      </c>
      <c r="O110" s="6">
        <f t="shared" si="22"/>
        <v>1237207.1744555049</v>
      </c>
      <c r="P110" s="6">
        <f t="shared" si="23"/>
        <v>49812.803337576348</v>
      </c>
      <c r="Q110" s="1">
        <v>0.4</v>
      </c>
      <c r="R110" s="1">
        <v>1.5</v>
      </c>
      <c r="S110" s="1">
        <v>1</v>
      </c>
      <c r="T110" s="1">
        <v>0.8</v>
      </c>
      <c r="U110" s="1">
        <v>10</v>
      </c>
      <c r="V110" s="5">
        <f t="shared" si="24"/>
        <v>2.4999999999999996</v>
      </c>
      <c r="X110" s="1">
        <v>87</v>
      </c>
      <c r="Y110" s="6">
        <f t="shared" si="26"/>
        <v>25844.210712956949</v>
      </c>
      <c r="Z110" s="6">
        <f t="shared" si="27"/>
        <v>137467.46382838942</v>
      </c>
      <c r="AA110" s="6">
        <f t="shared" si="28"/>
        <v>49812.803337576348</v>
      </c>
      <c r="AB110" s="1">
        <f t="shared" si="29"/>
        <v>0.4</v>
      </c>
      <c r="AC110" s="1">
        <f t="shared" si="32"/>
        <v>1.5</v>
      </c>
      <c r="AD110" s="1">
        <f t="shared" si="33"/>
        <v>1</v>
      </c>
      <c r="AE110" s="1">
        <f t="shared" si="30"/>
        <v>10</v>
      </c>
      <c r="AF110" s="36">
        <f t="shared" si="31"/>
        <v>2.4999999999999996</v>
      </c>
    </row>
    <row r="111" spans="4:32" ht="14.25" customHeight="1" outlineLevel="1" x14ac:dyDescent="0.2">
      <c r="D111" s="1">
        <v>88</v>
      </c>
      <c r="E111" s="6">
        <f t="shared" si="25"/>
        <v>1356.8210624302401</v>
      </c>
      <c r="F111" s="6">
        <f t="shared" si="25"/>
        <v>51800.58058948195</v>
      </c>
      <c r="G111" s="6">
        <f t="shared" si="25"/>
        <v>348.68962336303457</v>
      </c>
      <c r="H111" s="1">
        <v>0.4</v>
      </c>
      <c r="I111" s="1">
        <v>1.5</v>
      </c>
      <c r="J111" s="1">
        <v>1</v>
      </c>
      <c r="M111" s="1">
        <v>88</v>
      </c>
      <c r="N111" s="6">
        <f t="shared" si="21"/>
        <v>135682.106243024</v>
      </c>
      <c r="O111" s="6">
        <f t="shared" si="22"/>
        <v>1247136.0572336055</v>
      </c>
      <c r="P111" s="6">
        <f t="shared" si="23"/>
        <v>52303.443504455186</v>
      </c>
      <c r="Q111" s="1">
        <v>0.4</v>
      </c>
      <c r="R111" s="1">
        <v>1.5</v>
      </c>
      <c r="S111" s="1">
        <v>1</v>
      </c>
      <c r="T111" s="1">
        <v>0.8</v>
      </c>
      <c r="U111" s="1">
        <v>10</v>
      </c>
      <c r="V111" s="5">
        <f t="shared" si="24"/>
        <v>2.4999999999999996</v>
      </c>
      <c r="X111" s="1">
        <v>88</v>
      </c>
      <c r="Y111" s="6">
        <f t="shared" si="26"/>
        <v>27136.421248604798</v>
      </c>
      <c r="Z111" s="6">
        <f t="shared" si="27"/>
        <v>138570.67302595617</v>
      </c>
      <c r="AA111" s="6">
        <f t="shared" si="28"/>
        <v>52303.443504455186</v>
      </c>
      <c r="AB111" s="1">
        <f t="shared" si="29"/>
        <v>0.4</v>
      </c>
      <c r="AC111" s="1">
        <f t="shared" si="32"/>
        <v>1.5</v>
      </c>
      <c r="AD111" s="1">
        <f t="shared" si="33"/>
        <v>1</v>
      </c>
      <c r="AE111" s="1">
        <f t="shared" si="30"/>
        <v>10</v>
      </c>
      <c r="AF111" s="36">
        <f t="shared" si="31"/>
        <v>2.4999999999999996</v>
      </c>
    </row>
    <row r="112" spans="4:32" ht="14.25" customHeight="1" outlineLevel="1" x14ac:dyDescent="0.2">
      <c r="D112" s="1">
        <v>89</v>
      </c>
      <c r="E112" s="6">
        <f t="shared" si="25"/>
        <v>1424.6621155517516</v>
      </c>
      <c r="F112" s="6">
        <f t="shared" si="25"/>
        <v>54390.609618956041</v>
      </c>
      <c r="G112" s="6">
        <f t="shared" si="25"/>
        <v>366.12410453118622</v>
      </c>
      <c r="H112" s="1">
        <v>0.4</v>
      </c>
      <c r="I112" s="1">
        <v>1.5</v>
      </c>
      <c r="J112" s="1">
        <v>1</v>
      </c>
      <c r="M112" s="1">
        <v>89</v>
      </c>
      <c r="N112" s="6">
        <f t="shared" si="21"/>
        <v>142466.21155517516</v>
      </c>
      <c r="O112" s="6">
        <f t="shared" si="22"/>
        <v>1256741.4380952928</v>
      </c>
      <c r="P112" s="6">
        <f t="shared" si="23"/>
        <v>54918.615679677932</v>
      </c>
      <c r="Q112" s="1">
        <v>0.4</v>
      </c>
      <c r="R112" s="1">
        <v>1.5</v>
      </c>
      <c r="S112" s="1">
        <v>1</v>
      </c>
      <c r="T112" s="1">
        <v>0.8</v>
      </c>
      <c r="U112" s="1">
        <v>10</v>
      </c>
      <c r="V112" s="5">
        <f t="shared" si="24"/>
        <v>2.4999999999999991</v>
      </c>
      <c r="X112" s="1">
        <v>89</v>
      </c>
      <c r="Y112" s="6">
        <f t="shared" si="26"/>
        <v>28493.242311035032</v>
      </c>
      <c r="Z112" s="6">
        <f t="shared" si="27"/>
        <v>139637.93756614364</v>
      </c>
      <c r="AA112" s="6">
        <f t="shared" si="28"/>
        <v>54918.615679677932</v>
      </c>
      <c r="AB112" s="1">
        <f t="shared" si="29"/>
        <v>0.4</v>
      </c>
      <c r="AC112" s="1">
        <f t="shared" si="32"/>
        <v>1.5</v>
      </c>
      <c r="AD112" s="1">
        <f t="shared" si="33"/>
        <v>1</v>
      </c>
      <c r="AE112" s="1">
        <f t="shared" si="30"/>
        <v>10</v>
      </c>
      <c r="AF112" s="36">
        <f t="shared" si="31"/>
        <v>2.4999999999999991</v>
      </c>
    </row>
    <row r="113" spans="3:32" ht="14.25" customHeight="1" outlineLevel="1" x14ac:dyDescent="0.2">
      <c r="D113" s="1">
        <v>90</v>
      </c>
      <c r="E113" s="6">
        <f t="shared" si="25"/>
        <v>1495.8952213293394</v>
      </c>
      <c r="F113" s="6">
        <f t="shared" si="25"/>
        <v>57110.140099903845</v>
      </c>
      <c r="G113" s="6">
        <f t="shared" si="25"/>
        <v>384.43030975774553</v>
      </c>
      <c r="H113" s="1">
        <v>0.4</v>
      </c>
      <c r="I113" s="1">
        <v>1.5</v>
      </c>
      <c r="J113" s="1">
        <v>1</v>
      </c>
      <c r="M113" s="1">
        <v>90</v>
      </c>
      <c r="N113" s="6">
        <f t="shared" si="21"/>
        <v>149589.52213293395</v>
      </c>
      <c r="O113" s="6">
        <f t="shared" si="22"/>
        <v>1266027.9958554206</v>
      </c>
      <c r="P113" s="6">
        <f t="shared" si="23"/>
        <v>57664.546463661827</v>
      </c>
      <c r="Q113" s="1">
        <v>0.4</v>
      </c>
      <c r="R113" s="1">
        <v>1.5</v>
      </c>
      <c r="S113" s="1">
        <v>1</v>
      </c>
      <c r="T113" s="1">
        <v>0.8</v>
      </c>
      <c r="U113" s="1">
        <v>10</v>
      </c>
      <c r="V113" s="5">
        <f t="shared" si="24"/>
        <v>2.4999999999999991</v>
      </c>
      <c r="X113" s="1">
        <v>90</v>
      </c>
      <c r="Y113" s="6">
        <f t="shared" si="26"/>
        <v>29917.904426586792</v>
      </c>
      <c r="Z113" s="6">
        <f t="shared" si="27"/>
        <v>140669.77731726895</v>
      </c>
      <c r="AA113" s="6">
        <f t="shared" si="28"/>
        <v>57664.546463661827</v>
      </c>
      <c r="AB113" s="1">
        <f t="shared" si="29"/>
        <v>0.4</v>
      </c>
      <c r="AC113" s="1">
        <f t="shared" si="32"/>
        <v>1.5</v>
      </c>
      <c r="AD113" s="1">
        <f t="shared" si="33"/>
        <v>1</v>
      </c>
      <c r="AE113" s="1">
        <f t="shared" si="30"/>
        <v>10</v>
      </c>
      <c r="AF113" s="36">
        <f t="shared" si="31"/>
        <v>2.4999999999999991</v>
      </c>
    </row>
    <row r="114" spans="3:32" ht="14.25" customHeight="1" outlineLevel="1" x14ac:dyDescent="0.2">
      <c r="D114" s="1">
        <v>91</v>
      </c>
      <c r="E114" s="6">
        <f t="shared" si="25"/>
        <v>1570.6899823958063</v>
      </c>
      <c r="F114" s="6">
        <f t="shared" si="25"/>
        <v>59965.647104899035</v>
      </c>
      <c r="G114" s="6">
        <f t="shared" si="25"/>
        <v>403.65182524563284</v>
      </c>
      <c r="H114" s="1">
        <v>0.4</v>
      </c>
      <c r="I114" s="1">
        <v>1.5</v>
      </c>
      <c r="J114" s="1">
        <v>1</v>
      </c>
      <c r="M114" s="1">
        <v>91</v>
      </c>
      <c r="N114" s="6">
        <f t="shared" si="21"/>
        <v>157068.99823958066</v>
      </c>
      <c r="O114" s="6">
        <f t="shared" si="22"/>
        <v>1275000.8374342395</v>
      </c>
      <c r="P114" s="6">
        <f t="shared" si="23"/>
        <v>60547.773786844926</v>
      </c>
      <c r="Q114" s="1">
        <v>0.4</v>
      </c>
      <c r="R114" s="1">
        <v>1.5</v>
      </c>
      <c r="S114" s="1">
        <v>1</v>
      </c>
      <c r="T114" s="1">
        <v>0.8</v>
      </c>
      <c r="U114" s="1">
        <v>10</v>
      </c>
      <c r="V114" s="5">
        <f t="shared" si="24"/>
        <v>2.4999999999999987</v>
      </c>
      <c r="X114" s="1">
        <v>91</v>
      </c>
      <c r="Y114" s="6">
        <f t="shared" si="26"/>
        <v>31413.79964791613</v>
      </c>
      <c r="Z114" s="6">
        <f t="shared" si="27"/>
        <v>141666.7597149155</v>
      </c>
      <c r="AA114" s="6">
        <f t="shared" si="28"/>
        <v>60547.773786844926</v>
      </c>
      <c r="AB114" s="1">
        <f t="shared" si="29"/>
        <v>0.4</v>
      </c>
      <c r="AC114" s="1">
        <f t="shared" si="32"/>
        <v>1.5</v>
      </c>
      <c r="AD114" s="1">
        <f t="shared" si="33"/>
        <v>1</v>
      </c>
      <c r="AE114" s="1">
        <f t="shared" si="30"/>
        <v>10</v>
      </c>
      <c r="AF114" s="36">
        <f t="shared" si="31"/>
        <v>2.4999999999999987</v>
      </c>
    </row>
    <row r="115" spans="3:32" ht="14.25" customHeight="1" outlineLevel="1" x14ac:dyDescent="0.2">
      <c r="D115" s="1">
        <v>92</v>
      </c>
      <c r="E115" s="6">
        <f t="shared" si="25"/>
        <v>1649.2244815155971</v>
      </c>
      <c r="F115" s="6">
        <f t="shared" si="25"/>
        <v>62963.929460144005</v>
      </c>
      <c r="G115" s="6">
        <f t="shared" si="25"/>
        <v>423.83441650791451</v>
      </c>
      <c r="H115" s="1">
        <v>0.4</v>
      </c>
      <c r="I115" s="1">
        <v>1.5</v>
      </c>
      <c r="J115" s="1">
        <v>1</v>
      </c>
      <c r="M115" s="1">
        <v>92</v>
      </c>
      <c r="N115" s="6">
        <f t="shared" si="21"/>
        <v>164922.44815155971</v>
      </c>
      <c r="O115" s="6">
        <f t="shared" si="22"/>
        <v>1283665.4519218181</v>
      </c>
      <c r="P115" s="6">
        <f t="shared" si="23"/>
        <v>63575.162476187179</v>
      </c>
      <c r="Q115" s="1">
        <v>0.4</v>
      </c>
      <c r="R115" s="1">
        <v>1.5</v>
      </c>
      <c r="S115" s="1">
        <v>1</v>
      </c>
      <c r="T115" s="1">
        <v>0.8</v>
      </c>
      <c r="U115" s="1">
        <v>10</v>
      </c>
      <c r="V115" s="5">
        <f t="shared" si="24"/>
        <v>2.4999999999999991</v>
      </c>
      <c r="X115" s="1">
        <v>92</v>
      </c>
      <c r="Y115" s="6">
        <f t="shared" si="26"/>
        <v>32984.489630311946</v>
      </c>
      <c r="Z115" s="6">
        <f t="shared" si="27"/>
        <v>142629.49465797978</v>
      </c>
      <c r="AA115" s="6">
        <f t="shared" si="28"/>
        <v>63575.162476187179</v>
      </c>
      <c r="AB115" s="1">
        <f t="shared" si="29"/>
        <v>0.4</v>
      </c>
      <c r="AC115" s="1">
        <f t="shared" si="32"/>
        <v>1.5</v>
      </c>
      <c r="AD115" s="1">
        <f t="shared" si="33"/>
        <v>1</v>
      </c>
      <c r="AE115" s="1">
        <f t="shared" si="30"/>
        <v>10</v>
      </c>
      <c r="AF115" s="36">
        <f t="shared" si="31"/>
        <v>2.4999999999999991</v>
      </c>
    </row>
    <row r="116" spans="3:32" ht="14.25" customHeight="1" outlineLevel="1" x14ac:dyDescent="0.2">
      <c r="D116" s="1">
        <v>93</v>
      </c>
      <c r="E116" s="6">
        <f t="shared" si="25"/>
        <v>1731.6857055913765</v>
      </c>
      <c r="F116" s="6">
        <f t="shared" si="25"/>
        <v>66112.125933151183</v>
      </c>
      <c r="G116" s="6">
        <f t="shared" si="25"/>
        <v>445.0261373333102</v>
      </c>
      <c r="H116" s="1">
        <v>0.4</v>
      </c>
      <c r="I116" s="1">
        <v>1.5</v>
      </c>
      <c r="J116" s="1">
        <v>1</v>
      </c>
      <c r="M116" s="1">
        <v>93</v>
      </c>
      <c r="N116" s="6">
        <f t="shared" si="21"/>
        <v>173168.57055913768</v>
      </c>
      <c r="O116" s="6">
        <f t="shared" si="22"/>
        <v>1292027.6661376338</v>
      </c>
      <c r="P116" s="6">
        <f t="shared" si="23"/>
        <v>66753.920599996534</v>
      </c>
      <c r="Q116" s="1">
        <v>0.4</v>
      </c>
      <c r="R116" s="1">
        <v>1.5</v>
      </c>
      <c r="S116" s="1">
        <v>1</v>
      </c>
      <c r="T116" s="1">
        <v>0.8</v>
      </c>
      <c r="U116" s="1">
        <v>10</v>
      </c>
      <c r="V116" s="5">
        <f t="shared" si="24"/>
        <v>2.4999999999999987</v>
      </c>
      <c r="X116" s="1">
        <v>93</v>
      </c>
      <c r="Y116" s="6">
        <f t="shared" si="26"/>
        <v>34633.714111827532</v>
      </c>
      <c r="Z116" s="6">
        <f t="shared" si="27"/>
        <v>143558.62957084819</v>
      </c>
      <c r="AA116" s="6">
        <f t="shared" si="28"/>
        <v>66753.920599996534</v>
      </c>
      <c r="AB116" s="1">
        <f t="shared" si="29"/>
        <v>0.4</v>
      </c>
      <c r="AC116" s="1">
        <f t="shared" si="32"/>
        <v>1.5</v>
      </c>
      <c r="AD116" s="1">
        <f t="shared" si="33"/>
        <v>1</v>
      </c>
      <c r="AE116" s="1">
        <f t="shared" si="30"/>
        <v>10</v>
      </c>
      <c r="AF116" s="36">
        <f t="shared" si="31"/>
        <v>2.4999999999999987</v>
      </c>
    </row>
    <row r="117" spans="3:32" ht="14.25" customHeight="1" outlineLevel="1" x14ac:dyDescent="0.2">
      <c r="D117" s="1">
        <v>94</v>
      </c>
      <c r="E117" s="6">
        <f t="shared" si="25"/>
        <v>1818.2699908709458</v>
      </c>
      <c r="F117" s="6">
        <f t="shared" si="25"/>
        <v>69417.732229808767</v>
      </c>
      <c r="G117" s="6">
        <f t="shared" si="25"/>
        <v>467.27744419997578</v>
      </c>
      <c r="H117" s="1">
        <v>0.4</v>
      </c>
      <c r="I117" s="1">
        <v>1.5</v>
      </c>
      <c r="J117" s="1">
        <v>1</v>
      </c>
      <c r="M117" s="1">
        <v>94</v>
      </c>
      <c r="N117" s="6">
        <f t="shared" si="21"/>
        <v>181826.99908709456</v>
      </c>
      <c r="O117" s="6">
        <f t="shared" si="22"/>
        <v>1300093.6018778658</v>
      </c>
      <c r="P117" s="6">
        <f t="shared" si="23"/>
        <v>70091.616629996366</v>
      </c>
      <c r="Q117" s="1">
        <v>0.4</v>
      </c>
      <c r="R117" s="1">
        <v>1.5</v>
      </c>
      <c r="S117" s="1">
        <v>1</v>
      </c>
      <c r="T117" s="1">
        <v>0.8</v>
      </c>
      <c r="U117" s="1">
        <v>10</v>
      </c>
      <c r="V117" s="5">
        <f t="shared" si="24"/>
        <v>2.4999999999999996</v>
      </c>
      <c r="X117" s="1">
        <v>94</v>
      </c>
      <c r="Y117" s="6">
        <f t="shared" si="26"/>
        <v>36365.399817418911</v>
      </c>
      <c r="Z117" s="6">
        <f t="shared" si="27"/>
        <v>144454.8446530962</v>
      </c>
      <c r="AA117" s="6">
        <f t="shared" si="28"/>
        <v>70091.616629996366</v>
      </c>
      <c r="AB117" s="1">
        <f t="shared" si="29"/>
        <v>0.4</v>
      </c>
      <c r="AC117" s="1">
        <f t="shared" si="32"/>
        <v>1.5</v>
      </c>
      <c r="AD117" s="1">
        <f t="shared" si="33"/>
        <v>1</v>
      </c>
      <c r="AE117" s="1">
        <f t="shared" si="30"/>
        <v>10</v>
      </c>
      <c r="AF117" s="36">
        <f t="shared" si="31"/>
        <v>2.4999999999999996</v>
      </c>
    </row>
    <row r="118" spans="3:32" ht="14.25" customHeight="1" outlineLevel="1" x14ac:dyDescent="0.2">
      <c r="D118" s="1">
        <v>95</v>
      </c>
      <c r="E118" s="6">
        <f t="shared" si="25"/>
        <v>1909.1834904144923</v>
      </c>
      <c r="F118" s="6">
        <f t="shared" si="25"/>
        <v>72888.618841299176</v>
      </c>
      <c r="G118" s="6">
        <f t="shared" si="25"/>
        <v>490.64131640997437</v>
      </c>
      <c r="H118" s="1">
        <v>0.4</v>
      </c>
      <c r="I118" s="1">
        <v>1.5</v>
      </c>
      <c r="J118" s="1">
        <v>1</v>
      </c>
      <c r="M118" s="1">
        <v>95</v>
      </c>
      <c r="N118" s="6">
        <f t="shared" si="21"/>
        <v>190918.34904144923</v>
      </c>
      <c r="O118" s="6">
        <f t="shared" si="22"/>
        <v>1307869.6350071039</v>
      </c>
      <c r="P118" s="6">
        <f t="shared" si="23"/>
        <v>73596.197461496151</v>
      </c>
      <c r="Q118" s="1">
        <v>0.4</v>
      </c>
      <c r="R118" s="1">
        <v>1.5</v>
      </c>
      <c r="S118" s="1">
        <v>1</v>
      </c>
      <c r="T118" s="1">
        <v>0.8</v>
      </c>
      <c r="U118" s="1">
        <v>10</v>
      </c>
      <c r="V118" s="5">
        <f t="shared" si="24"/>
        <v>2.4999999999999996</v>
      </c>
      <c r="X118" s="1">
        <v>95</v>
      </c>
      <c r="Y118" s="6">
        <f t="shared" si="26"/>
        <v>38183.669808289844</v>
      </c>
      <c r="Z118" s="6">
        <f t="shared" si="27"/>
        <v>145318.84833412265</v>
      </c>
      <c r="AA118" s="6">
        <f t="shared" si="28"/>
        <v>73596.197461496151</v>
      </c>
      <c r="AB118" s="1">
        <f t="shared" si="29"/>
        <v>0.4</v>
      </c>
      <c r="AC118" s="1">
        <f t="shared" si="32"/>
        <v>1.5</v>
      </c>
      <c r="AD118" s="1">
        <f t="shared" si="33"/>
        <v>1</v>
      </c>
      <c r="AE118" s="1">
        <f t="shared" si="30"/>
        <v>10</v>
      </c>
      <c r="AF118" s="36">
        <f t="shared" si="31"/>
        <v>2.4999999999999996</v>
      </c>
    </row>
    <row r="119" spans="3:32" ht="14.25" customHeight="1" outlineLevel="1" x14ac:dyDescent="0.2">
      <c r="D119" s="1">
        <v>96</v>
      </c>
      <c r="E119" s="6">
        <f t="shared" si="25"/>
        <v>2004.6426649352177</v>
      </c>
      <c r="F119" s="6">
        <f t="shared" si="25"/>
        <v>76533.049783364171</v>
      </c>
      <c r="G119" s="6">
        <f t="shared" si="25"/>
        <v>515.17338223047329</v>
      </c>
      <c r="H119" s="1">
        <v>0.4</v>
      </c>
      <c r="I119" s="1">
        <v>1.5</v>
      </c>
      <c r="J119" s="1">
        <v>1</v>
      </c>
      <c r="M119" s="1">
        <v>96</v>
      </c>
      <c r="N119" s="6">
        <f t="shared" si="21"/>
        <v>200464.26649352181</v>
      </c>
      <c r="O119" s="6">
        <f t="shared" si="22"/>
        <v>1315362.3565175729</v>
      </c>
      <c r="P119" s="6">
        <f t="shared" si="23"/>
        <v>77276.007334570997</v>
      </c>
      <c r="Q119" s="1">
        <v>0.4</v>
      </c>
      <c r="R119" s="1">
        <v>1.5</v>
      </c>
      <c r="S119" s="1">
        <v>1</v>
      </c>
      <c r="T119" s="1">
        <v>0.8</v>
      </c>
      <c r="U119" s="1">
        <v>10</v>
      </c>
      <c r="V119" s="5">
        <f t="shared" si="24"/>
        <v>2.4999999999999991</v>
      </c>
      <c r="X119" s="1">
        <v>96</v>
      </c>
      <c r="Y119" s="6">
        <f t="shared" si="26"/>
        <v>40092.853298704358</v>
      </c>
      <c r="Z119" s="6">
        <f t="shared" si="27"/>
        <v>146151.37294639699</v>
      </c>
      <c r="AA119" s="6">
        <f t="shared" si="28"/>
        <v>77276.007334570997</v>
      </c>
      <c r="AB119" s="1">
        <f t="shared" si="29"/>
        <v>0.4</v>
      </c>
      <c r="AC119" s="1">
        <f t="shared" si="32"/>
        <v>1.5</v>
      </c>
      <c r="AD119" s="1">
        <f t="shared" si="33"/>
        <v>1</v>
      </c>
      <c r="AE119" s="1">
        <f t="shared" si="30"/>
        <v>10</v>
      </c>
      <c r="AF119" s="36">
        <f t="shared" si="31"/>
        <v>2.4999999999999991</v>
      </c>
    </row>
    <row r="120" spans="3:32" ht="14.25" customHeight="1" outlineLevel="1" x14ac:dyDescent="0.2">
      <c r="D120" s="1">
        <v>97</v>
      </c>
      <c r="E120" s="6">
        <f t="shared" si="25"/>
        <v>2104.8747981819783</v>
      </c>
      <c r="F120" s="6">
        <f t="shared" si="25"/>
        <v>80359.702272532362</v>
      </c>
      <c r="G120" s="6">
        <f t="shared" si="25"/>
        <v>540.93205134199695</v>
      </c>
      <c r="H120" s="1">
        <v>0.4</v>
      </c>
      <c r="I120" s="1">
        <v>1.5</v>
      </c>
      <c r="J120" s="1">
        <v>1</v>
      </c>
      <c r="M120" s="1">
        <v>97</v>
      </c>
      <c r="N120" s="6">
        <f t="shared" si="21"/>
        <v>210487.47981819787</v>
      </c>
      <c r="O120" s="6">
        <f t="shared" si="22"/>
        <v>1322578.5356477089</v>
      </c>
      <c r="P120" s="6">
        <f t="shared" si="23"/>
        <v>81139.807701299549</v>
      </c>
      <c r="Q120" s="1">
        <v>0.4</v>
      </c>
      <c r="R120" s="1">
        <v>1.5</v>
      </c>
      <c r="S120" s="1">
        <v>1</v>
      </c>
      <c r="T120" s="1">
        <v>0.8</v>
      </c>
      <c r="U120" s="1">
        <v>10</v>
      </c>
      <c r="V120" s="5">
        <f t="shared" si="24"/>
        <v>2.4999999999999991</v>
      </c>
      <c r="X120" s="1">
        <v>97</v>
      </c>
      <c r="Y120" s="6">
        <f t="shared" si="26"/>
        <v>42097.495963639572</v>
      </c>
      <c r="Z120" s="6">
        <f t="shared" si="27"/>
        <v>146953.17062752321</v>
      </c>
      <c r="AA120" s="6">
        <f t="shared" si="28"/>
        <v>81139.807701299549</v>
      </c>
      <c r="AB120" s="1">
        <f t="shared" si="29"/>
        <v>0.4</v>
      </c>
      <c r="AC120" s="1">
        <f t="shared" si="32"/>
        <v>1.5</v>
      </c>
      <c r="AD120" s="1">
        <f t="shared" si="33"/>
        <v>1</v>
      </c>
      <c r="AE120" s="1">
        <f t="shared" si="30"/>
        <v>10</v>
      </c>
      <c r="AF120" s="36">
        <f t="shared" si="31"/>
        <v>2.4999999999999991</v>
      </c>
    </row>
    <row r="121" spans="3:32" ht="14.25" customHeight="1" outlineLevel="1" x14ac:dyDescent="0.2">
      <c r="D121" s="1">
        <v>98</v>
      </c>
      <c r="E121" s="6">
        <f t="shared" si="25"/>
        <v>2210.1185380910774</v>
      </c>
      <c r="F121" s="6">
        <f t="shared" si="25"/>
        <v>84377.687386158985</v>
      </c>
      <c r="G121" s="6">
        <f t="shared" si="25"/>
        <v>567.97865390909681</v>
      </c>
      <c r="H121" s="1">
        <v>0.4</v>
      </c>
      <c r="I121" s="1">
        <v>1.5</v>
      </c>
      <c r="J121" s="1">
        <v>1</v>
      </c>
      <c r="M121" s="1">
        <v>98</v>
      </c>
      <c r="N121" s="6">
        <f t="shared" si="21"/>
        <v>221011.85380910776</v>
      </c>
      <c r="O121" s="6">
        <f t="shared" si="22"/>
        <v>1329525.0851232905</v>
      </c>
      <c r="P121" s="6">
        <f t="shared" si="23"/>
        <v>85196.798086364521</v>
      </c>
      <c r="Q121" s="1">
        <v>0.4</v>
      </c>
      <c r="R121" s="1">
        <v>1.5</v>
      </c>
      <c r="S121" s="1">
        <v>1</v>
      </c>
      <c r="T121" s="1">
        <v>0.8</v>
      </c>
      <c r="U121" s="1">
        <v>10</v>
      </c>
      <c r="V121" s="5">
        <f t="shared" si="24"/>
        <v>2.4999999999999991</v>
      </c>
      <c r="X121" s="1">
        <v>98</v>
      </c>
      <c r="Y121" s="6">
        <f t="shared" si="26"/>
        <v>44202.370761821556</v>
      </c>
      <c r="Z121" s="6">
        <f t="shared" si="27"/>
        <v>147725.00945814338</v>
      </c>
      <c r="AA121" s="6">
        <f t="shared" si="28"/>
        <v>85196.798086364521</v>
      </c>
      <c r="AB121" s="1">
        <f t="shared" si="29"/>
        <v>0.4</v>
      </c>
      <c r="AC121" s="1">
        <f t="shared" si="32"/>
        <v>1.5</v>
      </c>
      <c r="AD121" s="1">
        <f t="shared" si="33"/>
        <v>1</v>
      </c>
      <c r="AE121" s="1">
        <f t="shared" si="30"/>
        <v>10</v>
      </c>
      <c r="AF121" s="36">
        <f t="shared" si="31"/>
        <v>2.4999999999999991</v>
      </c>
    </row>
    <row r="122" spans="3:32" ht="14.25" customHeight="1" outlineLevel="1" x14ac:dyDescent="0.2">
      <c r="D122" s="1">
        <v>99</v>
      </c>
      <c r="E122" s="6">
        <f t="shared" si="25"/>
        <v>2320.6244649956311</v>
      </c>
      <c r="F122" s="6">
        <f t="shared" si="25"/>
        <v>88596.571755466939</v>
      </c>
      <c r="G122" s="6">
        <f t="shared" si="25"/>
        <v>596.37758660455165</v>
      </c>
      <c r="H122" s="1">
        <v>0.4</v>
      </c>
      <c r="I122" s="1">
        <v>1.5</v>
      </c>
      <c r="J122" s="1">
        <v>1</v>
      </c>
      <c r="M122" s="1">
        <v>99</v>
      </c>
      <c r="N122" s="6">
        <f t="shared" si="21"/>
        <v>232062.44649956314</v>
      </c>
      <c r="O122" s="6">
        <f t="shared" si="22"/>
        <v>1336209.0285582568</v>
      </c>
      <c r="P122" s="6">
        <f t="shared" si="23"/>
        <v>89456.63799068275</v>
      </c>
      <c r="Q122" s="1">
        <v>0.4</v>
      </c>
      <c r="R122" s="1">
        <v>1.5</v>
      </c>
      <c r="S122" s="1">
        <v>1</v>
      </c>
      <c r="T122" s="1">
        <v>0.8</v>
      </c>
      <c r="U122" s="1">
        <v>10</v>
      </c>
      <c r="V122" s="5">
        <f t="shared" si="24"/>
        <v>2.4999999999999987</v>
      </c>
      <c r="X122" s="1">
        <v>99</v>
      </c>
      <c r="Y122" s="6">
        <f t="shared" si="26"/>
        <v>46412.489299912631</v>
      </c>
      <c r="Z122" s="6">
        <f t="shared" si="27"/>
        <v>148467.6698398063</v>
      </c>
      <c r="AA122" s="6">
        <f t="shared" si="28"/>
        <v>89456.63799068275</v>
      </c>
      <c r="AB122" s="1">
        <f t="shared" si="29"/>
        <v>0.4</v>
      </c>
      <c r="AC122" s="1">
        <f t="shared" si="32"/>
        <v>1.5</v>
      </c>
      <c r="AD122" s="1">
        <f t="shared" si="33"/>
        <v>1</v>
      </c>
      <c r="AE122" s="1">
        <f t="shared" si="30"/>
        <v>10</v>
      </c>
      <c r="AF122" s="36">
        <f t="shared" si="31"/>
        <v>2.4999999999999987</v>
      </c>
    </row>
    <row r="123" spans="3:32" ht="14.25" customHeight="1" outlineLevel="1" x14ac:dyDescent="0.2">
      <c r="D123" s="1">
        <v>100</v>
      </c>
      <c r="E123" s="6">
        <f t="shared" si="25"/>
        <v>2436.6556882454133</v>
      </c>
      <c r="F123" s="6">
        <f t="shared" si="25"/>
        <v>93026.400343240297</v>
      </c>
      <c r="G123" s="6">
        <f t="shared" si="25"/>
        <v>626.19646593477933</v>
      </c>
      <c r="H123" s="1">
        <v>0.4</v>
      </c>
      <c r="I123" s="1">
        <v>1.5</v>
      </c>
      <c r="J123" s="1">
        <v>1</v>
      </c>
      <c r="M123" s="1">
        <v>100</v>
      </c>
      <c r="N123" s="6">
        <f t="shared" si="21"/>
        <v>243665.56882454138</v>
      </c>
      <c r="O123" s="6">
        <f t="shared" si="22"/>
        <v>1342637.4700290433</v>
      </c>
      <c r="P123" s="6">
        <f t="shared" si="23"/>
        <v>93929.469890216904</v>
      </c>
      <c r="Q123" s="1">
        <v>0.4</v>
      </c>
      <c r="R123" s="1">
        <v>1.5</v>
      </c>
      <c r="S123" s="1">
        <v>1</v>
      </c>
      <c r="T123" s="1">
        <v>0.8</v>
      </c>
      <c r="U123" s="1">
        <v>10</v>
      </c>
      <c r="V123" s="5">
        <f t="shared" si="24"/>
        <v>2.4999999999999987</v>
      </c>
      <c r="X123" s="1">
        <v>100</v>
      </c>
      <c r="Y123" s="6">
        <f t="shared" si="26"/>
        <v>48733.113764908274</v>
      </c>
      <c r="Z123" s="6">
        <f t="shared" si="27"/>
        <v>149181.94111433814</v>
      </c>
      <c r="AA123" s="6">
        <f t="shared" si="28"/>
        <v>93929.469890216904</v>
      </c>
      <c r="AB123" s="1">
        <f t="shared" si="29"/>
        <v>0.4</v>
      </c>
      <c r="AC123" s="1">
        <f t="shared" si="32"/>
        <v>1.5</v>
      </c>
      <c r="AD123" s="1">
        <f t="shared" si="33"/>
        <v>1</v>
      </c>
      <c r="AE123" s="1">
        <f t="shared" si="30"/>
        <v>10</v>
      </c>
      <c r="AF123" s="36">
        <f t="shared" si="31"/>
        <v>2.4999999999999987</v>
      </c>
    </row>
    <row r="125" spans="3:32" ht="14.25" customHeight="1" x14ac:dyDescent="0.2">
      <c r="C125" s="3" t="s">
        <v>314</v>
      </c>
      <c r="D125" s="2" t="s">
        <v>324</v>
      </c>
      <c r="I125" s="3" t="s">
        <v>315</v>
      </c>
      <c r="Q125" s="2"/>
    </row>
    <row r="126" spans="3:32" ht="14.25" customHeight="1" x14ac:dyDescent="0.2">
      <c r="D126" s="3" t="s">
        <v>313</v>
      </c>
      <c r="E126" s="3" t="s">
        <v>153</v>
      </c>
      <c r="F126" s="3" t="s">
        <v>154</v>
      </c>
      <c r="G126" s="3" t="s">
        <v>129</v>
      </c>
      <c r="H126" s="80" t="s">
        <v>17</v>
      </c>
      <c r="J126" s="25" t="s">
        <v>15</v>
      </c>
      <c r="K126" s="3" t="s">
        <v>154</v>
      </c>
    </row>
    <row r="127" spans="3:32" ht="14.25" customHeight="1" x14ac:dyDescent="0.2">
      <c r="D127" s="1">
        <v>5</v>
      </c>
      <c r="H127" s="6">
        <f>F127/(J127-G127)</f>
        <v>0</v>
      </c>
      <c r="J127" s="1">
        <v>11.74</v>
      </c>
      <c r="K127" s="6">
        <f>E127*H127</f>
        <v>0</v>
      </c>
    </row>
    <row r="128" spans="3:32" ht="14.25" customHeight="1" x14ac:dyDescent="0.2">
      <c r="D128" s="1">
        <v>4</v>
      </c>
      <c r="E128" s="1">
        <f>SUM(E6:E9)</f>
        <v>30</v>
      </c>
      <c r="F128" s="1">
        <f>F6</f>
        <v>100</v>
      </c>
      <c r="G128" s="1">
        <f>SUM(G6:G9)</f>
        <v>4</v>
      </c>
      <c r="H128" s="6">
        <f t="shared" ref="H128:H131" si="34">F128/(J128-G128)</f>
        <v>12.919896640826874</v>
      </c>
      <c r="J128" s="1">
        <f>J127</f>
        <v>11.74</v>
      </c>
      <c r="K128" s="6">
        <f t="shared" ref="K128:K131" si="35">E128*H128</f>
        <v>387.59689922480624</v>
      </c>
    </row>
    <row r="129" spans="3:32" ht="14.25" customHeight="1" x14ac:dyDescent="0.2">
      <c r="D129" s="1">
        <v>3</v>
      </c>
      <c r="E129" s="1">
        <f>E128-E6</f>
        <v>25</v>
      </c>
      <c r="F129" s="1">
        <f>F8</f>
        <v>100</v>
      </c>
      <c r="G129" s="1">
        <f>G128-G6</f>
        <v>2</v>
      </c>
      <c r="H129" s="6">
        <f t="shared" si="34"/>
        <v>10.266940451745379</v>
      </c>
      <c r="J129" s="1">
        <f t="shared" ref="J129:J131" si="36">J128</f>
        <v>11.74</v>
      </c>
      <c r="K129" s="6">
        <f t="shared" si="35"/>
        <v>256.67351129363448</v>
      </c>
    </row>
    <row r="130" spans="3:32" ht="14.25" customHeight="1" x14ac:dyDescent="0.2">
      <c r="D130" s="1">
        <v>2</v>
      </c>
      <c r="E130" s="1">
        <f>E129-E8</f>
        <v>20</v>
      </c>
      <c r="F130" s="1">
        <f>F7</f>
        <v>40</v>
      </c>
      <c r="G130" s="1">
        <f>G129-G8</f>
        <v>0</v>
      </c>
      <c r="H130" s="6">
        <f t="shared" si="34"/>
        <v>3.4071550255536627</v>
      </c>
      <c r="J130" s="1">
        <f t="shared" si="36"/>
        <v>11.74</v>
      </c>
      <c r="K130" s="6">
        <f t="shared" si="35"/>
        <v>68.143100511073257</v>
      </c>
    </row>
    <row r="131" spans="3:32" ht="14.25" customHeight="1" x14ac:dyDescent="0.2">
      <c r="D131" s="1">
        <v>1</v>
      </c>
      <c r="E131" s="1">
        <f>E10</f>
        <v>4</v>
      </c>
      <c r="F131" s="1">
        <f>F9</f>
        <v>40</v>
      </c>
      <c r="G131" s="1">
        <f>G9</f>
        <v>0</v>
      </c>
      <c r="H131" s="6">
        <f t="shared" si="34"/>
        <v>3.4071550255536627</v>
      </c>
      <c r="J131" s="1">
        <f t="shared" si="36"/>
        <v>11.74</v>
      </c>
      <c r="K131" s="6">
        <f t="shared" si="35"/>
        <v>13.628620102214651</v>
      </c>
    </row>
    <row r="132" spans="3:32" ht="14.25" customHeight="1" x14ac:dyDescent="0.2">
      <c r="H132" s="6">
        <f>SUM(H127:H131)</f>
        <v>30.001147143679582</v>
      </c>
      <c r="I132" s="1" t="s">
        <v>316</v>
      </c>
      <c r="J132" s="1">
        <f>MAX(J127:J131)</f>
        <v>11.74</v>
      </c>
      <c r="K132" s="6">
        <f>SUM(K127:K131)</f>
        <v>726.04213113172864</v>
      </c>
    </row>
    <row r="134" spans="3:32" ht="14.25" customHeight="1" collapsed="1" x14ac:dyDescent="0.2">
      <c r="C134" s="3" t="s">
        <v>170</v>
      </c>
      <c r="E134" s="1">
        <f>J132</f>
        <v>11.74</v>
      </c>
      <c r="F134" s="6">
        <f>K132</f>
        <v>726.04213113172864</v>
      </c>
      <c r="G134" s="18">
        <v>5</v>
      </c>
      <c r="J134" s="1" t="s">
        <v>318</v>
      </c>
      <c r="K134" s="1">
        <f>$K$21</f>
        <v>150</v>
      </c>
      <c r="L134" s="3" t="s">
        <v>317</v>
      </c>
      <c r="P134" s="6">
        <f>MAX(P137:P236)</f>
        <v>93929.469890216904</v>
      </c>
      <c r="X134" s="1" t="s">
        <v>322</v>
      </c>
    </row>
    <row r="135" spans="3:32" ht="14.25" hidden="1" customHeight="1" outlineLevel="1" x14ac:dyDescent="0.2">
      <c r="E135" s="1">
        <f>$E$22</f>
        <v>1.05</v>
      </c>
      <c r="F135" s="1">
        <f>$F$22</f>
        <v>1.05</v>
      </c>
      <c r="G135" s="1">
        <f>$G$22</f>
        <v>1.05</v>
      </c>
      <c r="O135" s="6">
        <f>F137*K134</f>
        <v>108906.31966975929</v>
      </c>
      <c r="P135" s="1">
        <f>10000</f>
        <v>10000</v>
      </c>
      <c r="X135" s="1">
        <v>9</v>
      </c>
    </row>
    <row r="136" spans="3:32" ht="14.25" hidden="1" customHeight="1" outlineLevel="1" x14ac:dyDescent="0.2">
      <c r="D136" s="1" t="s">
        <v>194</v>
      </c>
      <c r="E136" s="1" t="s">
        <v>153</v>
      </c>
      <c r="F136" s="1" t="s">
        <v>154</v>
      </c>
      <c r="G136" s="1" t="s">
        <v>145</v>
      </c>
      <c r="H136" s="18" t="s">
        <v>146</v>
      </c>
      <c r="I136" s="18" t="s">
        <v>147</v>
      </c>
      <c r="J136" s="18" t="s">
        <v>148</v>
      </c>
      <c r="M136" s="1" t="s">
        <v>172</v>
      </c>
      <c r="N136" s="1" t="s">
        <v>173</v>
      </c>
      <c r="O136" s="1" t="s">
        <v>174</v>
      </c>
      <c r="P136" s="1" t="s">
        <v>145</v>
      </c>
      <c r="Q136" s="18" t="s">
        <v>146</v>
      </c>
      <c r="R136" s="18" t="s">
        <v>147</v>
      </c>
      <c r="S136" s="18" t="s">
        <v>148</v>
      </c>
      <c r="T136" s="18" t="s">
        <v>175</v>
      </c>
      <c r="U136" s="18" t="s">
        <v>206</v>
      </c>
      <c r="V136" s="1" t="s">
        <v>320</v>
      </c>
      <c r="X136" s="1" t="s">
        <v>172</v>
      </c>
      <c r="Y136" s="1" t="s">
        <v>173</v>
      </c>
      <c r="Z136" s="1" t="s">
        <v>174</v>
      </c>
      <c r="AA136" s="1" t="s">
        <v>145</v>
      </c>
      <c r="AB136" s="1" t="s">
        <v>146</v>
      </c>
      <c r="AC136" s="1" t="s">
        <v>147</v>
      </c>
      <c r="AD136" s="1" t="s">
        <v>148</v>
      </c>
      <c r="AE136" s="1" t="s">
        <v>319</v>
      </c>
      <c r="AF136" s="1" t="s">
        <v>207</v>
      </c>
    </row>
    <row r="137" spans="3:32" ht="14.25" hidden="1" customHeight="1" outlineLevel="1" x14ac:dyDescent="0.2">
      <c r="D137" s="1">
        <v>1</v>
      </c>
      <c r="E137" s="6">
        <f>E$134*E$135^($D137-1)</f>
        <v>11.74</v>
      </c>
      <c r="F137" s="6">
        <f>F$134*F$135^($D137-1)</f>
        <v>726.04213113172864</v>
      </c>
      <c r="G137" s="6">
        <f>G$134*G$135^($D137-1)</f>
        <v>5</v>
      </c>
      <c r="H137" s="1">
        <v>0.4</v>
      </c>
      <c r="I137" s="1">
        <v>1.5</v>
      </c>
      <c r="J137" s="1">
        <v>1</v>
      </c>
      <c r="M137" s="1">
        <v>1</v>
      </c>
      <c r="N137" s="6">
        <f>E137*T137*$K$21/S137/(1+Q137*(R137-1))</f>
        <v>1174.0000000000002</v>
      </c>
      <c r="O137" s="6">
        <f>F137*$K$21/(1+P137/$P$22)</f>
        <v>101308.20434396213</v>
      </c>
      <c r="P137" s="6">
        <f>G137*$K$21</f>
        <v>750</v>
      </c>
      <c r="Q137" s="1">
        <v>0.4</v>
      </c>
      <c r="R137" s="1">
        <v>1.5</v>
      </c>
      <c r="S137" s="1">
        <v>1</v>
      </c>
      <c r="T137" s="1">
        <v>0.8</v>
      </c>
      <c r="U137" s="1">
        <v>10</v>
      </c>
      <c r="V137" s="5">
        <f>E137*$K$21*(1-T137)/(1/U137)/(1+Q137*(R137-1))/N137</f>
        <v>2.4999999999999991</v>
      </c>
      <c r="X137" s="1">
        <v>1</v>
      </c>
      <c r="Y137" s="6">
        <f>2*N137/(1+$X$22)</f>
        <v>234.80000000000004</v>
      </c>
      <c r="Z137" s="6">
        <f>O137/$X$22</f>
        <v>11256.467149329126</v>
      </c>
      <c r="AA137" s="6">
        <f>P137</f>
        <v>750</v>
      </c>
      <c r="AB137" s="1">
        <f>Q137</f>
        <v>0.4</v>
      </c>
      <c r="AC137" s="1">
        <f t="shared" ref="AC137:AC200" si="37">R137</f>
        <v>1.5</v>
      </c>
      <c r="AD137" s="1">
        <f t="shared" ref="AD137:AD200" si="38">S137</f>
        <v>1</v>
      </c>
      <c r="AE137" s="1">
        <f>U137</f>
        <v>10</v>
      </c>
      <c r="AF137" s="36">
        <f>V137</f>
        <v>2.4999999999999991</v>
      </c>
    </row>
    <row r="138" spans="3:32" ht="14.25" hidden="1" customHeight="1" outlineLevel="1" x14ac:dyDescent="0.2">
      <c r="D138" s="1">
        <v>2</v>
      </c>
      <c r="E138" s="6">
        <f t="shared" ref="E138:G169" si="39">E$134*E$135^($D138-1)</f>
        <v>12.327</v>
      </c>
      <c r="F138" s="6">
        <f t="shared" ref="F137:G152" si="40">F$134*F$135^($D138-1)</f>
        <v>762.34423768831505</v>
      </c>
      <c r="G138" s="6">
        <f t="shared" si="40"/>
        <v>5.25</v>
      </c>
      <c r="H138" s="1">
        <v>0.4</v>
      </c>
      <c r="I138" s="1">
        <v>1.5</v>
      </c>
      <c r="J138" s="1">
        <v>1</v>
      </c>
      <c r="M138" s="1">
        <v>2</v>
      </c>
      <c r="N138" s="6">
        <f>E138*T138*$K$21/S138/(1+Q138*(R138-1))</f>
        <v>1232.7000000000003</v>
      </c>
      <c r="O138" s="6">
        <f t="shared" ref="O138:O201" si="41">F138*$K$21/(1+P138/$P$22)</f>
        <v>106003.83374576802</v>
      </c>
      <c r="P138" s="6">
        <f t="shared" ref="P138:P201" si="42">G138*$K$21</f>
        <v>787.5</v>
      </c>
      <c r="Q138" s="1">
        <v>0.4</v>
      </c>
      <c r="R138" s="1">
        <v>1.5</v>
      </c>
      <c r="S138" s="1">
        <v>1</v>
      </c>
      <c r="T138" s="1">
        <v>0.8</v>
      </c>
      <c r="U138" s="1">
        <v>10</v>
      </c>
      <c r="V138" s="5">
        <f t="shared" ref="V138:V201" si="43">E138*$K$21*(1-T138)/(1/U138)/(1+Q138*(R138-1))/N138</f>
        <v>2.4999999999999987</v>
      </c>
      <c r="X138" s="1">
        <v>2</v>
      </c>
      <c r="Y138" s="6">
        <f>2*N138/(1+$X$22)</f>
        <v>246.54000000000005</v>
      </c>
      <c r="Z138" s="6">
        <f>O138/$X$22</f>
        <v>11778.203749529779</v>
      </c>
      <c r="AA138" s="6">
        <f>P138</f>
        <v>787.5</v>
      </c>
      <c r="AB138" s="1">
        <f>Q138</f>
        <v>0.4</v>
      </c>
      <c r="AC138" s="1">
        <f t="shared" si="37"/>
        <v>1.5</v>
      </c>
      <c r="AD138" s="1">
        <f t="shared" si="38"/>
        <v>1</v>
      </c>
      <c r="AE138" s="1">
        <f>U138</f>
        <v>10</v>
      </c>
      <c r="AF138" s="36">
        <f>V138</f>
        <v>2.4999999999999987</v>
      </c>
    </row>
    <row r="139" spans="3:32" ht="14.25" hidden="1" customHeight="1" outlineLevel="1" x14ac:dyDescent="0.2">
      <c r="D139" s="1">
        <v>3</v>
      </c>
      <c r="E139" s="6">
        <f t="shared" si="39"/>
        <v>12.943350000000001</v>
      </c>
      <c r="F139" s="6">
        <f t="shared" si="40"/>
        <v>800.46144957273088</v>
      </c>
      <c r="G139" s="6">
        <f t="shared" si="40"/>
        <v>5.5125000000000002</v>
      </c>
      <c r="H139" s="1">
        <v>0.4</v>
      </c>
      <c r="I139" s="1">
        <v>1.5</v>
      </c>
      <c r="J139" s="1">
        <v>1</v>
      </c>
      <c r="M139" s="1">
        <v>3</v>
      </c>
      <c r="N139" s="6">
        <f t="shared" ref="N139:N202" si="44">E139*T139*$K$21/S139/(1+Q139*(R139-1))</f>
        <v>1294.3350000000003</v>
      </c>
      <c r="O139" s="6">
        <f t="shared" si="41"/>
        <v>110899.2367935435</v>
      </c>
      <c r="P139" s="6">
        <f t="shared" si="42"/>
        <v>826.875</v>
      </c>
      <c r="Q139" s="1">
        <v>0.4</v>
      </c>
      <c r="R139" s="1">
        <v>1.5</v>
      </c>
      <c r="S139" s="1">
        <v>1</v>
      </c>
      <c r="T139" s="1">
        <v>0.8</v>
      </c>
      <c r="U139" s="1">
        <v>10</v>
      </c>
      <c r="V139" s="5">
        <f t="shared" si="43"/>
        <v>2.4999999999999991</v>
      </c>
      <c r="X139" s="1">
        <v>3</v>
      </c>
      <c r="Y139" s="6">
        <f t="shared" ref="Y139:Y202" si="45">2*N139/(1+$X$22)</f>
        <v>258.86700000000008</v>
      </c>
      <c r="Z139" s="6">
        <f t="shared" ref="Z139:Z202" si="46">O139/$X$22</f>
        <v>12322.137421504834</v>
      </c>
      <c r="AA139" s="6">
        <f t="shared" ref="AA139:AA202" si="47">P139</f>
        <v>826.875</v>
      </c>
      <c r="AB139" s="1">
        <f t="shared" ref="AB139:AB202" si="48">Q139</f>
        <v>0.4</v>
      </c>
      <c r="AC139" s="1">
        <f t="shared" si="37"/>
        <v>1.5</v>
      </c>
      <c r="AD139" s="1">
        <f t="shared" si="38"/>
        <v>1</v>
      </c>
      <c r="AE139" s="1">
        <f t="shared" ref="AE139:AE202" si="49">U139</f>
        <v>10</v>
      </c>
      <c r="AF139" s="36">
        <f t="shared" ref="AF139:AF202" si="50">V139</f>
        <v>2.4999999999999991</v>
      </c>
    </row>
    <row r="140" spans="3:32" ht="14.25" hidden="1" customHeight="1" outlineLevel="1" x14ac:dyDescent="0.2">
      <c r="D140" s="1">
        <v>4</v>
      </c>
      <c r="E140" s="6">
        <f t="shared" si="39"/>
        <v>13.590517500000002</v>
      </c>
      <c r="F140" s="6">
        <f t="shared" si="40"/>
        <v>840.48452205136743</v>
      </c>
      <c r="G140" s="6">
        <f t="shared" si="40"/>
        <v>5.7881250000000009</v>
      </c>
      <c r="H140" s="1">
        <v>0.4</v>
      </c>
      <c r="I140" s="1">
        <v>1.5</v>
      </c>
      <c r="J140" s="1">
        <v>1</v>
      </c>
      <c r="M140" s="1">
        <v>4</v>
      </c>
      <c r="N140" s="6">
        <f t="shared" si="44"/>
        <v>1359.0517500000005</v>
      </c>
      <c r="O140" s="6">
        <f t="shared" si="41"/>
        <v>116001.23369591279</v>
      </c>
      <c r="P140" s="6">
        <f t="shared" si="42"/>
        <v>868.21875000000011</v>
      </c>
      <c r="Q140" s="1">
        <v>0.4</v>
      </c>
      <c r="R140" s="1">
        <v>1.5</v>
      </c>
      <c r="S140" s="1">
        <v>1</v>
      </c>
      <c r="T140" s="1">
        <v>0.8</v>
      </c>
      <c r="U140" s="1">
        <v>10</v>
      </c>
      <c r="V140" s="5">
        <f t="shared" si="43"/>
        <v>2.4999999999999987</v>
      </c>
      <c r="X140" s="1">
        <v>4</v>
      </c>
      <c r="Y140" s="6">
        <f t="shared" si="45"/>
        <v>271.81035000000008</v>
      </c>
      <c r="Z140" s="6">
        <f t="shared" si="46"/>
        <v>12889.025966212532</v>
      </c>
      <c r="AA140" s="6">
        <f t="shared" si="47"/>
        <v>868.21875000000011</v>
      </c>
      <c r="AB140" s="1">
        <f t="shared" si="48"/>
        <v>0.4</v>
      </c>
      <c r="AC140" s="1">
        <f t="shared" si="37"/>
        <v>1.5</v>
      </c>
      <c r="AD140" s="1">
        <f t="shared" si="38"/>
        <v>1</v>
      </c>
      <c r="AE140" s="1">
        <f t="shared" si="49"/>
        <v>10</v>
      </c>
      <c r="AF140" s="36">
        <f t="shared" si="50"/>
        <v>2.4999999999999987</v>
      </c>
    </row>
    <row r="141" spans="3:32" ht="14.25" hidden="1" customHeight="1" outlineLevel="1" x14ac:dyDescent="0.2">
      <c r="D141" s="1">
        <v>5</v>
      </c>
      <c r="E141" s="6">
        <f t="shared" si="39"/>
        <v>14.270043375</v>
      </c>
      <c r="F141" s="6">
        <f t="shared" si="40"/>
        <v>882.5087481539357</v>
      </c>
      <c r="G141" s="6">
        <f t="shared" si="40"/>
        <v>6.0775312499999998</v>
      </c>
      <c r="H141" s="1">
        <v>0.4</v>
      </c>
      <c r="I141" s="1">
        <v>1.5</v>
      </c>
      <c r="J141" s="1">
        <v>1</v>
      </c>
      <c r="M141" s="1">
        <v>5</v>
      </c>
      <c r="N141" s="6">
        <f t="shared" si="44"/>
        <v>1427.0043375</v>
      </c>
      <c r="O141" s="6">
        <f t="shared" si="41"/>
        <v>121316.71987983267</v>
      </c>
      <c r="P141" s="6">
        <f t="shared" si="42"/>
        <v>911.62968749999993</v>
      </c>
      <c r="Q141" s="1">
        <v>0.4</v>
      </c>
      <c r="R141" s="1">
        <v>1.5</v>
      </c>
      <c r="S141" s="1">
        <v>1</v>
      </c>
      <c r="T141" s="1">
        <v>0.8</v>
      </c>
      <c r="U141" s="1">
        <v>10</v>
      </c>
      <c r="V141" s="5">
        <f t="shared" si="43"/>
        <v>2.4999999999999991</v>
      </c>
      <c r="X141" s="1">
        <v>5</v>
      </c>
      <c r="Y141" s="6">
        <f t="shared" si="45"/>
        <v>285.4008675</v>
      </c>
      <c r="Z141" s="6">
        <f t="shared" si="46"/>
        <v>13479.63554220363</v>
      </c>
      <c r="AA141" s="6">
        <f t="shared" si="47"/>
        <v>911.62968749999993</v>
      </c>
      <c r="AB141" s="1">
        <f t="shared" si="48"/>
        <v>0.4</v>
      </c>
      <c r="AC141" s="1">
        <f t="shared" si="37"/>
        <v>1.5</v>
      </c>
      <c r="AD141" s="1">
        <f t="shared" si="38"/>
        <v>1</v>
      </c>
      <c r="AE141" s="1">
        <f t="shared" si="49"/>
        <v>10</v>
      </c>
      <c r="AF141" s="36">
        <f t="shared" si="50"/>
        <v>2.4999999999999991</v>
      </c>
    </row>
    <row r="142" spans="3:32" ht="14.25" hidden="1" customHeight="1" outlineLevel="1" x14ac:dyDescent="0.2">
      <c r="D142" s="1">
        <v>6</v>
      </c>
      <c r="E142" s="6">
        <f t="shared" si="39"/>
        <v>14.983545543750003</v>
      </c>
      <c r="F142" s="6">
        <f t="shared" si="40"/>
        <v>926.63418556163265</v>
      </c>
      <c r="G142" s="6">
        <f t="shared" si="40"/>
        <v>6.3814078125000009</v>
      </c>
      <c r="H142" s="1">
        <v>0.4</v>
      </c>
      <c r="I142" s="1">
        <v>1.5</v>
      </c>
      <c r="J142" s="1">
        <v>1</v>
      </c>
      <c r="M142" s="1">
        <v>6</v>
      </c>
      <c r="N142" s="6">
        <f t="shared" si="44"/>
        <v>1498.3545543750004</v>
      </c>
      <c r="O142" s="6">
        <f t="shared" si="41"/>
        <v>126852.65041803516</v>
      </c>
      <c r="P142" s="6">
        <f t="shared" si="42"/>
        <v>957.2111718750001</v>
      </c>
      <c r="Q142" s="1">
        <v>0.4</v>
      </c>
      <c r="R142" s="1">
        <v>1.5</v>
      </c>
      <c r="S142" s="1">
        <v>1</v>
      </c>
      <c r="T142" s="1">
        <v>0.8</v>
      </c>
      <c r="U142" s="1">
        <v>10</v>
      </c>
      <c r="V142" s="5">
        <f t="shared" si="43"/>
        <v>2.4999999999999996</v>
      </c>
      <c r="X142" s="1">
        <v>6</v>
      </c>
      <c r="Y142" s="6">
        <f t="shared" si="45"/>
        <v>299.67091087500006</v>
      </c>
      <c r="Z142" s="6">
        <f t="shared" si="46"/>
        <v>14094.73893533724</v>
      </c>
      <c r="AA142" s="6">
        <f t="shared" si="47"/>
        <v>957.2111718750001</v>
      </c>
      <c r="AB142" s="1">
        <f t="shared" si="48"/>
        <v>0.4</v>
      </c>
      <c r="AC142" s="1">
        <f t="shared" si="37"/>
        <v>1.5</v>
      </c>
      <c r="AD142" s="1">
        <f t="shared" si="38"/>
        <v>1</v>
      </c>
      <c r="AE142" s="1">
        <f t="shared" si="49"/>
        <v>10</v>
      </c>
      <c r="AF142" s="36">
        <f t="shared" si="50"/>
        <v>2.4999999999999996</v>
      </c>
    </row>
    <row r="143" spans="3:32" ht="14.25" hidden="1" customHeight="1" outlineLevel="1" x14ac:dyDescent="0.2">
      <c r="D143" s="1">
        <v>7</v>
      </c>
      <c r="E143" s="6">
        <f t="shared" si="39"/>
        <v>15.7327228209375</v>
      </c>
      <c r="F143" s="6">
        <f t="shared" si="40"/>
        <v>972.96589483971411</v>
      </c>
      <c r="G143" s="6">
        <f t="shared" si="40"/>
        <v>6.7004782031249999</v>
      </c>
      <c r="H143" s="1">
        <v>0.4</v>
      </c>
      <c r="I143" s="1">
        <v>1.5</v>
      </c>
      <c r="J143" s="1">
        <v>1</v>
      </c>
      <c r="M143" s="1">
        <v>7</v>
      </c>
      <c r="N143" s="6">
        <f t="shared" si="44"/>
        <v>1573.2722820937502</v>
      </c>
      <c r="O143" s="6">
        <f t="shared" si="41"/>
        <v>132616.02268515225</v>
      </c>
      <c r="P143" s="6">
        <f t="shared" si="42"/>
        <v>1005.0717304687499</v>
      </c>
      <c r="Q143" s="1">
        <v>0.4</v>
      </c>
      <c r="R143" s="1">
        <v>1.5</v>
      </c>
      <c r="S143" s="1">
        <v>1</v>
      </c>
      <c r="T143" s="1">
        <v>0.8</v>
      </c>
      <c r="U143" s="1">
        <v>10</v>
      </c>
      <c r="V143" s="5">
        <f t="shared" si="43"/>
        <v>2.4999999999999991</v>
      </c>
      <c r="X143" s="1">
        <v>7</v>
      </c>
      <c r="Y143" s="6">
        <f t="shared" si="45"/>
        <v>314.65445641875004</v>
      </c>
      <c r="Z143" s="6">
        <f t="shared" si="46"/>
        <v>14735.113631683584</v>
      </c>
      <c r="AA143" s="6">
        <f t="shared" si="47"/>
        <v>1005.0717304687499</v>
      </c>
      <c r="AB143" s="1">
        <f t="shared" si="48"/>
        <v>0.4</v>
      </c>
      <c r="AC143" s="1">
        <f t="shared" si="37"/>
        <v>1.5</v>
      </c>
      <c r="AD143" s="1">
        <f t="shared" si="38"/>
        <v>1</v>
      </c>
      <c r="AE143" s="1">
        <f t="shared" si="49"/>
        <v>10</v>
      </c>
      <c r="AF143" s="36">
        <f t="shared" si="50"/>
        <v>2.4999999999999991</v>
      </c>
    </row>
    <row r="144" spans="3:32" ht="14.25" hidden="1" customHeight="1" outlineLevel="1" x14ac:dyDescent="0.2">
      <c r="D144" s="1">
        <v>8</v>
      </c>
      <c r="E144" s="6">
        <f t="shared" si="39"/>
        <v>16.519358961984377</v>
      </c>
      <c r="F144" s="6">
        <f t="shared" si="40"/>
        <v>1021.6141895817</v>
      </c>
      <c r="G144" s="6">
        <f t="shared" si="40"/>
        <v>7.0355021132812512</v>
      </c>
      <c r="H144" s="1">
        <v>0.4</v>
      </c>
      <c r="I144" s="1">
        <v>1.5</v>
      </c>
      <c r="J144" s="1">
        <v>1</v>
      </c>
      <c r="M144" s="1">
        <v>8</v>
      </c>
      <c r="N144" s="6">
        <f t="shared" si="44"/>
        <v>1651.9358961984378</v>
      </c>
      <c r="O144" s="6">
        <f t="shared" si="41"/>
        <v>138613.85716232131</v>
      </c>
      <c r="P144" s="6">
        <f t="shared" si="42"/>
        <v>1055.3253169921877</v>
      </c>
      <c r="Q144" s="1">
        <v>0.4</v>
      </c>
      <c r="R144" s="1">
        <v>1.5</v>
      </c>
      <c r="S144" s="1">
        <v>1</v>
      </c>
      <c r="T144" s="1">
        <v>0.8</v>
      </c>
      <c r="U144" s="1">
        <v>10</v>
      </c>
      <c r="V144" s="5">
        <f t="shared" si="43"/>
        <v>2.4999999999999991</v>
      </c>
      <c r="X144" s="1">
        <v>8</v>
      </c>
      <c r="Y144" s="6">
        <f t="shared" si="45"/>
        <v>330.38717923968755</v>
      </c>
      <c r="Z144" s="6">
        <f t="shared" si="46"/>
        <v>15401.539684702368</v>
      </c>
      <c r="AA144" s="6">
        <f t="shared" si="47"/>
        <v>1055.3253169921877</v>
      </c>
      <c r="AB144" s="1">
        <f t="shared" si="48"/>
        <v>0.4</v>
      </c>
      <c r="AC144" s="1">
        <f t="shared" si="37"/>
        <v>1.5</v>
      </c>
      <c r="AD144" s="1">
        <f t="shared" si="38"/>
        <v>1</v>
      </c>
      <c r="AE144" s="1">
        <f t="shared" si="49"/>
        <v>10</v>
      </c>
      <c r="AF144" s="36">
        <f t="shared" si="50"/>
        <v>2.4999999999999991</v>
      </c>
    </row>
    <row r="145" spans="4:32" ht="14.25" hidden="1" customHeight="1" outlineLevel="1" x14ac:dyDescent="0.2">
      <c r="D145" s="1">
        <v>9</v>
      </c>
      <c r="E145" s="6">
        <f t="shared" si="39"/>
        <v>17.345326910083596</v>
      </c>
      <c r="F145" s="6">
        <f t="shared" si="40"/>
        <v>1072.6948990607848</v>
      </c>
      <c r="G145" s="6">
        <f t="shared" si="40"/>
        <v>7.3872772189453126</v>
      </c>
      <c r="H145" s="1">
        <v>0.4</v>
      </c>
      <c r="I145" s="1">
        <v>1.5</v>
      </c>
      <c r="J145" s="1">
        <v>1</v>
      </c>
      <c r="M145" s="1">
        <v>9</v>
      </c>
      <c r="N145" s="6">
        <f t="shared" si="44"/>
        <v>1734.5326910083597</v>
      </c>
      <c r="O145" s="6">
        <f t="shared" si="41"/>
        <v>144853.17631667687</v>
      </c>
      <c r="P145" s="6">
        <f t="shared" si="42"/>
        <v>1108.0915828417969</v>
      </c>
      <c r="Q145" s="1">
        <v>0.4</v>
      </c>
      <c r="R145" s="1">
        <v>1.5</v>
      </c>
      <c r="S145" s="1">
        <v>1</v>
      </c>
      <c r="T145" s="1">
        <v>0.8</v>
      </c>
      <c r="U145" s="1">
        <v>10</v>
      </c>
      <c r="V145" s="5">
        <f t="shared" si="43"/>
        <v>2.4999999999999996</v>
      </c>
      <c r="X145" s="1">
        <v>9</v>
      </c>
      <c r="Y145" s="6">
        <f t="shared" si="45"/>
        <v>346.90653820167194</v>
      </c>
      <c r="Z145" s="6">
        <f t="shared" si="46"/>
        <v>16094.797368519652</v>
      </c>
      <c r="AA145" s="6">
        <f t="shared" si="47"/>
        <v>1108.0915828417969</v>
      </c>
      <c r="AB145" s="1">
        <f t="shared" si="48"/>
        <v>0.4</v>
      </c>
      <c r="AC145" s="1">
        <f t="shared" si="37"/>
        <v>1.5</v>
      </c>
      <c r="AD145" s="1">
        <f t="shared" si="38"/>
        <v>1</v>
      </c>
      <c r="AE145" s="1">
        <f t="shared" si="49"/>
        <v>10</v>
      </c>
      <c r="AF145" s="36">
        <f t="shared" si="50"/>
        <v>2.4999999999999996</v>
      </c>
    </row>
    <row r="146" spans="4:32" ht="14.25" hidden="1" customHeight="1" outlineLevel="1" x14ac:dyDescent="0.2">
      <c r="D146" s="1">
        <v>10</v>
      </c>
      <c r="E146" s="6">
        <f t="shared" si="39"/>
        <v>18.212593255587777</v>
      </c>
      <c r="F146" s="6">
        <f t="shared" si="40"/>
        <v>1126.3296440138242</v>
      </c>
      <c r="G146" s="6">
        <f t="shared" si="40"/>
        <v>7.7566410798925789</v>
      </c>
      <c r="H146" s="1">
        <v>0.4</v>
      </c>
      <c r="I146" s="1">
        <v>1.5</v>
      </c>
      <c r="J146" s="1">
        <v>1</v>
      </c>
      <c r="M146" s="1">
        <v>10</v>
      </c>
      <c r="N146" s="6">
        <f t="shared" si="44"/>
        <v>1821.2593255587778</v>
      </c>
      <c r="O146" s="6">
        <f t="shared" si="41"/>
        <v>151340.98149055958</v>
      </c>
      <c r="P146" s="6">
        <f t="shared" si="42"/>
        <v>1163.4961619838869</v>
      </c>
      <c r="Q146" s="1">
        <v>0.4</v>
      </c>
      <c r="R146" s="1">
        <v>1.5</v>
      </c>
      <c r="S146" s="1">
        <v>1</v>
      </c>
      <c r="T146" s="1">
        <v>0.8</v>
      </c>
      <c r="U146" s="1">
        <v>10</v>
      </c>
      <c r="V146" s="5">
        <f t="shared" si="43"/>
        <v>2.4999999999999991</v>
      </c>
      <c r="X146" s="1">
        <v>10</v>
      </c>
      <c r="Y146" s="6">
        <f t="shared" si="45"/>
        <v>364.25186511175559</v>
      </c>
      <c r="Z146" s="6">
        <f t="shared" si="46"/>
        <v>16815.664610062177</v>
      </c>
      <c r="AA146" s="6">
        <f t="shared" si="47"/>
        <v>1163.4961619838869</v>
      </c>
      <c r="AB146" s="1">
        <f t="shared" si="48"/>
        <v>0.4</v>
      </c>
      <c r="AC146" s="1">
        <f t="shared" si="37"/>
        <v>1.5</v>
      </c>
      <c r="AD146" s="1">
        <f t="shared" si="38"/>
        <v>1</v>
      </c>
      <c r="AE146" s="1">
        <f t="shared" si="49"/>
        <v>10</v>
      </c>
      <c r="AF146" s="36">
        <f t="shared" si="50"/>
        <v>2.4999999999999991</v>
      </c>
    </row>
    <row r="147" spans="4:32" ht="14.25" hidden="1" customHeight="1" outlineLevel="1" x14ac:dyDescent="0.2">
      <c r="D147" s="1">
        <v>11</v>
      </c>
      <c r="E147" s="6">
        <f t="shared" si="39"/>
        <v>19.123222918367166</v>
      </c>
      <c r="F147" s="6">
        <f t="shared" si="40"/>
        <v>1182.6461262145153</v>
      </c>
      <c r="G147" s="6">
        <f t="shared" si="40"/>
        <v>8.1444731338872085</v>
      </c>
      <c r="H147" s="1">
        <v>0.4</v>
      </c>
      <c r="I147" s="1">
        <v>1.5</v>
      </c>
      <c r="J147" s="1">
        <v>1</v>
      </c>
      <c r="M147" s="1">
        <v>11</v>
      </c>
      <c r="N147" s="6">
        <f t="shared" si="44"/>
        <v>1912.3222918367167</v>
      </c>
      <c r="O147" s="6">
        <f t="shared" si="41"/>
        <v>158084.22774568654</v>
      </c>
      <c r="P147" s="6">
        <f t="shared" si="42"/>
        <v>1221.6709700830813</v>
      </c>
      <c r="Q147" s="1">
        <v>0.4</v>
      </c>
      <c r="R147" s="1">
        <v>1.5</v>
      </c>
      <c r="S147" s="1">
        <v>1</v>
      </c>
      <c r="T147" s="1">
        <v>0.8</v>
      </c>
      <c r="U147" s="1">
        <v>10</v>
      </c>
      <c r="V147" s="5">
        <f t="shared" si="43"/>
        <v>2.4999999999999991</v>
      </c>
      <c r="X147" s="1">
        <v>11</v>
      </c>
      <c r="Y147" s="6">
        <f t="shared" si="45"/>
        <v>382.46445836734335</v>
      </c>
      <c r="Z147" s="6">
        <f t="shared" si="46"/>
        <v>17564.914193965171</v>
      </c>
      <c r="AA147" s="6">
        <f t="shared" si="47"/>
        <v>1221.6709700830813</v>
      </c>
      <c r="AB147" s="1">
        <f t="shared" si="48"/>
        <v>0.4</v>
      </c>
      <c r="AC147" s="1">
        <f t="shared" si="37"/>
        <v>1.5</v>
      </c>
      <c r="AD147" s="1">
        <f t="shared" si="38"/>
        <v>1</v>
      </c>
      <c r="AE147" s="1">
        <f t="shared" si="49"/>
        <v>10</v>
      </c>
      <c r="AF147" s="36">
        <f t="shared" si="50"/>
        <v>2.4999999999999991</v>
      </c>
    </row>
    <row r="148" spans="4:32" ht="14.25" hidden="1" customHeight="1" outlineLevel="1" x14ac:dyDescent="0.2">
      <c r="D148" s="1">
        <v>12</v>
      </c>
      <c r="E148" s="6">
        <f t="shared" si="39"/>
        <v>20.079384064285524</v>
      </c>
      <c r="F148" s="6">
        <f t="shared" si="40"/>
        <v>1241.7784325252412</v>
      </c>
      <c r="G148" s="6">
        <f t="shared" si="40"/>
        <v>8.5516967905815697</v>
      </c>
      <c r="H148" s="1">
        <v>0.4</v>
      </c>
      <c r="I148" s="1">
        <v>1.5</v>
      </c>
      <c r="J148" s="1">
        <v>1</v>
      </c>
      <c r="M148" s="1">
        <v>12</v>
      </c>
      <c r="N148" s="6">
        <f t="shared" si="44"/>
        <v>2007.9384064285523</v>
      </c>
      <c r="O148" s="6">
        <f t="shared" si="41"/>
        <v>165089.79662008057</v>
      </c>
      <c r="P148" s="6">
        <f t="shared" si="42"/>
        <v>1282.7545185872355</v>
      </c>
      <c r="Q148" s="1">
        <v>0.4</v>
      </c>
      <c r="R148" s="1">
        <v>1.5</v>
      </c>
      <c r="S148" s="1">
        <v>1</v>
      </c>
      <c r="T148" s="1">
        <v>0.8</v>
      </c>
      <c r="U148" s="1">
        <v>10</v>
      </c>
      <c r="V148" s="5">
        <f t="shared" si="43"/>
        <v>2.4999999999999991</v>
      </c>
      <c r="X148" s="1">
        <v>12</v>
      </c>
      <c r="Y148" s="6">
        <f t="shared" si="45"/>
        <v>401.58768128571046</v>
      </c>
      <c r="Z148" s="6">
        <f t="shared" si="46"/>
        <v>18343.310735564508</v>
      </c>
      <c r="AA148" s="6">
        <f t="shared" si="47"/>
        <v>1282.7545185872355</v>
      </c>
      <c r="AB148" s="1">
        <f t="shared" si="48"/>
        <v>0.4</v>
      </c>
      <c r="AC148" s="1">
        <f t="shared" si="37"/>
        <v>1.5</v>
      </c>
      <c r="AD148" s="1">
        <f t="shared" si="38"/>
        <v>1</v>
      </c>
      <c r="AE148" s="1">
        <f t="shared" si="49"/>
        <v>10</v>
      </c>
      <c r="AF148" s="36">
        <f t="shared" si="50"/>
        <v>2.4999999999999991</v>
      </c>
    </row>
    <row r="149" spans="4:32" ht="14.25" hidden="1" customHeight="1" outlineLevel="1" x14ac:dyDescent="0.2">
      <c r="D149" s="1">
        <v>13</v>
      </c>
      <c r="E149" s="6">
        <f t="shared" si="39"/>
        <v>21.083353267499795</v>
      </c>
      <c r="F149" s="6">
        <f t="shared" si="40"/>
        <v>1303.8673541515032</v>
      </c>
      <c r="G149" s="6">
        <f t="shared" si="40"/>
        <v>8.9792816301106466</v>
      </c>
      <c r="H149" s="1">
        <v>0.4</v>
      </c>
      <c r="I149" s="1">
        <v>1.5</v>
      </c>
      <c r="J149" s="1">
        <v>1</v>
      </c>
      <c r="M149" s="1">
        <v>13</v>
      </c>
      <c r="N149" s="6">
        <f t="shared" si="44"/>
        <v>2108.3353267499797</v>
      </c>
      <c r="O149" s="6">
        <f t="shared" si="41"/>
        <v>172364.46677039683</v>
      </c>
      <c r="P149" s="6">
        <f t="shared" si="42"/>
        <v>1346.892244516597</v>
      </c>
      <c r="Q149" s="1">
        <v>0.4</v>
      </c>
      <c r="R149" s="1">
        <v>1.5</v>
      </c>
      <c r="S149" s="1">
        <v>1</v>
      </c>
      <c r="T149" s="1">
        <v>0.8</v>
      </c>
      <c r="U149" s="1">
        <v>10</v>
      </c>
      <c r="V149" s="5">
        <f t="shared" si="43"/>
        <v>2.4999999999999996</v>
      </c>
      <c r="X149" s="1">
        <v>13</v>
      </c>
      <c r="Y149" s="6">
        <f t="shared" si="45"/>
        <v>421.66706534999594</v>
      </c>
      <c r="Z149" s="6">
        <f t="shared" si="46"/>
        <v>19151.607418932981</v>
      </c>
      <c r="AA149" s="6">
        <f t="shared" si="47"/>
        <v>1346.892244516597</v>
      </c>
      <c r="AB149" s="1">
        <f t="shared" si="48"/>
        <v>0.4</v>
      </c>
      <c r="AC149" s="1">
        <f t="shared" si="37"/>
        <v>1.5</v>
      </c>
      <c r="AD149" s="1">
        <f t="shared" si="38"/>
        <v>1</v>
      </c>
      <c r="AE149" s="1">
        <f t="shared" si="49"/>
        <v>10</v>
      </c>
      <c r="AF149" s="36">
        <f t="shared" si="50"/>
        <v>2.4999999999999996</v>
      </c>
    </row>
    <row r="150" spans="4:32" ht="14.25" hidden="1" customHeight="1" outlineLevel="1" x14ac:dyDescent="0.2">
      <c r="D150" s="1">
        <v>14</v>
      </c>
      <c r="E150" s="6">
        <f t="shared" si="39"/>
        <v>22.137520930874793</v>
      </c>
      <c r="F150" s="6">
        <f t="shared" si="40"/>
        <v>1369.0607218590785</v>
      </c>
      <c r="G150" s="6">
        <f t="shared" si="40"/>
        <v>9.4282457116161797</v>
      </c>
      <c r="H150" s="1">
        <v>0.4</v>
      </c>
      <c r="I150" s="1">
        <v>1.5</v>
      </c>
      <c r="J150" s="1">
        <v>1</v>
      </c>
      <c r="M150" s="1">
        <v>14</v>
      </c>
      <c r="N150" s="6">
        <f t="shared" si="44"/>
        <v>2213.7520930874798</v>
      </c>
      <c r="O150" s="6">
        <f t="shared" si="41"/>
        <v>179914.88248954239</v>
      </c>
      <c r="P150" s="6">
        <f t="shared" si="42"/>
        <v>1414.2368567424269</v>
      </c>
      <c r="Q150" s="1">
        <v>0.4</v>
      </c>
      <c r="R150" s="1">
        <v>1.5</v>
      </c>
      <c r="S150" s="1">
        <v>1</v>
      </c>
      <c r="T150" s="1">
        <v>0.8</v>
      </c>
      <c r="U150" s="1">
        <v>10</v>
      </c>
      <c r="V150" s="5">
        <f t="shared" si="43"/>
        <v>2.4999999999999987</v>
      </c>
      <c r="X150" s="1">
        <v>14</v>
      </c>
      <c r="Y150" s="6">
        <f t="shared" si="45"/>
        <v>442.75041861749594</v>
      </c>
      <c r="Z150" s="6">
        <f t="shared" si="46"/>
        <v>19990.542498838044</v>
      </c>
      <c r="AA150" s="6">
        <f t="shared" si="47"/>
        <v>1414.2368567424269</v>
      </c>
      <c r="AB150" s="1">
        <f t="shared" si="48"/>
        <v>0.4</v>
      </c>
      <c r="AC150" s="1">
        <f t="shared" si="37"/>
        <v>1.5</v>
      </c>
      <c r="AD150" s="1">
        <f t="shared" si="38"/>
        <v>1</v>
      </c>
      <c r="AE150" s="1">
        <f t="shared" si="49"/>
        <v>10</v>
      </c>
      <c r="AF150" s="36">
        <f t="shared" si="50"/>
        <v>2.4999999999999987</v>
      </c>
    </row>
    <row r="151" spans="4:32" ht="14.25" hidden="1" customHeight="1" outlineLevel="1" x14ac:dyDescent="0.2">
      <c r="D151" s="1">
        <v>15</v>
      </c>
      <c r="E151" s="6">
        <f t="shared" si="39"/>
        <v>23.244396977418525</v>
      </c>
      <c r="F151" s="6">
        <f t="shared" si="40"/>
        <v>1437.5137579520322</v>
      </c>
      <c r="G151" s="6">
        <f t="shared" si="40"/>
        <v>9.8996579971969858</v>
      </c>
      <c r="H151" s="1">
        <v>0.4</v>
      </c>
      <c r="I151" s="1">
        <v>1.5</v>
      </c>
      <c r="J151" s="1">
        <v>1</v>
      </c>
      <c r="M151" s="1">
        <v>15</v>
      </c>
      <c r="N151" s="6">
        <f t="shared" si="44"/>
        <v>2324.4396977418528</v>
      </c>
      <c r="O151" s="6">
        <f t="shared" si="41"/>
        <v>187747.52010925286</v>
      </c>
      <c r="P151" s="6">
        <f t="shared" si="42"/>
        <v>1484.9486995795478</v>
      </c>
      <c r="Q151" s="1">
        <v>0.4</v>
      </c>
      <c r="R151" s="1">
        <v>1.5</v>
      </c>
      <c r="S151" s="1">
        <v>1</v>
      </c>
      <c r="T151" s="1">
        <v>0.8</v>
      </c>
      <c r="U151" s="1">
        <v>10</v>
      </c>
      <c r="V151" s="5">
        <f t="shared" si="43"/>
        <v>2.4999999999999991</v>
      </c>
      <c r="X151" s="1">
        <v>15</v>
      </c>
      <c r="Y151" s="6">
        <f t="shared" si="45"/>
        <v>464.88793954837058</v>
      </c>
      <c r="Z151" s="6">
        <f t="shared" si="46"/>
        <v>20860.835567694761</v>
      </c>
      <c r="AA151" s="6">
        <f t="shared" si="47"/>
        <v>1484.9486995795478</v>
      </c>
      <c r="AB151" s="1">
        <f t="shared" si="48"/>
        <v>0.4</v>
      </c>
      <c r="AC151" s="1">
        <f t="shared" si="37"/>
        <v>1.5</v>
      </c>
      <c r="AD151" s="1">
        <f t="shared" si="38"/>
        <v>1</v>
      </c>
      <c r="AE151" s="1">
        <f t="shared" si="49"/>
        <v>10</v>
      </c>
      <c r="AF151" s="36">
        <f t="shared" si="50"/>
        <v>2.4999999999999991</v>
      </c>
    </row>
    <row r="152" spans="4:32" ht="14.25" hidden="1" customHeight="1" outlineLevel="1" x14ac:dyDescent="0.2">
      <c r="D152" s="1">
        <v>16</v>
      </c>
      <c r="E152" s="6">
        <f t="shared" si="39"/>
        <v>24.406616826289458</v>
      </c>
      <c r="F152" s="6">
        <f t="shared" si="40"/>
        <v>1509.3894458496343</v>
      </c>
      <c r="G152" s="6">
        <f t="shared" si="40"/>
        <v>10.394640897056838</v>
      </c>
      <c r="H152" s="1">
        <v>0.4</v>
      </c>
      <c r="I152" s="1">
        <v>1.5</v>
      </c>
      <c r="J152" s="1">
        <v>1</v>
      </c>
      <c r="M152" s="1">
        <v>16</v>
      </c>
      <c r="N152" s="6">
        <f t="shared" si="44"/>
        <v>2440.661682628946</v>
      </c>
      <c r="O152" s="6">
        <f t="shared" si="41"/>
        <v>195868.65231964702</v>
      </c>
      <c r="P152" s="6">
        <f t="shared" si="42"/>
        <v>1559.1961345585257</v>
      </c>
      <c r="Q152" s="1">
        <v>0.4</v>
      </c>
      <c r="R152" s="1">
        <v>1.5</v>
      </c>
      <c r="S152" s="1">
        <v>1</v>
      </c>
      <c r="T152" s="1">
        <v>0.8</v>
      </c>
      <c r="U152" s="1">
        <v>10</v>
      </c>
      <c r="V152" s="5">
        <f t="shared" si="43"/>
        <v>2.4999999999999996</v>
      </c>
      <c r="X152" s="1">
        <v>16</v>
      </c>
      <c r="Y152" s="6">
        <f t="shared" si="45"/>
        <v>488.13233652578919</v>
      </c>
      <c r="Z152" s="6">
        <f t="shared" si="46"/>
        <v>21763.183591071891</v>
      </c>
      <c r="AA152" s="6">
        <f t="shared" si="47"/>
        <v>1559.1961345585257</v>
      </c>
      <c r="AB152" s="1">
        <f t="shared" si="48"/>
        <v>0.4</v>
      </c>
      <c r="AC152" s="1">
        <f t="shared" si="37"/>
        <v>1.5</v>
      </c>
      <c r="AD152" s="1">
        <f t="shared" si="38"/>
        <v>1</v>
      </c>
      <c r="AE152" s="1">
        <f t="shared" si="49"/>
        <v>10</v>
      </c>
      <c r="AF152" s="36">
        <f t="shared" si="50"/>
        <v>2.4999999999999996</v>
      </c>
    </row>
    <row r="153" spans="4:32" ht="14.25" hidden="1" customHeight="1" outlineLevel="1" x14ac:dyDescent="0.2">
      <c r="D153" s="1">
        <v>17</v>
      </c>
      <c r="E153" s="6">
        <f t="shared" si="39"/>
        <v>25.626947667603929</v>
      </c>
      <c r="F153" s="6">
        <f t="shared" si="39"/>
        <v>1584.8589181421157</v>
      </c>
      <c r="G153" s="6">
        <f t="shared" si="39"/>
        <v>10.914372941909679</v>
      </c>
      <c r="H153" s="1">
        <v>0.4</v>
      </c>
      <c r="I153" s="1">
        <v>1.5</v>
      </c>
      <c r="J153" s="1">
        <v>1</v>
      </c>
      <c r="M153" s="1">
        <v>17</v>
      </c>
      <c r="N153" s="6">
        <f t="shared" si="44"/>
        <v>2562.6947667603931</v>
      </c>
      <c r="O153" s="6">
        <f t="shared" si="41"/>
        <v>204284.31046274796</v>
      </c>
      <c r="P153" s="6">
        <f t="shared" si="42"/>
        <v>1637.1559412864519</v>
      </c>
      <c r="Q153" s="1">
        <v>0.4</v>
      </c>
      <c r="R153" s="1">
        <v>1.5</v>
      </c>
      <c r="S153" s="1">
        <v>1</v>
      </c>
      <c r="T153" s="1">
        <v>0.8</v>
      </c>
      <c r="U153" s="1">
        <v>10</v>
      </c>
      <c r="V153" s="5">
        <f t="shared" si="43"/>
        <v>2.4999999999999991</v>
      </c>
      <c r="X153" s="1">
        <v>17</v>
      </c>
      <c r="Y153" s="6">
        <f t="shared" si="45"/>
        <v>512.53895335207858</v>
      </c>
      <c r="Z153" s="6">
        <f t="shared" si="46"/>
        <v>22698.256718083107</v>
      </c>
      <c r="AA153" s="6">
        <f t="shared" si="47"/>
        <v>1637.1559412864519</v>
      </c>
      <c r="AB153" s="1">
        <f t="shared" si="48"/>
        <v>0.4</v>
      </c>
      <c r="AC153" s="1">
        <f t="shared" si="37"/>
        <v>1.5</v>
      </c>
      <c r="AD153" s="1">
        <f t="shared" si="38"/>
        <v>1</v>
      </c>
      <c r="AE153" s="1">
        <f t="shared" si="49"/>
        <v>10</v>
      </c>
      <c r="AF153" s="36">
        <f t="shared" si="50"/>
        <v>2.4999999999999991</v>
      </c>
    </row>
    <row r="154" spans="4:32" ht="14.25" hidden="1" customHeight="1" outlineLevel="1" x14ac:dyDescent="0.2">
      <c r="D154" s="1">
        <v>18</v>
      </c>
      <c r="E154" s="6">
        <f t="shared" si="39"/>
        <v>26.90829505098413</v>
      </c>
      <c r="F154" s="6">
        <f t="shared" si="39"/>
        <v>1664.1018640492218</v>
      </c>
      <c r="G154" s="6">
        <f t="shared" si="39"/>
        <v>11.460091589005167</v>
      </c>
      <c r="H154" s="1">
        <v>0.4</v>
      </c>
      <c r="I154" s="1">
        <v>1.5</v>
      </c>
      <c r="J154" s="1">
        <v>1</v>
      </c>
      <c r="M154" s="1">
        <v>18</v>
      </c>
      <c r="N154" s="6">
        <f t="shared" si="44"/>
        <v>2690.8295050984134</v>
      </c>
      <c r="O154" s="6">
        <f t="shared" si="41"/>
        <v>213000.24488452543</v>
      </c>
      <c r="P154" s="6">
        <f t="shared" si="42"/>
        <v>1719.0137383507749</v>
      </c>
      <c r="Q154" s="1">
        <v>0.4</v>
      </c>
      <c r="R154" s="1">
        <v>1.5</v>
      </c>
      <c r="S154" s="1">
        <v>1</v>
      </c>
      <c r="T154" s="1">
        <v>0.8</v>
      </c>
      <c r="U154" s="1">
        <v>10</v>
      </c>
      <c r="V154" s="5">
        <f t="shared" si="43"/>
        <v>2.4999999999999991</v>
      </c>
      <c r="X154" s="1">
        <v>18</v>
      </c>
      <c r="Y154" s="6">
        <f t="shared" si="45"/>
        <v>538.16590101968268</v>
      </c>
      <c r="Z154" s="6">
        <f t="shared" si="46"/>
        <v>23666.69387605838</v>
      </c>
      <c r="AA154" s="6">
        <f t="shared" si="47"/>
        <v>1719.0137383507749</v>
      </c>
      <c r="AB154" s="1">
        <f t="shared" si="48"/>
        <v>0.4</v>
      </c>
      <c r="AC154" s="1">
        <f t="shared" si="37"/>
        <v>1.5</v>
      </c>
      <c r="AD154" s="1">
        <f t="shared" si="38"/>
        <v>1</v>
      </c>
      <c r="AE154" s="1">
        <f t="shared" si="49"/>
        <v>10</v>
      </c>
      <c r="AF154" s="36">
        <f t="shared" si="50"/>
        <v>2.4999999999999991</v>
      </c>
    </row>
    <row r="155" spans="4:32" ht="14.25" hidden="1" customHeight="1" outlineLevel="1" x14ac:dyDescent="0.2">
      <c r="D155" s="1">
        <v>19</v>
      </c>
      <c r="E155" s="6">
        <f t="shared" si="39"/>
        <v>28.253709803533336</v>
      </c>
      <c r="F155" s="6">
        <f t="shared" si="39"/>
        <v>1747.3069572516829</v>
      </c>
      <c r="G155" s="6">
        <f t="shared" si="39"/>
        <v>12.033096168455424</v>
      </c>
      <c r="H155" s="1">
        <v>0.4</v>
      </c>
      <c r="I155" s="1">
        <v>1.5</v>
      </c>
      <c r="J155" s="1">
        <v>1</v>
      </c>
      <c r="M155" s="1">
        <v>19</v>
      </c>
      <c r="N155" s="6">
        <f t="shared" si="44"/>
        <v>2825.3709803533338</v>
      </c>
      <c r="O155" s="6">
        <f t="shared" si="41"/>
        <v>222021.883460098</v>
      </c>
      <c r="P155" s="6">
        <f t="shared" si="42"/>
        <v>1804.9644252683136</v>
      </c>
      <c r="Q155" s="1">
        <v>0.4</v>
      </c>
      <c r="R155" s="1">
        <v>1.5</v>
      </c>
      <c r="S155" s="1">
        <v>1</v>
      </c>
      <c r="T155" s="1">
        <v>0.8</v>
      </c>
      <c r="U155" s="1">
        <v>10</v>
      </c>
      <c r="V155" s="5">
        <f t="shared" si="43"/>
        <v>2.4999999999999987</v>
      </c>
      <c r="X155" s="1">
        <v>19</v>
      </c>
      <c r="Y155" s="6">
        <f t="shared" si="45"/>
        <v>565.07419607066674</v>
      </c>
      <c r="Z155" s="6">
        <f t="shared" si="46"/>
        <v>24669.098162233113</v>
      </c>
      <c r="AA155" s="6">
        <f t="shared" si="47"/>
        <v>1804.9644252683136</v>
      </c>
      <c r="AB155" s="1">
        <f t="shared" si="48"/>
        <v>0.4</v>
      </c>
      <c r="AC155" s="1">
        <f t="shared" si="37"/>
        <v>1.5</v>
      </c>
      <c r="AD155" s="1">
        <f t="shared" si="38"/>
        <v>1</v>
      </c>
      <c r="AE155" s="1">
        <f t="shared" si="49"/>
        <v>10</v>
      </c>
      <c r="AF155" s="36">
        <f t="shared" si="50"/>
        <v>2.4999999999999987</v>
      </c>
    </row>
    <row r="156" spans="4:32" ht="14.25" hidden="1" customHeight="1" outlineLevel="1" x14ac:dyDescent="0.2">
      <c r="D156" s="1">
        <v>20</v>
      </c>
      <c r="E156" s="6">
        <f t="shared" si="39"/>
        <v>29.666395293710004</v>
      </c>
      <c r="F156" s="6">
        <f t="shared" si="39"/>
        <v>1834.6723051142669</v>
      </c>
      <c r="G156" s="6">
        <f t="shared" si="39"/>
        <v>12.634750976878195</v>
      </c>
      <c r="H156" s="1">
        <v>0.4</v>
      </c>
      <c r="I156" s="1">
        <v>1.5</v>
      </c>
      <c r="J156" s="1">
        <v>1</v>
      </c>
      <c r="M156" s="1">
        <v>20</v>
      </c>
      <c r="N156" s="6">
        <f t="shared" si="44"/>
        <v>2966.6395293710007</v>
      </c>
      <c r="O156" s="6">
        <f t="shared" si="41"/>
        <v>231354.28843920663</v>
      </c>
      <c r="P156" s="6">
        <f t="shared" si="42"/>
        <v>1895.2126465317292</v>
      </c>
      <c r="Q156" s="1">
        <v>0.4</v>
      </c>
      <c r="R156" s="1">
        <v>1.5</v>
      </c>
      <c r="S156" s="1">
        <v>1</v>
      </c>
      <c r="T156" s="1">
        <v>0.8</v>
      </c>
      <c r="U156" s="1">
        <v>10</v>
      </c>
      <c r="V156" s="5">
        <f t="shared" si="43"/>
        <v>2.4999999999999996</v>
      </c>
      <c r="X156" s="1">
        <v>20</v>
      </c>
      <c r="Y156" s="6">
        <f t="shared" si="45"/>
        <v>593.32790587420016</v>
      </c>
      <c r="Z156" s="6">
        <f t="shared" si="46"/>
        <v>25706.032048800738</v>
      </c>
      <c r="AA156" s="6">
        <f t="shared" si="47"/>
        <v>1895.2126465317292</v>
      </c>
      <c r="AB156" s="1">
        <f t="shared" si="48"/>
        <v>0.4</v>
      </c>
      <c r="AC156" s="1">
        <f t="shared" si="37"/>
        <v>1.5</v>
      </c>
      <c r="AD156" s="1">
        <f t="shared" si="38"/>
        <v>1</v>
      </c>
      <c r="AE156" s="1">
        <f t="shared" si="49"/>
        <v>10</v>
      </c>
      <c r="AF156" s="36">
        <f t="shared" si="50"/>
        <v>2.4999999999999996</v>
      </c>
    </row>
    <row r="157" spans="4:32" ht="14.25" hidden="1" customHeight="1" outlineLevel="1" x14ac:dyDescent="0.2">
      <c r="D157" s="1">
        <v>21</v>
      </c>
      <c r="E157" s="6">
        <f t="shared" si="39"/>
        <v>31.1497150583955</v>
      </c>
      <c r="F157" s="6">
        <f t="shared" si="39"/>
        <v>1926.4059203699803</v>
      </c>
      <c r="G157" s="6">
        <f t="shared" si="39"/>
        <v>13.266488525722105</v>
      </c>
      <c r="H157" s="1">
        <v>0.4</v>
      </c>
      <c r="I157" s="1">
        <v>1.5</v>
      </c>
      <c r="J157" s="1">
        <v>1</v>
      </c>
      <c r="M157" s="1">
        <v>21</v>
      </c>
      <c r="N157" s="6">
        <f t="shared" si="44"/>
        <v>3114.9715058395504</v>
      </c>
      <c r="O157" s="6">
        <f t="shared" si="41"/>
        <v>241002.11179370686</v>
      </c>
      <c r="P157" s="6">
        <f t="shared" si="42"/>
        <v>1989.9732788583158</v>
      </c>
      <c r="Q157" s="1">
        <v>0.4</v>
      </c>
      <c r="R157" s="1">
        <v>1.5</v>
      </c>
      <c r="S157" s="1">
        <v>1</v>
      </c>
      <c r="T157" s="1">
        <v>0.8</v>
      </c>
      <c r="U157" s="1">
        <v>10</v>
      </c>
      <c r="V157" s="5">
        <f t="shared" si="43"/>
        <v>2.4999999999999987</v>
      </c>
      <c r="X157" s="1">
        <v>21</v>
      </c>
      <c r="Y157" s="6">
        <f t="shared" si="45"/>
        <v>622.99430116791007</v>
      </c>
      <c r="Z157" s="6">
        <f t="shared" si="46"/>
        <v>26778.012421522984</v>
      </c>
      <c r="AA157" s="6">
        <f t="shared" si="47"/>
        <v>1989.9732788583158</v>
      </c>
      <c r="AB157" s="1">
        <f t="shared" si="48"/>
        <v>0.4</v>
      </c>
      <c r="AC157" s="1">
        <f t="shared" si="37"/>
        <v>1.5</v>
      </c>
      <c r="AD157" s="1">
        <f t="shared" si="38"/>
        <v>1</v>
      </c>
      <c r="AE157" s="1">
        <f t="shared" si="49"/>
        <v>10</v>
      </c>
      <c r="AF157" s="36">
        <f t="shared" si="50"/>
        <v>2.4999999999999987</v>
      </c>
    </row>
    <row r="158" spans="4:32" ht="14.25" hidden="1" customHeight="1" outlineLevel="1" x14ac:dyDescent="0.2">
      <c r="D158" s="1">
        <v>22</v>
      </c>
      <c r="E158" s="6">
        <f t="shared" si="39"/>
        <v>32.707200811315275</v>
      </c>
      <c r="F158" s="6">
        <f t="shared" si="39"/>
        <v>2022.7262163884793</v>
      </c>
      <c r="G158" s="6">
        <f t="shared" si="39"/>
        <v>13.929812952008209</v>
      </c>
      <c r="H158" s="1">
        <v>0.4</v>
      </c>
      <c r="I158" s="1">
        <v>1.5</v>
      </c>
      <c r="J158" s="1">
        <v>1</v>
      </c>
      <c r="M158" s="1">
        <v>22</v>
      </c>
      <c r="N158" s="6">
        <f t="shared" si="44"/>
        <v>3270.7200811315279</v>
      </c>
      <c r="O158" s="6">
        <f t="shared" si="41"/>
        <v>250969.5492853508</v>
      </c>
      <c r="P158" s="6">
        <f t="shared" si="42"/>
        <v>2089.4719428012313</v>
      </c>
      <c r="Q158" s="1">
        <v>0.4</v>
      </c>
      <c r="R158" s="1">
        <v>1.5</v>
      </c>
      <c r="S158" s="1">
        <v>1</v>
      </c>
      <c r="T158" s="1">
        <v>0.8</v>
      </c>
      <c r="U158" s="1">
        <v>10</v>
      </c>
      <c r="V158" s="5">
        <f t="shared" si="43"/>
        <v>2.4999999999999991</v>
      </c>
      <c r="X158" s="1">
        <v>22</v>
      </c>
      <c r="Y158" s="6">
        <f t="shared" si="45"/>
        <v>654.14401622630555</v>
      </c>
      <c r="Z158" s="6">
        <f t="shared" si="46"/>
        <v>27885.505476150091</v>
      </c>
      <c r="AA158" s="6">
        <f t="shared" si="47"/>
        <v>2089.4719428012313</v>
      </c>
      <c r="AB158" s="1">
        <f t="shared" si="48"/>
        <v>0.4</v>
      </c>
      <c r="AC158" s="1">
        <f t="shared" si="37"/>
        <v>1.5</v>
      </c>
      <c r="AD158" s="1">
        <f t="shared" si="38"/>
        <v>1</v>
      </c>
      <c r="AE158" s="1">
        <f t="shared" si="49"/>
        <v>10</v>
      </c>
      <c r="AF158" s="36">
        <f t="shared" si="50"/>
        <v>2.4999999999999991</v>
      </c>
    </row>
    <row r="159" spans="4:32" ht="14.25" hidden="1" customHeight="1" outlineLevel="1" x14ac:dyDescent="0.2">
      <c r="D159" s="1">
        <v>23</v>
      </c>
      <c r="E159" s="6">
        <f t="shared" si="39"/>
        <v>34.342560851881039</v>
      </c>
      <c r="F159" s="6">
        <f t="shared" si="39"/>
        <v>2123.862527207903</v>
      </c>
      <c r="G159" s="6">
        <f t="shared" si="39"/>
        <v>14.626303599608619</v>
      </c>
      <c r="H159" s="1">
        <v>0.4</v>
      </c>
      <c r="I159" s="1">
        <v>1.5</v>
      </c>
      <c r="J159" s="1">
        <v>1</v>
      </c>
      <c r="M159" s="1">
        <v>23</v>
      </c>
      <c r="N159" s="6">
        <f t="shared" si="44"/>
        <v>3434.2560851881044</v>
      </c>
      <c r="O159" s="6">
        <f t="shared" si="41"/>
        <v>261260.29351015063</v>
      </c>
      <c r="P159" s="6">
        <f t="shared" si="42"/>
        <v>2193.9455399412927</v>
      </c>
      <c r="Q159" s="1">
        <v>0.4</v>
      </c>
      <c r="R159" s="1">
        <v>1.5</v>
      </c>
      <c r="S159" s="1">
        <v>1</v>
      </c>
      <c r="T159" s="1">
        <v>0.8</v>
      </c>
      <c r="U159" s="1">
        <v>10</v>
      </c>
      <c r="V159" s="5">
        <f t="shared" si="43"/>
        <v>2.4999999999999987</v>
      </c>
      <c r="X159" s="1">
        <v>23</v>
      </c>
      <c r="Y159" s="6">
        <f t="shared" si="45"/>
        <v>686.85121703762093</v>
      </c>
      <c r="Z159" s="6">
        <f t="shared" si="46"/>
        <v>29028.921501127847</v>
      </c>
      <c r="AA159" s="6">
        <f t="shared" si="47"/>
        <v>2193.9455399412927</v>
      </c>
      <c r="AB159" s="1">
        <f t="shared" si="48"/>
        <v>0.4</v>
      </c>
      <c r="AC159" s="1">
        <f t="shared" si="37"/>
        <v>1.5</v>
      </c>
      <c r="AD159" s="1">
        <f t="shared" si="38"/>
        <v>1</v>
      </c>
      <c r="AE159" s="1">
        <f t="shared" si="49"/>
        <v>10</v>
      </c>
      <c r="AF159" s="36">
        <f t="shared" si="50"/>
        <v>2.4999999999999987</v>
      </c>
    </row>
    <row r="160" spans="4:32" ht="14.25" hidden="1" customHeight="1" outlineLevel="1" x14ac:dyDescent="0.2">
      <c r="D160" s="1">
        <v>24</v>
      </c>
      <c r="E160" s="6">
        <f t="shared" si="39"/>
        <v>36.059688894475094</v>
      </c>
      <c r="F160" s="6">
        <f t="shared" si="39"/>
        <v>2230.0556535682986</v>
      </c>
      <c r="G160" s="6">
        <f t="shared" si="39"/>
        <v>15.357618779589053</v>
      </c>
      <c r="H160" s="1">
        <v>0.4</v>
      </c>
      <c r="I160" s="1">
        <v>1.5</v>
      </c>
      <c r="J160" s="1">
        <v>1</v>
      </c>
      <c r="M160" s="1">
        <v>24</v>
      </c>
      <c r="N160" s="6">
        <f t="shared" si="44"/>
        <v>3605.9688894475103</v>
      </c>
      <c r="O160" s="6">
        <f t="shared" si="41"/>
        <v>271877.48621467536</v>
      </c>
      <c r="P160" s="6">
        <f t="shared" si="42"/>
        <v>2303.642816938358</v>
      </c>
      <c r="Q160" s="1">
        <v>0.4</v>
      </c>
      <c r="R160" s="1">
        <v>1.5</v>
      </c>
      <c r="S160" s="1">
        <v>1</v>
      </c>
      <c r="T160" s="1">
        <v>0.8</v>
      </c>
      <c r="U160" s="1">
        <v>10</v>
      </c>
      <c r="V160" s="5">
        <f t="shared" si="43"/>
        <v>2.4999999999999987</v>
      </c>
      <c r="X160" s="1">
        <v>24</v>
      </c>
      <c r="Y160" s="6">
        <f t="shared" si="45"/>
        <v>721.19377788950203</v>
      </c>
      <c r="Z160" s="6">
        <f t="shared" si="46"/>
        <v>30208.609579408374</v>
      </c>
      <c r="AA160" s="6">
        <f t="shared" si="47"/>
        <v>2303.642816938358</v>
      </c>
      <c r="AB160" s="1">
        <f t="shared" si="48"/>
        <v>0.4</v>
      </c>
      <c r="AC160" s="1">
        <f t="shared" si="37"/>
        <v>1.5</v>
      </c>
      <c r="AD160" s="1">
        <f t="shared" si="38"/>
        <v>1</v>
      </c>
      <c r="AE160" s="1">
        <f t="shared" si="49"/>
        <v>10</v>
      </c>
      <c r="AF160" s="36">
        <f t="shared" si="50"/>
        <v>2.4999999999999987</v>
      </c>
    </row>
    <row r="161" spans="4:32" ht="14.25" hidden="1" customHeight="1" outlineLevel="1" x14ac:dyDescent="0.2">
      <c r="D161" s="1">
        <v>25</v>
      </c>
      <c r="E161" s="6">
        <f t="shared" si="39"/>
        <v>37.862673339198849</v>
      </c>
      <c r="F161" s="6">
        <f t="shared" si="39"/>
        <v>2341.5584362467134</v>
      </c>
      <c r="G161" s="6">
        <f t="shared" si="39"/>
        <v>16.125499718568502</v>
      </c>
      <c r="H161" s="1">
        <v>0.4</v>
      </c>
      <c r="I161" s="1">
        <v>1.5</v>
      </c>
      <c r="J161" s="1">
        <v>1</v>
      </c>
      <c r="M161" s="1">
        <v>25</v>
      </c>
      <c r="N161" s="6">
        <f t="shared" si="44"/>
        <v>3786.267333919885</v>
      </c>
      <c r="O161" s="6">
        <f t="shared" si="41"/>
        <v>282823.67021915468</v>
      </c>
      <c r="P161" s="6">
        <f t="shared" si="42"/>
        <v>2418.8249577852753</v>
      </c>
      <c r="Q161" s="1">
        <v>0.4</v>
      </c>
      <c r="R161" s="1">
        <v>1.5</v>
      </c>
      <c r="S161" s="1">
        <v>1</v>
      </c>
      <c r="T161" s="1">
        <v>0.8</v>
      </c>
      <c r="U161" s="1">
        <v>10</v>
      </c>
      <c r="V161" s="5">
        <f t="shared" si="43"/>
        <v>2.4999999999999991</v>
      </c>
      <c r="X161" s="1">
        <v>25</v>
      </c>
      <c r="Y161" s="6">
        <f t="shared" si="45"/>
        <v>757.25346678397705</v>
      </c>
      <c r="Z161" s="6">
        <f t="shared" si="46"/>
        <v>31424.852246572744</v>
      </c>
      <c r="AA161" s="6">
        <f t="shared" si="47"/>
        <v>2418.8249577852753</v>
      </c>
      <c r="AB161" s="1">
        <f t="shared" si="48"/>
        <v>0.4</v>
      </c>
      <c r="AC161" s="1">
        <f t="shared" si="37"/>
        <v>1.5</v>
      </c>
      <c r="AD161" s="1">
        <f t="shared" si="38"/>
        <v>1</v>
      </c>
      <c r="AE161" s="1">
        <f t="shared" si="49"/>
        <v>10</v>
      </c>
      <c r="AF161" s="36">
        <f t="shared" si="50"/>
        <v>2.4999999999999991</v>
      </c>
    </row>
    <row r="162" spans="4:32" ht="14.25" hidden="1" customHeight="1" outlineLevel="1" x14ac:dyDescent="0.2">
      <c r="D162" s="1">
        <v>26</v>
      </c>
      <c r="E162" s="6">
        <f t="shared" si="39"/>
        <v>39.75580700615879</v>
      </c>
      <c r="F162" s="6">
        <f t="shared" si="39"/>
        <v>2458.6363580590491</v>
      </c>
      <c r="G162" s="6">
        <f t="shared" si="39"/>
        <v>16.931774704496931</v>
      </c>
      <c r="H162" s="1">
        <v>0.4</v>
      </c>
      <c r="I162" s="1">
        <v>1.5</v>
      </c>
      <c r="J162" s="1">
        <v>1</v>
      </c>
      <c r="M162" s="1">
        <v>26</v>
      </c>
      <c r="N162" s="6">
        <f t="shared" si="44"/>
        <v>3975.5807006158793</v>
      </c>
      <c r="O162" s="6">
        <f t="shared" si="41"/>
        <v>294100.74132161145</v>
      </c>
      <c r="P162" s="6">
        <f t="shared" si="42"/>
        <v>2539.7662056745398</v>
      </c>
      <c r="Q162" s="1">
        <v>0.4</v>
      </c>
      <c r="R162" s="1">
        <v>1.5</v>
      </c>
      <c r="S162" s="1">
        <v>1</v>
      </c>
      <c r="T162" s="1">
        <v>0.8</v>
      </c>
      <c r="U162" s="1">
        <v>10</v>
      </c>
      <c r="V162" s="5">
        <f t="shared" si="43"/>
        <v>2.4999999999999991</v>
      </c>
      <c r="X162" s="1">
        <v>26</v>
      </c>
      <c r="Y162" s="6">
        <f t="shared" si="45"/>
        <v>795.11614012317591</v>
      </c>
      <c r="Z162" s="6">
        <f t="shared" si="46"/>
        <v>32677.860146845716</v>
      </c>
      <c r="AA162" s="6">
        <f t="shared" si="47"/>
        <v>2539.7662056745398</v>
      </c>
      <c r="AB162" s="1">
        <f t="shared" si="48"/>
        <v>0.4</v>
      </c>
      <c r="AC162" s="1">
        <f t="shared" si="37"/>
        <v>1.5</v>
      </c>
      <c r="AD162" s="1">
        <f t="shared" si="38"/>
        <v>1</v>
      </c>
      <c r="AE162" s="1">
        <f t="shared" si="49"/>
        <v>10</v>
      </c>
      <c r="AF162" s="36">
        <f t="shared" si="50"/>
        <v>2.4999999999999991</v>
      </c>
    </row>
    <row r="163" spans="4:32" ht="14.25" hidden="1" customHeight="1" outlineLevel="1" x14ac:dyDescent="0.2">
      <c r="D163" s="1">
        <v>27</v>
      </c>
      <c r="E163" s="6">
        <f t="shared" si="39"/>
        <v>41.743597356466729</v>
      </c>
      <c r="F163" s="6">
        <f t="shared" si="39"/>
        <v>2581.5681759620015</v>
      </c>
      <c r="G163" s="6">
        <f t="shared" si="39"/>
        <v>17.778363439721776</v>
      </c>
      <c r="H163" s="1">
        <v>0.4</v>
      </c>
      <c r="I163" s="1">
        <v>1.5</v>
      </c>
      <c r="J163" s="1">
        <v>1</v>
      </c>
      <c r="M163" s="1">
        <v>27</v>
      </c>
      <c r="N163" s="6">
        <f t="shared" si="44"/>
        <v>4174.3597356466735</v>
      </c>
      <c r="O163" s="6">
        <f t="shared" si="41"/>
        <v>305709.9005956421</v>
      </c>
      <c r="P163" s="6">
        <f t="shared" si="42"/>
        <v>2666.7545159582664</v>
      </c>
      <c r="Q163" s="1">
        <v>0.4</v>
      </c>
      <c r="R163" s="1">
        <v>1.5</v>
      </c>
      <c r="S163" s="1">
        <v>1</v>
      </c>
      <c r="T163" s="1">
        <v>0.8</v>
      </c>
      <c r="U163" s="1">
        <v>10</v>
      </c>
      <c r="V163" s="5">
        <f t="shared" si="43"/>
        <v>2.4999999999999991</v>
      </c>
      <c r="X163" s="1">
        <v>27</v>
      </c>
      <c r="Y163" s="6">
        <f t="shared" si="45"/>
        <v>834.87194712933467</v>
      </c>
      <c r="Z163" s="6">
        <f t="shared" si="46"/>
        <v>33967.766732849122</v>
      </c>
      <c r="AA163" s="6">
        <f t="shared" si="47"/>
        <v>2666.7545159582664</v>
      </c>
      <c r="AB163" s="1">
        <f t="shared" si="48"/>
        <v>0.4</v>
      </c>
      <c r="AC163" s="1">
        <f t="shared" si="37"/>
        <v>1.5</v>
      </c>
      <c r="AD163" s="1">
        <f t="shared" si="38"/>
        <v>1</v>
      </c>
      <c r="AE163" s="1">
        <f t="shared" si="49"/>
        <v>10</v>
      </c>
      <c r="AF163" s="36">
        <f t="shared" si="50"/>
        <v>2.4999999999999991</v>
      </c>
    </row>
    <row r="164" spans="4:32" ht="14.25" hidden="1" customHeight="1" outlineLevel="1" x14ac:dyDescent="0.2">
      <c r="D164" s="1">
        <v>28</v>
      </c>
      <c r="E164" s="6">
        <f t="shared" si="39"/>
        <v>43.830777224290074</v>
      </c>
      <c r="F164" s="6">
        <f t="shared" si="39"/>
        <v>2710.6465847601021</v>
      </c>
      <c r="G164" s="6">
        <f t="shared" si="39"/>
        <v>18.667281611707867</v>
      </c>
      <c r="H164" s="1">
        <v>0.4</v>
      </c>
      <c r="I164" s="1">
        <v>1.5</v>
      </c>
      <c r="J164" s="1">
        <v>1</v>
      </c>
      <c r="M164" s="1">
        <v>28</v>
      </c>
      <c r="N164" s="6">
        <f t="shared" si="44"/>
        <v>4383.0777224290077</v>
      </c>
      <c r="O164" s="6">
        <f t="shared" si="41"/>
        <v>317651.60753109539</v>
      </c>
      <c r="P164" s="6">
        <f t="shared" si="42"/>
        <v>2800.0922417561801</v>
      </c>
      <c r="Q164" s="1">
        <v>0.4</v>
      </c>
      <c r="R164" s="1">
        <v>1.5</v>
      </c>
      <c r="S164" s="1">
        <v>1</v>
      </c>
      <c r="T164" s="1">
        <v>0.8</v>
      </c>
      <c r="U164" s="1">
        <v>10</v>
      </c>
      <c r="V164" s="5">
        <f t="shared" si="43"/>
        <v>2.4999999999999996</v>
      </c>
      <c r="X164" s="1">
        <v>28</v>
      </c>
      <c r="Y164" s="6">
        <f t="shared" si="45"/>
        <v>876.61554448580159</v>
      </c>
      <c r="Z164" s="6">
        <f t="shared" si="46"/>
        <v>35294.623059010599</v>
      </c>
      <c r="AA164" s="6">
        <f t="shared" si="47"/>
        <v>2800.0922417561801</v>
      </c>
      <c r="AB164" s="1">
        <f t="shared" si="48"/>
        <v>0.4</v>
      </c>
      <c r="AC164" s="1">
        <f t="shared" si="37"/>
        <v>1.5</v>
      </c>
      <c r="AD164" s="1">
        <f t="shared" si="38"/>
        <v>1</v>
      </c>
      <c r="AE164" s="1">
        <f t="shared" si="49"/>
        <v>10</v>
      </c>
      <c r="AF164" s="36">
        <f t="shared" si="50"/>
        <v>2.4999999999999996</v>
      </c>
    </row>
    <row r="165" spans="4:32" ht="14.25" hidden="1" customHeight="1" outlineLevel="1" x14ac:dyDescent="0.2">
      <c r="D165" s="1">
        <v>29</v>
      </c>
      <c r="E165" s="6">
        <f t="shared" si="39"/>
        <v>46.022316085504571</v>
      </c>
      <c r="F165" s="6">
        <f t="shared" si="39"/>
        <v>2846.1789139981065</v>
      </c>
      <c r="G165" s="6">
        <f t="shared" si="39"/>
        <v>19.600645692293256</v>
      </c>
      <c r="H165" s="1">
        <v>0.4</v>
      </c>
      <c r="I165" s="1">
        <v>1.5</v>
      </c>
      <c r="J165" s="1">
        <v>1</v>
      </c>
      <c r="M165" s="1">
        <v>29</v>
      </c>
      <c r="N165" s="6">
        <f t="shared" si="44"/>
        <v>4602.2316085504572</v>
      </c>
      <c r="O165" s="6">
        <f t="shared" si="41"/>
        <v>329925.53450084338</v>
      </c>
      <c r="P165" s="6">
        <f t="shared" si="42"/>
        <v>2940.0968538439884</v>
      </c>
      <c r="Q165" s="1">
        <v>0.4</v>
      </c>
      <c r="R165" s="1">
        <v>1.5</v>
      </c>
      <c r="S165" s="1">
        <v>1</v>
      </c>
      <c r="T165" s="1">
        <v>0.8</v>
      </c>
      <c r="U165" s="1">
        <v>10</v>
      </c>
      <c r="V165" s="5">
        <f t="shared" si="43"/>
        <v>2.4999999999999996</v>
      </c>
      <c r="X165" s="1">
        <v>29</v>
      </c>
      <c r="Y165" s="6">
        <f t="shared" si="45"/>
        <v>920.44632171009141</v>
      </c>
      <c r="Z165" s="6">
        <f t="shared" si="46"/>
        <v>36658.392722315933</v>
      </c>
      <c r="AA165" s="6">
        <f t="shared" si="47"/>
        <v>2940.0968538439884</v>
      </c>
      <c r="AB165" s="1">
        <f t="shared" si="48"/>
        <v>0.4</v>
      </c>
      <c r="AC165" s="1">
        <f t="shared" si="37"/>
        <v>1.5</v>
      </c>
      <c r="AD165" s="1">
        <f t="shared" si="38"/>
        <v>1</v>
      </c>
      <c r="AE165" s="1">
        <f t="shared" si="49"/>
        <v>10</v>
      </c>
      <c r="AF165" s="36">
        <f t="shared" si="50"/>
        <v>2.4999999999999996</v>
      </c>
    </row>
    <row r="166" spans="4:32" ht="14.25" hidden="1" customHeight="1" outlineLevel="1" x14ac:dyDescent="0.2">
      <c r="D166" s="1">
        <v>30</v>
      </c>
      <c r="E166" s="6">
        <f t="shared" si="39"/>
        <v>48.323431889779805</v>
      </c>
      <c r="F166" s="6">
        <f t="shared" si="39"/>
        <v>2988.4878596980125</v>
      </c>
      <c r="G166" s="6">
        <f t="shared" si="39"/>
        <v>20.580677976907925</v>
      </c>
      <c r="H166" s="1">
        <v>0.4</v>
      </c>
      <c r="I166" s="1">
        <v>1.5</v>
      </c>
      <c r="J166" s="1">
        <v>1</v>
      </c>
      <c r="M166" s="1">
        <v>30</v>
      </c>
      <c r="N166" s="6">
        <f t="shared" si="44"/>
        <v>4832.3431889779813</v>
      </c>
      <c r="O166" s="6">
        <f t="shared" si="41"/>
        <v>342530.52306711121</v>
      </c>
      <c r="P166" s="6">
        <f t="shared" si="42"/>
        <v>3087.1016965361887</v>
      </c>
      <c r="Q166" s="1">
        <v>0.4</v>
      </c>
      <c r="R166" s="1">
        <v>1.5</v>
      </c>
      <c r="S166" s="1">
        <v>1</v>
      </c>
      <c r="T166" s="1">
        <v>0.8</v>
      </c>
      <c r="U166" s="1">
        <v>10</v>
      </c>
      <c r="V166" s="5">
        <f t="shared" si="43"/>
        <v>2.4999999999999991</v>
      </c>
      <c r="X166" s="1">
        <v>30</v>
      </c>
      <c r="Y166" s="6">
        <f t="shared" si="45"/>
        <v>966.46863779559624</v>
      </c>
      <c r="Z166" s="6">
        <f t="shared" si="46"/>
        <v>38058.947007456802</v>
      </c>
      <c r="AA166" s="6">
        <f t="shared" si="47"/>
        <v>3087.1016965361887</v>
      </c>
      <c r="AB166" s="1">
        <f t="shared" si="48"/>
        <v>0.4</v>
      </c>
      <c r="AC166" s="1">
        <f t="shared" si="37"/>
        <v>1.5</v>
      </c>
      <c r="AD166" s="1">
        <f t="shared" si="38"/>
        <v>1</v>
      </c>
      <c r="AE166" s="1">
        <f t="shared" si="49"/>
        <v>10</v>
      </c>
      <c r="AF166" s="36">
        <f t="shared" si="50"/>
        <v>2.4999999999999991</v>
      </c>
    </row>
    <row r="167" spans="4:32" ht="14.25" hidden="1" customHeight="1" outlineLevel="1" x14ac:dyDescent="0.2">
      <c r="D167" s="1">
        <v>31</v>
      </c>
      <c r="E167" s="6">
        <f t="shared" si="39"/>
        <v>50.739603484268777</v>
      </c>
      <c r="F167" s="6">
        <f t="shared" si="39"/>
        <v>3137.9122526829119</v>
      </c>
      <c r="G167" s="6">
        <f t="shared" si="39"/>
        <v>21.609711875753312</v>
      </c>
      <c r="H167" s="1">
        <v>0.4</v>
      </c>
      <c r="I167" s="1">
        <v>1.5</v>
      </c>
      <c r="J167" s="1">
        <v>1</v>
      </c>
      <c r="M167" s="1">
        <v>31</v>
      </c>
      <c r="N167" s="6">
        <f t="shared" si="44"/>
        <v>5073.9603484268782</v>
      </c>
      <c r="O167" s="6">
        <f t="shared" si="41"/>
        <v>355464.54266642034</v>
      </c>
      <c r="P167" s="6">
        <f t="shared" si="42"/>
        <v>3241.4567813629969</v>
      </c>
      <c r="Q167" s="1">
        <v>0.4</v>
      </c>
      <c r="R167" s="1">
        <v>1.5</v>
      </c>
      <c r="S167" s="1">
        <v>1</v>
      </c>
      <c r="T167" s="1">
        <v>0.8</v>
      </c>
      <c r="U167" s="1">
        <v>10</v>
      </c>
      <c r="V167" s="5">
        <f t="shared" si="43"/>
        <v>2.4999999999999991</v>
      </c>
      <c r="X167" s="1">
        <v>31</v>
      </c>
      <c r="Y167" s="6">
        <f t="shared" si="45"/>
        <v>1014.7920696853756</v>
      </c>
      <c r="Z167" s="6">
        <f t="shared" si="46"/>
        <v>39496.06029626893</v>
      </c>
      <c r="AA167" s="6">
        <f t="shared" si="47"/>
        <v>3241.4567813629969</v>
      </c>
      <c r="AB167" s="1">
        <f t="shared" si="48"/>
        <v>0.4</v>
      </c>
      <c r="AC167" s="1">
        <f t="shared" si="37"/>
        <v>1.5</v>
      </c>
      <c r="AD167" s="1">
        <f t="shared" si="38"/>
        <v>1</v>
      </c>
      <c r="AE167" s="1">
        <f t="shared" si="49"/>
        <v>10</v>
      </c>
      <c r="AF167" s="36">
        <f t="shared" si="50"/>
        <v>2.4999999999999991</v>
      </c>
    </row>
    <row r="168" spans="4:32" ht="14.25" hidden="1" customHeight="1" outlineLevel="1" x14ac:dyDescent="0.2">
      <c r="D168" s="1">
        <v>32</v>
      </c>
      <c r="E168" s="6">
        <f t="shared" si="39"/>
        <v>53.276583658482238</v>
      </c>
      <c r="F168" s="6">
        <f t="shared" si="39"/>
        <v>3294.8078653170587</v>
      </c>
      <c r="G168" s="6">
        <f t="shared" si="39"/>
        <v>22.690197469540987</v>
      </c>
      <c r="H168" s="1">
        <v>0.4</v>
      </c>
      <c r="I168" s="1">
        <v>1.5</v>
      </c>
      <c r="J168" s="1">
        <v>1</v>
      </c>
      <c r="M168" s="1">
        <v>32</v>
      </c>
      <c r="N168" s="6">
        <f t="shared" si="44"/>
        <v>5327.6583658482241</v>
      </c>
      <c r="O168" s="6">
        <f t="shared" si="41"/>
        <v>368724.65223205986</v>
      </c>
      <c r="P168" s="6">
        <f t="shared" si="42"/>
        <v>3403.529620431148</v>
      </c>
      <c r="Q168" s="1">
        <v>0.4</v>
      </c>
      <c r="R168" s="1">
        <v>1.5</v>
      </c>
      <c r="S168" s="1">
        <v>1</v>
      </c>
      <c r="T168" s="1">
        <v>0.8</v>
      </c>
      <c r="U168" s="1">
        <v>10</v>
      </c>
      <c r="V168" s="5">
        <f t="shared" si="43"/>
        <v>2.4999999999999991</v>
      </c>
      <c r="X168" s="1">
        <v>32</v>
      </c>
      <c r="Y168" s="6">
        <f t="shared" si="45"/>
        <v>1065.5316731696448</v>
      </c>
      <c r="Z168" s="6">
        <f t="shared" si="46"/>
        <v>40969.405803562207</v>
      </c>
      <c r="AA168" s="6">
        <f t="shared" si="47"/>
        <v>3403.529620431148</v>
      </c>
      <c r="AB168" s="1">
        <f t="shared" si="48"/>
        <v>0.4</v>
      </c>
      <c r="AC168" s="1">
        <f t="shared" si="37"/>
        <v>1.5</v>
      </c>
      <c r="AD168" s="1">
        <f t="shared" si="38"/>
        <v>1</v>
      </c>
      <c r="AE168" s="1">
        <f t="shared" si="49"/>
        <v>10</v>
      </c>
      <c r="AF168" s="36">
        <f t="shared" si="50"/>
        <v>2.4999999999999991</v>
      </c>
    </row>
    <row r="169" spans="4:32" ht="14.25" hidden="1" customHeight="1" outlineLevel="1" x14ac:dyDescent="0.2">
      <c r="D169" s="1">
        <v>33</v>
      </c>
      <c r="E169" s="6">
        <f t="shared" si="39"/>
        <v>55.940412841406349</v>
      </c>
      <c r="F169" s="6">
        <f t="shared" si="39"/>
        <v>3459.5482585829118</v>
      </c>
      <c r="G169" s="6">
        <f t="shared" si="39"/>
        <v>23.824707343018034</v>
      </c>
      <c r="H169" s="1">
        <v>0.4</v>
      </c>
      <c r="I169" s="1">
        <v>1.5</v>
      </c>
      <c r="J169" s="1">
        <v>1</v>
      </c>
      <c r="M169" s="1">
        <v>33</v>
      </c>
      <c r="N169" s="6">
        <f t="shared" si="44"/>
        <v>5594.0412841406351</v>
      </c>
      <c r="O169" s="6">
        <f t="shared" si="41"/>
        <v>382306.96532607172</v>
      </c>
      <c r="P169" s="6">
        <f t="shared" si="42"/>
        <v>3573.7061014527048</v>
      </c>
      <c r="Q169" s="1">
        <v>0.4</v>
      </c>
      <c r="R169" s="1">
        <v>1.5</v>
      </c>
      <c r="S169" s="1">
        <v>1</v>
      </c>
      <c r="T169" s="1">
        <v>0.8</v>
      </c>
      <c r="U169" s="1">
        <v>10</v>
      </c>
      <c r="V169" s="5">
        <f t="shared" si="43"/>
        <v>2.4999999999999996</v>
      </c>
      <c r="X169" s="1">
        <v>33</v>
      </c>
      <c r="Y169" s="6">
        <f t="shared" si="45"/>
        <v>1118.808256828127</v>
      </c>
      <c r="Z169" s="6">
        <f t="shared" si="46"/>
        <v>42478.551702896861</v>
      </c>
      <c r="AA169" s="6">
        <f t="shared" si="47"/>
        <v>3573.7061014527048</v>
      </c>
      <c r="AB169" s="1">
        <f t="shared" si="48"/>
        <v>0.4</v>
      </c>
      <c r="AC169" s="1">
        <f t="shared" si="37"/>
        <v>1.5</v>
      </c>
      <c r="AD169" s="1">
        <f t="shared" si="38"/>
        <v>1</v>
      </c>
      <c r="AE169" s="1">
        <f t="shared" si="49"/>
        <v>10</v>
      </c>
      <c r="AF169" s="36">
        <f t="shared" si="50"/>
        <v>2.4999999999999996</v>
      </c>
    </row>
    <row r="170" spans="4:32" ht="14.25" hidden="1" customHeight="1" outlineLevel="1" x14ac:dyDescent="0.2">
      <c r="D170" s="1">
        <v>34</v>
      </c>
      <c r="E170" s="6">
        <f t="shared" ref="E170:G201" si="51">E$134*E$135^($D170-1)</f>
        <v>58.737433483476664</v>
      </c>
      <c r="F170" s="6">
        <f t="shared" si="51"/>
        <v>3632.5256715120572</v>
      </c>
      <c r="G170" s="6">
        <f t="shared" si="51"/>
        <v>25.015942710168936</v>
      </c>
      <c r="H170" s="1">
        <v>0.4</v>
      </c>
      <c r="I170" s="1">
        <v>1.5</v>
      </c>
      <c r="J170" s="1">
        <v>1</v>
      </c>
      <c r="M170" s="1">
        <v>34</v>
      </c>
      <c r="N170" s="6">
        <f t="shared" si="44"/>
        <v>5873.7433483476661</v>
      </c>
      <c r="O170" s="6">
        <f t="shared" si="41"/>
        <v>396206.61935804872</v>
      </c>
      <c r="P170" s="6">
        <f t="shared" si="42"/>
        <v>3752.3914065253402</v>
      </c>
      <c r="Q170" s="1">
        <v>0.4</v>
      </c>
      <c r="R170" s="1">
        <v>1.5</v>
      </c>
      <c r="S170" s="1">
        <v>1</v>
      </c>
      <c r="T170" s="1">
        <v>0.8</v>
      </c>
      <c r="U170" s="1">
        <v>10</v>
      </c>
      <c r="V170" s="5">
        <f t="shared" si="43"/>
        <v>2.4999999999999996</v>
      </c>
      <c r="X170" s="1">
        <v>34</v>
      </c>
      <c r="Y170" s="6">
        <f t="shared" si="45"/>
        <v>1174.7486696695332</v>
      </c>
      <c r="Z170" s="6">
        <f t="shared" si="46"/>
        <v>44022.957706449859</v>
      </c>
      <c r="AA170" s="6">
        <f t="shared" si="47"/>
        <v>3752.3914065253402</v>
      </c>
      <c r="AB170" s="1">
        <f t="shared" si="48"/>
        <v>0.4</v>
      </c>
      <c r="AC170" s="1">
        <f t="shared" si="37"/>
        <v>1.5</v>
      </c>
      <c r="AD170" s="1">
        <f t="shared" si="38"/>
        <v>1</v>
      </c>
      <c r="AE170" s="1">
        <f t="shared" si="49"/>
        <v>10</v>
      </c>
      <c r="AF170" s="36">
        <f t="shared" si="50"/>
        <v>2.4999999999999996</v>
      </c>
    </row>
    <row r="171" spans="4:32" ht="14.25" hidden="1" customHeight="1" outlineLevel="1" x14ac:dyDescent="0.2">
      <c r="D171" s="1">
        <v>35</v>
      </c>
      <c r="E171" s="6">
        <f t="shared" si="51"/>
        <v>61.674305157650494</v>
      </c>
      <c r="F171" s="6">
        <f t="shared" si="51"/>
        <v>3814.1519550876601</v>
      </c>
      <c r="G171" s="6">
        <f t="shared" si="51"/>
        <v>26.266739845677382</v>
      </c>
      <c r="H171" s="1">
        <v>0.4</v>
      </c>
      <c r="I171" s="1">
        <v>1.5</v>
      </c>
      <c r="J171" s="1">
        <v>1</v>
      </c>
      <c r="M171" s="1">
        <v>35</v>
      </c>
      <c r="N171" s="6">
        <f t="shared" si="44"/>
        <v>6167.4305157650497</v>
      </c>
      <c r="O171" s="6">
        <f t="shared" si="41"/>
        <v>410417.7494646167</v>
      </c>
      <c r="P171" s="6">
        <f t="shared" si="42"/>
        <v>3940.0109768516072</v>
      </c>
      <c r="Q171" s="1">
        <v>0.4</v>
      </c>
      <c r="R171" s="1">
        <v>1.5</v>
      </c>
      <c r="S171" s="1">
        <v>1</v>
      </c>
      <c r="T171" s="1">
        <v>0.8</v>
      </c>
      <c r="U171" s="1">
        <v>10</v>
      </c>
      <c r="V171" s="5">
        <f t="shared" si="43"/>
        <v>2.4999999999999996</v>
      </c>
      <c r="X171" s="1">
        <v>35</v>
      </c>
      <c r="Y171" s="6">
        <f t="shared" si="45"/>
        <v>1233.4861031530099</v>
      </c>
      <c r="Z171" s="6">
        <f t="shared" si="46"/>
        <v>45601.97216273519</v>
      </c>
      <c r="AA171" s="6">
        <f t="shared" si="47"/>
        <v>3940.0109768516072</v>
      </c>
      <c r="AB171" s="1">
        <f t="shared" si="48"/>
        <v>0.4</v>
      </c>
      <c r="AC171" s="1">
        <f t="shared" si="37"/>
        <v>1.5</v>
      </c>
      <c r="AD171" s="1">
        <f t="shared" si="38"/>
        <v>1</v>
      </c>
      <c r="AE171" s="1">
        <f t="shared" si="49"/>
        <v>10</v>
      </c>
      <c r="AF171" s="36">
        <f t="shared" si="50"/>
        <v>2.4999999999999996</v>
      </c>
    </row>
    <row r="172" spans="4:32" ht="14.25" hidden="1" customHeight="1" outlineLevel="1" x14ac:dyDescent="0.2">
      <c r="D172" s="1">
        <v>36</v>
      </c>
      <c r="E172" s="6">
        <f t="shared" si="51"/>
        <v>64.758020415533025</v>
      </c>
      <c r="F172" s="6">
        <f t="shared" si="51"/>
        <v>4004.8595528420437</v>
      </c>
      <c r="G172" s="6">
        <f t="shared" si="51"/>
        <v>27.580076837961258</v>
      </c>
      <c r="H172" s="1">
        <v>0.4</v>
      </c>
      <c r="I172" s="1">
        <v>1.5</v>
      </c>
      <c r="J172" s="1">
        <v>1</v>
      </c>
      <c r="M172" s="1">
        <v>36</v>
      </c>
      <c r="N172" s="6">
        <f t="shared" si="44"/>
        <v>6475.8020415533028</v>
      </c>
      <c r="O172" s="6">
        <f t="shared" si="41"/>
        <v>424933.46761051618</v>
      </c>
      <c r="P172" s="6">
        <f t="shared" si="42"/>
        <v>4137.011525694189</v>
      </c>
      <c r="Q172" s="1">
        <v>0.4</v>
      </c>
      <c r="R172" s="1">
        <v>1.5</v>
      </c>
      <c r="S172" s="1">
        <v>1</v>
      </c>
      <c r="T172" s="1">
        <v>0.8</v>
      </c>
      <c r="U172" s="1">
        <v>10</v>
      </c>
      <c r="V172" s="5">
        <f t="shared" si="43"/>
        <v>2.4999999999999991</v>
      </c>
      <c r="X172" s="1">
        <v>36</v>
      </c>
      <c r="Y172" s="6">
        <f t="shared" si="45"/>
        <v>1295.1604083106606</v>
      </c>
      <c r="Z172" s="6">
        <f t="shared" si="46"/>
        <v>47214.8297345018</v>
      </c>
      <c r="AA172" s="6">
        <f t="shared" si="47"/>
        <v>4137.011525694189</v>
      </c>
      <c r="AB172" s="1">
        <f t="shared" si="48"/>
        <v>0.4</v>
      </c>
      <c r="AC172" s="1">
        <f t="shared" si="37"/>
        <v>1.5</v>
      </c>
      <c r="AD172" s="1">
        <f t="shared" si="38"/>
        <v>1</v>
      </c>
      <c r="AE172" s="1">
        <f t="shared" si="49"/>
        <v>10</v>
      </c>
      <c r="AF172" s="36">
        <f t="shared" si="50"/>
        <v>2.4999999999999991</v>
      </c>
    </row>
    <row r="173" spans="4:32" ht="14.25" hidden="1" customHeight="1" outlineLevel="1" x14ac:dyDescent="0.2">
      <c r="D173" s="1">
        <v>37</v>
      </c>
      <c r="E173" s="6">
        <f t="shared" si="51"/>
        <v>67.995921436309672</v>
      </c>
      <c r="F173" s="6">
        <f t="shared" si="51"/>
        <v>4205.1025304841451</v>
      </c>
      <c r="G173" s="6">
        <f t="shared" si="51"/>
        <v>28.959080679859316</v>
      </c>
      <c r="H173" s="1">
        <v>0.4</v>
      </c>
      <c r="I173" s="1">
        <v>1.5</v>
      </c>
      <c r="J173" s="1">
        <v>1</v>
      </c>
      <c r="M173" s="1">
        <v>37</v>
      </c>
      <c r="N173" s="6">
        <f t="shared" si="44"/>
        <v>6799.5921436309673</v>
      </c>
      <c r="O173" s="6">
        <f t="shared" si="41"/>
        <v>439745.84744899394</v>
      </c>
      <c r="P173" s="6">
        <f t="shared" si="42"/>
        <v>4343.862101978897</v>
      </c>
      <c r="Q173" s="1">
        <v>0.4</v>
      </c>
      <c r="R173" s="1">
        <v>1.5</v>
      </c>
      <c r="S173" s="1">
        <v>1</v>
      </c>
      <c r="T173" s="1">
        <v>0.8</v>
      </c>
      <c r="U173" s="1">
        <v>10</v>
      </c>
      <c r="V173" s="5">
        <f t="shared" si="43"/>
        <v>2.4999999999999987</v>
      </c>
      <c r="X173" s="1">
        <v>37</v>
      </c>
      <c r="Y173" s="6">
        <f t="shared" si="45"/>
        <v>1359.9184287261935</v>
      </c>
      <c r="Z173" s="6">
        <f t="shared" si="46"/>
        <v>48860.649716554879</v>
      </c>
      <c r="AA173" s="6">
        <f t="shared" si="47"/>
        <v>4343.862101978897</v>
      </c>
      <c r="AB173" s="1">
        <f t="shared" si="48"/>
        <v>0.4</v>
      </c>
      <c r="AC173" s="1">
        <f t="shared" si="37"/>
        <v>1.5</v>
      </c>
      <c r="AD173" s="1">
        <f t="shared" si="38"/>
        <v>1</v>
      </c>
      <c r="AE173" s="1">
        <f t="shared" si="49"/>
        <v>10</v>
      </c>
      <c r="AF173" s="36">
        <f t="shared" si="50"/>
        <v>2.4999999999999987</v>
      </c>
    </row>
    <row r="174" spans="4:32" ht="14.25" hidden="1" customHeight="1" outlineLevel="1" x14ac:dyDescent="0.2">
      <c r="D174" s="1">
        <v>38</v>
      </c>
      <c r="E174" s="6">
        <f t="shared" si="51"/>
        <v>71.395717508125159</v>
      </c>
      <c r="F174" s="6">
        <f t="shared" si="51"/>
        <v>4415.3576570083533</v>
      </c>
      <c r="G174" s="6">
        <f t="shared" si="51"/>
        <v>30.407034713852283</v>
      </c>
      <c r="H174" s="1">
        <v>0.4</v>
      </c>
      <c r="I174" s="1">
        <v>1.5</v>
      </c>
      <c r="J174" s="1">
        <v>1</v>
      </c>
      <c r="M174" s="1">
        <v>38</v>
      </c>
      <c r="N174" s="6">
        <f t="shared" si="44"/>
        <v>7139.5717508125172</v>
      </c>
      <c r="O174" s="6">
        <f t="shared" si="41"/>
        <v>454845.91544527642</v>
      </c>
      <c r="P174" s="6">
        <f t="shared" si="42"/>
        <v>4561.0552070778422</v>
      </c>
      <c r="Q174" s="1">
        <v>0.4</v>
      </c>
      <c r="R174" s="1">
        <v>1.5</v>
      </c>
      <c r="S174" s="1">
        <v>1</v>
      </c>
      <c r="T174" s="1">
        <v>0.8</v>
      </c>
      <c r="U174" s="1">
        <v>10</v>
      </c>
      <c r="V174" s="5">
        <f t="shared" si="43"/>
        <v>2.4999999999999991</v>
      </c>
      <c r="X174" s="1">
        <v>38</v>
      </c>
      <c r="Y174" s="6">
        <f t="shared" si="45"/>
        <v>1427.9143501625035</v>
      </c>
      <c r="Z174" s="6">
        <f t="shared" si="46"/>
        <v>50538.435049475156</v>
      </c>
      <c r="AA174" s="6">
        <f t="shared" si="47"/>
        <v>4561.0552070778422</v>
      </c>
      <c r="AB174" s="1">
        <f t="shared" si="48"/>
        <v>0.4</v>
      </c>
      <c r="AC174" s="1">
        <f t="shared" si="37"/>
        <v>1.5</v>
      </c>
      <c r="AD174" s="1">
        <f t="shared" si="38"/>
        <v>1</v>
      </c>
      <c r="AE174" s="1">
        <f t="shared" si="49"/>
        <v>10</v>
      </c>
      <c r="AF174" s="36">
        <f t="shared" si="50"/>
        <v>2.4999999999999991</v>
      </c>
    </row>
    <row r="175" spans="4:32" ht="14.25" hidden="1" customHeight="1" outlineLevel="1" x14ac:dyDescent="0.2">
      <c r="D175" s="1">
        <v>39</v>
      </c>
      <c r="E175" s="6">
        <f t="shared" si="51"/>
        <v>74.965503383531413</v>
      </c>
      <c r="F175" s="6">
        <f t="shared" si="51"/>
        <v>4636.12553985877</v>
      </c>
      <c r="G175" s="6">
        <f t="shared" si="51"/>
        <v>31.92738644954489</v>
      </c>
      <c r="H175" s="1">
        <v>0.4</v>
      </c>
      <c r="I175" s="1">
        <v>1.5</v>
      </c>
      <c r="J175" s="1">
        <v>1</v>
      </c>
      <c r="M175" s="1">
        <v>39</v>
      </c>
      <c r="N175" s="6">
        <f t="shared" si="44"/>
        <v>7496.5503383531423</v>
      </c>
      <c r="O175" s="6">
        <f t="shared" si="41"/>
        <v>470223.64872191916</v>
      </c>
      <c r="P175" s="6">
        <f t="shared" si="42"/>
        <v>4789.1079674317334</v>
      </c>
      <c r="Q175" s="1">
        <v>0.4</v>
      </c>
      <c r="R175" s="1">
        <v>1.5</v>
      </c>
      <c r="S175" s="1">
        <v>1</v>
      </c>
      <c r="T175" s="1">
        <v>0.8</v>
      </c>
      <c r="U175" s="1">
        <v>10</v>
      </c>
      <c r="V175" s="5">
        <f t="shared" si="43"/>
        <v>2.4999999999999987</v>
      </c>
      <c r="X175" s="1">
        <v>39</v>
      </c>
      <c r="Y175" s="6">
        <f t="shared" si="45"/>
        <v>1499.3100676706285</v>
      </c>
      <c r="Z175" s="6">
        <f t="shared" si="46"/>
        <v>52247.072080213242</v>
      </c>
      <c r="AA175" s="6">
        <f t="shared" si="47"/>
        <v>4789.1079674317334</v>
      </c>
      <c r="AB175" s="1">
        <f t="shared" si="48"/>
        <v>0.4</v>
      </c>
      <c r="AC175" s="1">
        <f t="shared" si="37"/>
        <v>1.5</v>
      </c>
      <c r="AD175" s="1">
        <f t="shared" si="38"/>
        <v>1</v>
      </c>
      <c r="AE175" s="1">
        <f t="shared" si="49"/>
        <v>10</v>
      </c>
      <c r="AF175" s="36">
        <f t="shared" si="50"/>
        <v>2.4999999999999987</v>
      </c>
    </row>
    <row r="176" spans="4:32" ht="14.25" hidden="1" customHeight="1" outlineLevel="1" x14ac:dyDescent="0.2">
      <c r="D176" s="1">
        <v>40</v>
      </c>
      <c r="E176" s="6">
        <f t="shared" si="51"/>
        <v>78.713778552707993</v>
      </c>
      <c r="F176" s="6">
        <f t="shared" si="51"/>
        <v>4867.9318168517093</v>
      </c>
      <c r="G176" s="6">
        <f t="shared" si="51"/>
        <v>33.523755772022142</v>
      </c>
      <c r="H176" s="1">
        <v>0.4</v>
      </c>
      <c r="I176" s="1">
        <v>1.5</v>
      </c>
      <c r="J176" s="1">
        <v>1</v>
      </c>
      <c r="M176" s="1">
        <v>40</v>
      </c>
      <c r="N176" s="6">
        <f t="shared" si="44"/>
        <v>7871.3778552708</v>
      </c>
      <c r="O176" s="6">
        <f t="shared" si="41"/>
        <v>485867.98002879211</v>
      </c>
      <c r="P176" s="6">
        <f t="shared" si="42"/>
        <v>5028.5633658033212</v>
      </c>
      <c r="Q176" s="1">
        <v>0.4</v>
      </c>
      <c r="R176" s="1">
        <v>1.5</v>
      </c>
      <c r="S176" s="1">
        <v>1</v>
      </c>
      <c r="T176" s="1">
        <v>0.8</v>
      </c>
      <c r="U176" s="1">
        <v>10</v>
      </c>
      <c r="V176" s="5">
        <f t="shared" si="43"/>
        <v>2.4999999999999991</v>
      </c>
      <c r="X176" s="1">
        <v>40</v>
      </c>
      <c r="Y176" s="6">
        <f t="shared" si="45"/>
        <v>1574.2755710541601</v>
      </c>
      <c r="Z176" s="6">
        <f t="shared" si="46"/>
        <v>53985.331114310233</v>
      </c>
      <c r="AA176" s="6">
        <f t="shared" si="47"/>
        <v>5028.5633658033212</v>
      </c>
      <c r="AB176" s="1">
        <f t="shared" si="48"/>
        <v>0.4</v>
      </c>
      <c r="AC176" s="1">
        <f t="shared" si="37"/>
        <v>1.5</v>
      </c>
      <c r="AD176" s="1">
        <f t="shared" si="38"/>
        <v>1</v>
      </c>
      <c r="AE176" s="1">
        <f t="shared" si="49"/>
        <v>10</v>
      </c>
      <c r="AF176" s="36">
        <f t="shared" si="50"/>
        <v>2.4999999999999991</v>
      </c>
    </row>
    <row r="177" spans="4:32" ht="14.25" hidden="1" customHeight="1" outlineLevel="1" x14ac:dyDescent="0.2">
      <c r="D177" s="1">
        <v>41</v>
      </c>
      <c r="E177" s="6">
        <f t="shared" si="51"/>
        <v>82.64946748034339</v>
      </c>
      <c r="F177" s="6">
        <f t="shared" si="51"/>
        <v>5111.3284076942937</v>
      </c>
      <c r="G177" s="6">
        <f t="shared" si="51"/>
        <v>35.199943560623247</v>
      </c>
      <c r="H177" s="1">
        <v>0.4</v>
      </c>
      <c r="I177" s="1">
        <v>1.5</v>
      </c>
      <c r="J177" s="1">
        <v>1</v>
      </c>
      <c r="M177" s="1">
        <v>41</v>
      </c>
      <c r="N177" s="6">
        <f t="shared" si="44"/>
        <v>8264.9467480343392</v>
      </c>
      <c r="O177" s="6">
        <f t="shared" si="41"/>
        <v>501766.81017358293</v>
      </c>
      <c r="P177" s="6">
        <f t="shared" si="42"/>
        <v>5279.9915340934867</v>
      </c>
      <c r="Q177" s="1">
        <v>0.4</v>
      </c>
      <c r="R177" s="1">
        <v>1.5</v>
      </c>
      <c r="S177" s="1">
        <v>1</v>
      </c>
      <c r="T177" s="1">
        <v>0.8</v>
      </c>
      <c r="U177" s="1">
        <v>10</v>
      </c>
      <c r="V177" s="5">
        <f t="shared" si="43"/>
        <v>2.4999999999999991</v>
      </c>
      <c r="X177" s="1">
        <v>41</v>
      </c>
      <c r="Y177" s="6">
        <f t="shared" si="45"/>
        <v>1652.9893496068678</v>
      </c>
      <c r="Z177" s="6">
        <f t="shared" si="46"/>
        <v>55751.86779706477</v>
      </c>
      <c r="AA177" s="6">
        <f t="shared" si="47"/>
        <v>5279.9915340934867</v>
      </c>
      <c r="AB177" s="1">
        <f t="shared" si="48"/>
        <v>0.4</v>
      </c>
      <c r="AC177" s="1">
        <f t="shared" si="37"/>
        <v>1.5</v>
      </c>
      <c r="AD177" s="1">
        <f t="shared" si="38"/>
        <v>1</v>
      </c>
      <c r="AE177" s="1">
        <f t="shared" si="49"/>
        <v>10</v>
      </c>
      <c r="AF177" s="36">
        <f t="shared" si="50"/>
        <v>2.4999999999999991</v>
      </c>
    </row>
    <row r="178" spans="4:32" ht="14.25" hidden="1" customHeight="1" outlineLevel="1" x14ac:dyDescent="0.2">
      <c r="D178" s="1">
        <v>42</v>
      </c>
      <c r="E178" s="6">
        <f t="shared" si="51"/>
        <v>86.781940854360556</v>
      </c>
      <c r="F178" s="6">
        <f t="shared" si="51"/>
        <v>5366.8948280790091</v>
      </c>
      <c r="G178" s="6">
        <f t="shared" si="51"/>
        <v>36.95994073865441</v>
      </c>
      <c r="H178" s="1">
        <v>0.4</v>
      </c>
      <c r="I178" s="1">
        <v>1.5</v>
      </c>
      <c r="J178" s="1">
        <v>1</v>
      </c>
      <c r="M178" s="1">
        <v>42</v>
      </c>
      <c r="N178" s="6">
        <f t="shared" si="44"/>
        <v>8678.1940854360564</v>
      </c>
      <c r="O178" s="6">
        <f t="shared" si="41"/>
        <v>517907.02817155304</v>
      </c>
      <c r="P178" s="6">
        <f t="shared" si="42"/>
        <v>5543.9911107981616</v>
      </c>
      <c r="Q178" s="1">
        <v>0.4</v>
      </c>
      <c r="R178" s="1">
        <v>1.5</v>
      </c>
      <c r="S178" s="1">
        <v>1</v>
      </c>
      <c r="T178" s="1">
        <v>0.8</v>
      </c>
      <c r="U178" s="1">
        <v>10</v>
      </c>
      <c r="V178" s="5">
        <f t="shared" si="43"/>
        <v>2.4999999999999991</v>
      </c>
      <c r="X178" s="1">
        <v>42</v>
      </c>
      <c r="Y178" s="6">
        <f t="shared" si="45"/>
        <v>1735.6388170872112</v>
      </c>
      <c r="Z178" s="6">
        <f t="shared" si="46"/>
        <v>57545.22535239478</v>
      </c>
      <c r="AA178" s="6">
        <f t="shared" si="47"/>
        <v>5543.9911107981616</v>
      </c>
      <c r="AB178" s="1">
        <f t="shared" si="48"/>
        <v>0.4</v>
      </c>
      <c r="AC178" s="1">
        <f t="shared" si="37"/>
        <v>1.5</v>
      </c>
      <c r="AD178" s="1">
        <f t="shared" si="38"/>
        <v>1</v>
      </c>
      <c r="AE178" s="1">
        <f t="shared" si="49"/>
        <v>10</v>
      </c>
      <c r="AF178" s="36">
        <f t="shared" si="50"/>
        <v>2.4999999999999991</v>
      </c>
    </row>
    <row r="179" spans="4:32" ht="14.25" hidden="1" customHeight="1" outlineLevel="1" x14ac:dyDescent="0.2">
      <c r="D179" s="1">
        <v>43</v>
      </c>
      <c r="E179" s="6">
        <f t="shared" si="51"/>
        <v>91.12103789707858</v>
      </c>
      <c r="F179" s="6">
        <f t="shared" si="51"/>
        <v>5635.2395694829593</v>
      </c>
      <c r="G179" s="6">
        <f t="shared" si="51"/>
        <v>38.807937775587135</v>
      </c>
      <c r="H179" s="1">
        <v>0.4</v>
      </c>
      <c r="I179" s="1">
        <v>1.5</v>
      </c>
      <c r="J179" s="1">
        <v>1</v>
      </c>
      <c r="M179" s="1">
        <v>43</v>
      </c>
      <c r="N179" s="6">
        <f t="shared" si="44"/>
        <v>9112.1037897078586</v>
      </c>
      <c r="O179" s="6">
        <f t="shared" si="41"/>
        <v>534274.53928667656</v>
      </c>
      <c r="P179" s="6">
        <f t="shared" si="42"/>
        <v>5821.1906663380705</v>
      </c>
      <c r="Q179" s="1">
        <v>0.4</v>
      </c>
      <c r="R179" s="1">
        <v>1.5</v>
      </c>
      <c r="S179" s="1">
        <v>1</v>
      </c>
      <c r="T179" s="1">
        <v>0.8</v>
      </c>
      <c r="U179" s="1">
        <v>10</v>
      </c>
      <c r="V179" s="5">
        <f t="shared" si="43"/>
        <v>2.4999999999999991</v>
      </c>
      <c r="X179" s="1">
        <v>43</v>
      </c>
      <c r="Y179" s="6">
        <f t="shared" si="45"/>
        <v>1822.4207579415718</v>
      </c>
      <c r="Z179" s="6">
        <f t="shared" si="46"/>
        <v>59363.837698519616</v>
      </c>
      <c r="AA179" s="6">
        <f t="shared" si="47"/>
        <v>5821.1906663380705</v>
      </c>
      <c r="AB179" s="1">
        <f t="shared" si="48"/>
        <v>0.4</v>
      </c>
      <c r="AC179" s="1">
        <f t="shared" si="37"/>
        <v>1.5</v>
      </c>
      <c r="AD179" s="1">
        <f t="shared" si="38"/>
        <v>1</v>
      </c>
      <c r="AE179" s="1">
        <f t="shared" si="49"/>
        <v>10</v>
      </c>
      <c r="AF179" s="36">
        <f t="shared" si="50"/>
        <v>2.4999999999999991</v>
      </c>
    </row>
    <row r="180" spans="4:32" ht="14.25" hidden="1" customHeight="1" outlineLevel="1" x14ac:dyDescent="0.2">
      <c r="D180" s="1">
        <v>44</v>
      </c>
      <c r="E180" s="6">
        <f t="shared" si="51"/>
        <v>95.677089791932531</v>
      </c>
      <c r="F180" s="6">
        <f t="shared" si="51"/>
        <v>5917.0015479571084</v>
      </c>
      <c r="G180" s="6">
        <f t="shared" si="51"/>
        <v>40.748334664366496</v>
      </c>
      <c r="H180" s="1">
        <v>0.4</v>
      </c>
      <c r="I180" s="1">
        <v>1.5</v>
      </c>
      <c r="J180" s="1">
        <v>1</v>
      </c>
      <c r="M180" s="1">
        <v>44</v>
      </c>
      <c r="N180" s="6">
        <f t="shared" si="44"/>
        <v>9567.7089791932558</v>
      </c>
      <c r="O180" s="6">
        <f t="shared" si="41"/>
        <v>550854.30104143498</v>
      </c>
      <c r="P180" s="6">
        <f t="shared" si="42"/>
        <v>6112.2501996549745</v>
      </c>
      <c r="Q180" s="1">
        <v>0.4</v>
      </c>
      <c r="R180" s="1">
        <v>1.5</v>
      </c>
      <c r="S180" s="1">
        <v>1</v>
      </c>
      <c r="T180" s="1">
        <v>0.8</v>
      </c>
      <c r="U180" s="1">
        <v>10</v>
      </c>
      <c r="V180" s="5">
        <f t="shared" si="43"/>
        <v>2.4999999999999987</v>
      </c>
      <c r="X180" s="1">
        <v>44</v>
      </c>
      <c r="Y180" s="6">
        <f t="shared" si="45"/>
        <v>1913.5417958386511</v>
      </c>
      <c r="Z180" s="6">
        <f t="shared" si="46"/>
        <v>61206.033449048329</v>
      </c>
      <c r="AA180" s="6">
        <f t="shared" si="47"/>
        <v>6112.2501996549745</v>
      </c>
      <c r="AB180" s="1">
        <f t="shared" si="48"/>
        <v>0.4</v>
      </c>
      <c r="AC180" s="1">
        <f t="shared" si="37"/>
        <v>1.5</v>
      </c>
      <c r="AD180" s="1">
        <f t="shared" si="38"/>
        <v>1</v>
      </c>
      <c r="AE180" s="1">
        <f t="shared" si="49"/>
        <v>10</v>
      </c>
      <c r="AF180" s="36">
        <f t="shared" si="50"/>
        <v>2.4999999999999987</v>
      </c>
    </row>
    <row r="181" spans="4:32" ht="14.25" hidden="1" customHeight="1" outlineLevel="1" x14ac:dyDescent="0.2">
      <c r="D181" s="1">
        <v>45</v>
      </c>
      <c r="E181" s="6">
        <f t="shared" si="51"/>
        <v>100.46094428152914</v>
      </c>
      <c r="F181" s="6">
        <f t="shared" si="51"/>
        <v>6212.8516253549633</v>
      </c>
      <c r="G181" s="6">
        <f t="shared" si="51"/>
        <v>42.785751397584811</v>
      </c>
      <c r="H181" s="1">
        <v>0.4</v>
      </c>
      <c r="I181" s="1">
        <v>1.5</v>
      </c>
      <c r="J181" s="1">
        <v>1</v>
      </c>
      <c r="M181" s="1">
        <v>45</v>
      </c>
      <c r="N181" s="6">
        <f t="shared" si="44"/>
        <v>10046.094428152915</v>
      </c>
      <c r="O181" s="6">
        <f t="shared" si="41"/>
        <v>567630.36717086099</v>
      </c>
      <c r="P181" s="6">
        <f t="shared" si="42"/>
        <v>6417.8627096377213</v>
      </c>
      <c r="Q181" s="1">
        <v>0.4</v>
      </c>
      <c r="R181" s="1">
        <v>1.5</v>
      </c>
      <c r="S181" s="1">
        <v>1</v>
      </c>
      <c r="T181" s="1">
        <v>0.8</v>
      </c>
      <c r="U181" s="1">
        <v>10</v>
      </c>
      <c r="V181" s="5">
        <f t="shared" si="43"/>
        <v>2.4999999999999991</v>
      </c>
      <c r="X181" s="1">
        <v>45</v>
      </c>
      <c r="Y181" s="6">
        <f t="shared" si="45"/>
        <v>2009.2188856305831</v>
      </c>
      <c r="Z181" s="6">
        <f t="shared" si="46"/>
        <v>63070.040796762332</v>
      </c>
      <c r="AA181" s="6">
        <f t="shared" si="47"/>
        <v>6417.8627096377213</v>
      </c>
      <c r="AB181" s="1">
        <f t="shared" si="48"/>
        <v>0.4</v>
      </c>
      <c r="AC181" s="1">
        <f t="shared" si="37"/>
        <v>1.5</v>
      </c>
      <c r="AD181" s="1">
        <f t="shared" si="38"/>
        <v>1</v>
      </c>
      <c r="AE181" s="1">
        <f t="shared" si="49"/>
        <v>10</v>
      </c>
      <c r="AF181" s="36">
        <f t="shared" si="50"/>
        <v>2.4999999999999991</v>
      </c>
    </row>
    <row r="182" spans="4:32" ht="14.25" hidden="1" customHeight="1" outlineLevel="1" x14ac:dyDescent="0.2">
      <c r="D182" s="1">
        <v>46</v>
      </c>
      <c r="E182" s="6">
        <f t="shared" si="51"/>
        <v>105.48399149560562</v>
      </c>
      <c r="F182" s="6">
        <f t="shared" si="51"/>
        <v>6523.4942066227122</v>
      </c>
      <c r="G182" s="6">
        <f t="shared" si="51"/>
        <v>44.925038967464062</v>
      </c>
      <c r="H182" s="1">
        <v>0.4</v>
      </c>
      <c r="I182" s="1">
        <v>1.5</v>
      </c>
      <c r="J182" s="1">
        <v>1</v>
      </c>
      <c r="M182" s="1">
        <v>46</v>
      </c>
      <c r="N182" s="6">
        <f t="shared" si="44"/>
        <v>10548.399149560562</v>
      </c>
      <c r="O182" s="6">
        <f t="shared" si="41"/>
        <v>584585.93938969949</v>
      </c>
      <c r="P182" s="6">
        <f t="shared" si="42"/>
        <v>6738.7558451196091</v>
      </c>
      <c r="Q182" s="1">
        <v>0.4</v>
      </c>
      <c r="R182" s="1">
        <v>1.5</v>
      </c>
      <c r="S182" s="1">
        <v>1</v>
      </c>
      <c r="T182" s="1">
        <v>0.8</v>
      </c>
      <c r="U182" s="1">
        <v>10</v>
      </c>
      <c r="V182" s="5">
        <f t="shared" si="43"/>
        <v>2.4999999999999991</v>
      </c>
      <c r="X182" s="1">
        <v>46</v>
      </c>
      <c r="Y182" s="6">
        <f t="shared" si="45"/>
        <v>2109.6798299121124</v>
      </c>
      <c r="Z182" s="6">
        <f t="shared" si="46"/>
        <v>64953.993265522164</v>
      </c>
      <c r="AA182" s="6">
        <f t="shared" si="47"/>
        <v>6738.7558451196091</v>
      </c>
      <c r="AB182" s="1">
        <f t="shared" si="48"/>
        <v>0.4</v>
      </c>
      <c r="AC182" s="1">
        <f t="shared" si="37"/>
        <v>1.5</v>
      </c>
      <c r="AD182" s="1">
        <f t="shared" si="38"/>
        <v>1</v>
      </c>
      <c r="AE182" s="1">
        <f t="shared" si="49"/>
        <v>10</v>
      </c>
      <c r="AF182" s="36">
        <f t="shared" si="50"/>
        <v>2.4999999999999991</v>
      </c>
    </row>
    <row r="183" spans="4:32" ht="14.25" hidden="1" customHeight="1" outlineLevel="1" x14ac:dyDescent="0.2">
      <c r="D183" s="1">
        <v>47</v>
      </c>
      <c r="E183" s="6">
        <f t="shared" si="51"/>
        <v>110.75819107038588</v>
      </c>
      <c r="F183" s="6">
        <f t="shared" si="51"/>
        <v>6849.6689169538458</v>
      </c>
      <c r="G183" s="6">
        <f t="shared" si="51"/>
        <v>47.171290915837254</v>
      </c>
      <c r="H183" s="1">
        <v>0.4</v>
      </c>
      <c r="I183" s="1">
        <v>1.5</v>
      </c>
      <c r="J183" s="1">
        <v>1</v>
      </c>
      <c r="M183" s="1">
        <v>47</v>
      </c>
      <c r="N183" s="6">
        <f t="shared" si="44"/>
        <v>11075.819107038589</v>
      </c>
      <c r="O183" s="6">
        <f t="shared" si="41"/>
        <v>601703.42673176981</v>
      </c>
      <c r="P183" s="6">
        <f t="shared" si="42"/>
        <v>7075.693637375588</v>
      </c>
      <c r="Q183" s="1">
        <v>0.4</v>
      </c>
      <c r="R183" s="1">
        <v>1.5</v>
      </c>
      <c r="S183" s="1">
        <v>1</v>
      </c>
      <c r="T183" s="1">
        <v>0.8</v>
      </c>
      <c r="U183" s="1">
        <v>10</v>
      </c>
      <c r="V183" s="5">
        <f t="shared" si="43"/>
        <v>2.4999999999999987</v>
      </c>
      <c r="X183" s="1">
        <v>47</v>
      </c>
      <c r="Y183" s="6">
        <f t="shared" si="45"/>
        <v>2215.1638214077179</v>
      </c>
      <c r="Z183" s="6">
        <f t="shared" si="46"/>
        <v>66855.936303529976</v>
      </c>
      <c r="AA183" s="6">
        <f t="shared" si="47"/>
        <v>7075.693637375588</v>
      </c>
      <c r="AB183" s="1">
        <f t="shared" si="48"/>
        <v>0.4</v>
      </c>
      <c r="AC183" s="1">
        <f t="shared" si="37"/>
        <v>1.5</v>
      </c>
      <c r="AD183" s="1">
        <f t="shared" si="38"/>
        <v>1</v>
      </c>
      <c r="AE183" s="1">
        <f t="shared" si="49"/>
        <v>10</v>
      </c>
      <c r="AF183" s="36">
        <f t="shared" si="50"/>
        <v>2.4999999999999987</v>
      </c>
    </row>
    <row r="184" spans="4:32" ht="14.25" hidden="1" customHeight="1" outlineLevel="1" x14ac:dyDescent="0.2">
      <c r="D184" s="1">
        <v>48</v>
      </c>
      <c r="E184" s="6">
        <f t="shared" si="51"/>
        <v>116.2961006239052</v>
      </c>
      <c r="F184" s="6">
        <f t="shared" si="51"/>
        <v>7192.1523628015402</v>
      </c>
      <c r="G184" s="6">
        <f t="shared" si="51"/>
        <v>49.529855461629133</v>
      </c>
      <c r="H184" s="1">
        <v>0.4</v>
      </c>
      <c r="I184" s="1">
        <v>1.5</v>
      </c>
      <c r="J184" s="1">
        <v>1</v>
      </c>
      <c r="M184" s="1">
        <v>48</v>
      </c>
      <c r="N184" s="6">
        <f t="shared" si="44"/>
        <v>11629.61006239052</v>
      </c>
      <c r="O184" s="6">
        <f t="shared" si="41"/>
        <v>618964.51210996532</v>
      </c>
      <c r="P184" s="6">
        <f t="shared" si="42"/>
        <v>7429.4783192443701</v>
      </c>
      <c r="Q184" s="1">
        <v>0.4</v>
      </c>
      <c r="R184" s="1">
        <v>1.5</v>
      </c>
      <c r="S184" s="1">
        <v>1</v>
      </c>
      <c r="T184" s="1">
        <v>0.8</v>
      </c>
      <c r="U184" s="1">
        <v>10</v>
      </c>
      <c r="V184" s="5">
        <f t="shared" si="43"/>
        <v>2.4999999999999996</v>
      </c>
      <c r="X184" s="1">
        <v>48</v>
      </c>
      <c r="Y184" s="6">
        <f t="shared" si="45"/>
        <v>2325.9220124781041</v>
      </c>
      <c r="Z184" s="6">
        <f t="shared" si="46"/>
        <v>68773.834678885032</v>
      </c>
      <c r="AA184" s="6">
        <f t="shared" si="47"/>
        <v>7429.4783192443701</v>
      </c>
      <c r="AB184" s="1">
        <f t="shared" si="48"/>
        <v>0.4</v>
      </c>
      <c r="AC184" s="1">
        <f t="shared" si="37"/>
        <v>1.5</v>
      </c>
      <c r="AD184" s="1">
        <f t="shared" si="38"/>
        <v>1</v>
      </c>
      <c r="AE184" s="1">
        <f t="shared" si="49"/>
        <v>10</v>
      </c>
      <c r="AF184" s="36">
        <f t="shared" si="50"/>
        <v>2.4999999999999996</v>
      </c>
    </row>
    <row r="185" spans="4:32" ht="14.25" hidden="1" customHeight="1" outlineLevel="1" x14ac:dyDescent="0.2">
      <c r="D185" s="1">
        <v>49</v>
      </c>
      <c r="E185" s="6">
        <f t="shared" si="51"/>
        <v>122.11090565510045</v>
      </c>
      <c r="F185" s="6">
        <f t="shared" si="51"/>
        <v>7551.759980941617</v>
      </c>
      <c r="G185" s="6">
        <f t="shared" si="51"/>
        <v>52.006348234710586</v>
      </c>
      <c r="H185" s="1">
        <v>0.4</v>
      </c>
      <c r="I185" s="1">
        <v>1.5</v>
      </c>
      <c r="J185" s="1">
        <v>1</v>
      </c>
      <c r="M185" s="1">
        <v>49</v>
      </c>
      <c r="N185" s="6">
        <f t="shared" si="44"/>
        <v>12211.090565510047</v>
      </c>
      <c r="O185" s="6">
        <f t="shared" si="41"/>
        <v>636350.22563617164</v>
      </c>
      <c r="P185" s="6">
        <f t="shared" si="42"/>
        <v>7800.9522352065878</v>
      </c>
      <c r="Q185" s="1">
        <v>0.4</v>
      </c>
      <c r="R185" s="1">
        <v>1.5</v>
      </c>
      <c r="S185" s="1">
        <v>1</v>
      </c>
      <c r="T185" s="1">
        <v>0.8</v>
      </c>
      <c r="U185" s="1">
        <v>10</v>
      </c>
      <c r="V185" s="5">
        <f t="shared" si="43"/>
        <v>2.4999999999999991</v>
      </c>
      <c r="X185" s="1">
        <v>49</v>
      </c>
      <c r="Y185" s="6">
        <f t="shared" si="45"/>
        <v>2442.2181131020093</v>
      </c>
      <c r="Z185" s="6">
        <f t="shared" si="46"/>
        <v>70705.580626241295</v>
      </c>
      <c r="AA185" s="6">
        <f t="shared" si="47"/>
        <v>7800.9522352065878</v>
      </c>
      <c r="AB185" s="1">
        <f t="shared" si="48"/>
        <v>0.4</v>
      </c>
      <c r="AC185" s="1">
        <f t="shared" si="37"/>
        <v>1.5</v>
      </c>
      <c r="AD185" s="1">
        <f t="shared" si="38"/>
        <v>1</v>
      </c>
      <c r="AE185" s="1">
        <f t="shared" si="49"/>
        <v>10</v>
      </c>
      <c r="AF185" s="36">
        <f t="shared" si="50"/>
        <v>2.4999999999999991</v>
      </c>
    </row>
    <row r="186" spans="4:32" ht="14.25" hidden="1" customHeight="1" outlineLevel="1" x14ac:dyDescent="0.2">
      <c r="D186" s="1">
        <v>50</v>
      </c>
      <c r="E186" s="6">
        <f t="shared" si="51"/>
        <v>128.21645093785548</v>
      </c>
      <c r="F186" s="6">
        <f t="shared" si="51"/>
        <v>7929.3479799886991</v>
      </c>
      <c r="G186" s="6">
        <f t="shared" si="51"/>
        <v>54.606665646446118</v>
      </c>
      <c r="H186" s="1">
        <v>0.4</v>
      </c>
      <c r="I186" s="1">
        <v>1.5</v>
      </c>
      <c r="J186" s="1">
        <v>1</v>
      </c>
      <c r="M186" s="1">
        <v>50</v>
      </c>
      <c r="N186" s="6">
        <f t="shared" si="44"/>
        <v>12821.64509378555</v>
      </c>
      <c r="O186" s="6">
        <f t="shared" si="41"/>
        <v>653841.0241351414</v>
      </c>
      <c r="P186" s="6">
        <f t="shared" si="42"/>
        <v>8190.9998469669172</v>
      </c>
      <c r="Q186" s="1">
        <v>0.4</v>
      </c>
      <c r="R186" s="1">
        <v>1.5</v>
      </c>
      <c r="S186" s="1">
        <v>1</v>
      </c>
      <c r="T186" s="1">
        <v>0.8</v>
      </c>
      <c r="U186" s="1">
        <v>10</v>
      </c>
      <c r="V186" s="5">
        <f t="shared" si="43"/>
        <v>2.4999999999999987</v>
      </c>
      <c r="X186" s="1">
        <v>50</v>
      </c>
      <c r="Y186" s="6">
        <f t="shared" si="45"/>
        <v>2564.3290187571101</v>
      </c>
      <c r="Z186" s="6">
        <f t="shared" si="46"/>
        <v>72649.002681682381</v>
      </c>
      <c r="AA186" s="6">
        <f t="shared" si="47"/>
        <v>8190.9998469669172</v>
      </c>
      <c r="AB186" s="1">
        <f t="shared" si="48"/>
        <v>0.4</v>
      </c>
      <c r="AC186" s="1">
        <f t="shared" si="37"/>
        <v>1.5</v>
      </c>
      <c r="AD186" s="1">
        <f t="shared" si="38"/>
        <v>1</v>
      </c>
      <c r="AE186" s="1">
        <f t="shared" si="49"/>
        <v>10</v>
      </c>
      <c r="AF186" s="36">
        <f t="shared" si="50"/>
        <v>2.4999999999999987</v>
      </c>
    </row>
    <row r="187" spans="4:32" ht="14.25" hidden="1" customHeight="1" outlineLevel="1" x14ac:dyDescent="0.2">
      <c r="D187" s="1">
        <v>51</v>
      </c>
      <c r="E187" s="6">
        <f t="shared" si="51"/>
        <v>134.62727348474826</v>
      </c>
      <c r="F187" s="6">
        <f t="shared" si="51"/>
        <v>8325.8153789881344</v>
      </c>
      <c r="G187" s="6">
        <f t="shared" si="51"/>
        <v>57.336998928768423</v>
      </c>
      <c r="H187" s="1">
        <v>0.4</v>
      </c>
      <c r="I187" s="1">
        <v>1.5</v>
      </c>
      <c r="J187" s="1">
        <v>1</v>
      </c>
      <c r="M187" s="1">
        <v>51</v>
      </c>
      <c r="N187" s="6">
        <f t="shared" si="44"/>
        <v>13462.727348474828</v>
      </c>
      <c r="O187" s="6">
        <f t="shared" si="41"/>
        <v>671416.87618745922</v>
      </c>
      <c r="P187" s="6">
        <f t="shared" si="42"/>
        <v>8600.5498393152629</v>
      </c>
      <c r="Q187" s="1">
        <v>0.4</v>
      </c>
      <c r="R187" s="1">
        <v>1.5</v>
      </c>
      <c r="S187" s="1">
        <v>1</v>
      </c>
      <c r="T187" s="1">
        <v>0.8</v>
      </c>
      <c r="U187" s="1">
        <v>10</v>
      </c>
      <c r="V187" s="5">
        <f t="shared" si="43"/>
        <v>2.5</v>
      </c>
      <c r="X187" s="1">
        <v>51</v>
      </c>
      <c r="Y187" s="6">
        <f t="shared" si="45"/>
        <v>2692.5454696949655</v>
      </c>
      <c r="Z187" s="6">
        <f t="shared" si="46"/>
        <v>74601.875131939916</v>
      </c>
      <c r="AA187" s="6">
        <f t="shared" si="47"/>
        <v>8600.5498393152629</v>
      </c>
      <c r="AB187" s="1">
        <f t="shared" si="48"/>
        <v>0.4</v>
      </c>
      <c r="AC187" s="1">
        <f t="shared" si="37"/>
        <v>1.5</v>
      </c>
      <c r="AD187" s="1">
        <f t="shared" si="38"/>
        <v>1</v>
      </c>
      <c r="AE187" s="1">
        <f t="shared" si="49"/>
        <v>10</v>
      </c>
      <c r="AF187" s="36">
        <f t="shared" si="50"/>
        <v>2.5</v>
      </c>
    </row>
    <row r="188" spans="4:32" ht="14.25" hidden="1" customHeight="1" outlineLevel="1" x14ac:dyDescent="0.2">
      <c r="D188" s="1">
        <v>52</v>
      </c>
      <c r="E188" s="6">
        <f t="shared" si="51"/>
        <v>141.35863715898569</v>
      </c>
      <c r="F188" s="6">
        <f t="shared" si="51"/>
        <v>8742.1061479375403</v>
      </c>
      <c r="G188" s="6">
        <f t="shared" si="51"/>
        <v>60.203848875206845</v>
      </c>
      <c r="H188" s="1">
        <v>0.4</v>
      </c>
      <c r="I188" s="1">
        <v>1.5</v>
      </c>
      <c r="J188" s="1">
        <v>1</v>
      </c>
      <c r="M188" s="1">
        <v>52</v>
      </c>
      <c r="N188" s="6">
        <f t="shared" si="44"/>
        <v>14135.863715898571</v>
      </c>
      <c r="O188" s="6">
        <f t="shared" si="41"/>
        <v>689057.35194653762</v>
      </c>
      <c r="P188" s="6">
        <f t="shared" si="42"/>
        <v>9030.577331281027</v>
      </c>
      <c r="Q188" s="1">
        <v>0.4</v>
      </c>
      <c r="R188" s="1">
        <v>1.5</v>
      </c>
      <c r="S188" s="1">
        <v>1</v>
      </c>
      <c r="T188" s="1">
        <v>0.8</v>
      </c>
      <c r="U188" s="1">
        <v>10</v>
      </c>
      <c r="V188" s="5">
        <f t="shared" si="43"/>
        <v>2.4999999999999987</v>
      </c>
      <c r="X188" s="1">
        <v>52</v>
      </c>
      <c r="Y188" s="6">
        <f t="shared" si="45"/>
        <v>2827.1727431797144</v>
      </c>
      <c r="Z188" s="6">
        <f t="shared" si="46"/>
        <v>76561.927994059733</v>
      </c>
      <c r="AA188" s="6">
        <f t="shared" si="47"/>
        <v>9030.577331281027</v>
      </c>
      <c r="AB188" s="1">
        <f t="shared" si="48"/>
        <v>0.4</v>
      </c>
      <c r="AC188" s="1">
        <f t="shared" si="37"/>
        <v>1.5</v>
      </c>
      <c r="AD188" s="1">
        <f t="shared" si="38"/>
        <v>1</v>
      </c>
      <c r="AE188" s="1">
        <f t="shared" si="49"/>
        <v>10</v>
      </c>
      <c r="AF188" s="36">
        <f t="shared" si="50"/>
        <v>2.4999999999999987</v>
      </c>
    </row>
    <row r="189" spans="4:32" ht="14.25" hidden="1" customHeight="1" outlineLevel="1" x14ac:dyDescent="0.2">
      <c r="D189" s="1">
        <v>53</v>
      </c>
      <c r="E189" s="6">
        <f t="shared" si="51"/>
        <v>148.42656901693496</v>
      </c>
      <c r="F189" s="6">
        <f t="shared" si="51"/>
        <v>9179.2114553344181</v>
      </c>
      <c r="G189" s="6">
        <f t="shared" si="51"/>
        <v>63.21404131896719</v>
      </c>
      <c r="H189" s="1">
        <v>0.4</v>
      </c>
      <c r="I189" s="1">
        <v>1.5</v>
      </c>
      <c r="J189" s="1">
        <v>1</v>
      </c>
      <c r="M189" s="1">
        <v>53</v>
      </c>
      <c r="N189" s="6">
        <f t="shared" si="44"/>
        <v>14842.656901693497</v>
      </c>
      <c r="O189" s="6">
        <f t="shared" si="41"/>
        <v>706741.71689530171</v>
      </c>
      <c r="P189" s="6">
        <f t="shared" si="42"/>
        <v>9482.106197845078</v>
      </c>
      <c r="Q189" s="1">
        <v>0.4</v>
      </c>
      <c r="R189" s="1">
        <v>1.5</v>
      </c>
      <c r="S189" s="1">
        <v>1</v>
      </c>
      <c r="T189" s="1">
        <v>0.8</v>
      </c>
      <c r="U189" s="1">
        <v>10</v>
      </c>
      <c r="V189" s="5">
        <f t="shared" si="43"/>
        <v>2.4999999999999991</v>
      </c>
      <c r="X189" s="1">
        <v>53</v>
      </c>
      <c r="Y189" s="6">
        <f t="shared" si="45"/>
        <v>2968.5313803386994</v>
      </c>
      <c r="Z189" s="6">
        <f t="shared" si="46"/>
        <v>78526.857432811303</v>
      </c>
      <c r="AA189" s="6">
        <f t="shared" si="47"/>
        <v>9482.106197845078</v>
      </c>
      <c r="AB189" s="1">
        <f t="shared" si="48"/>
        <v>0.4</v>
      </c>
      <c r="AC189" s="1">
        <f t="shared" si="37"/>
        <v>1.5</v>
      </c>
      <c r="AD189" s="1">
        <f t="shared" si="38"/>
        <v>1</v>
      </c>
      <c r="AE189" s="1">
        <f t="shared" si="49"/>
        <v>10</v>
      </c>
      <c r="AF189" s="36">
        <f t="shared" si="50"/>
        <v>2.4999999999999991</v>
      </c>
    </row>
    <row r="190" spans="4:32" ht="14.25" hidden="1" customHeight="1" outlineLevel="1" x14ac:dyDescent="0.2">
      <c r="D190" s="1">
        <v>54</v>
      </c>
      <c r="E190" s="6">
        <f t="shared" si="51"/>
        <v>155.84789746778168</v>
      </c>
      <c r="F190" s="6">
        <f t="shared" si="51"/>
        <v>9638.1720281011367</v>
      </c>
      <c r="G190" s="6">
        <f t="shared" si="51"/>
        <v>66.374743384915547</v>
      </c>
      <c r="H190" s="1">
        <v>0.4</v>
      </c>
      <c r="I190" s="1">
        <v>1.5</v>
      </c>
      <c r="J190" s="1">
        <v>1</v>
      </c>
      <c r="M190" s="1">
        <v>54</v>
      </c>
      <c r="N190" s="6">
        <f t="shared" si="44"/>
        <v>15584.78974677817</v>
      </c>
      <c r="O190" s="6">
        <f t="shared" si="41"/>
        <v>724449.02864185418</v>
      </c>
      <c r="P190" s="6">
        <f t="shared" si="42"/>
        <v>9956.2115077373328</v>
      </c>
      <c r="Q190" s="1">
        <v>0.4</v>
      </c>
      <c r="R190" s="1">
        <v>1.5</v>
      </c>
      <c r="S190" s="1">
        <v>1</v>
      </c>
      <c r="T190" s="1">
        <v>0.8</v>
      </c>
      <c r="U190" s="1">
        <v>10</v>
      </c>
      <c r="V190" s="5">
        <f t="shared" si="43"/>
        <v>2.4999999999999991</v>
      </c>
      <c r="X190" s="1">
        <v>54</v>
      </c>
      <c r="Y190" s="6">
        <f t="shared" si="45"/>
        <v>3116.9579493556339</v>
      </c>
      <c r="Z190" s="6">
        <f t="shared" si="46"/>
        <v>80494.336515761577</v>
      </c>
      <c r="AA190" s="6">
        <f t="shared" si="47"/>
        <v>9956.2115077373328</v>
      </c>
      <c r="AB190" s="1">
        <f t="shared" si="48"/>
        <v>0.4</v>
      </c>
      <c r="AC190" s="1">
        <f t="shared" si="37"/>
        <v>1.5</v>
      </c>
      <c r="AD190" s="1">
        <f t="shared" si="38"/>
        <v>1</v>
      </c>
      <c r="AE190" s="1">
        <f t="shared" si="49"/>
        <v>10</v>
      </c>
      <c r="AF190" s="36">
        <f t="shared" si="50"/>
        <v>2.4999999999999991</v>
      </c>
    </row>
    <row r="191" spans="4:32" ht="14.25" hidden="1" customHeight="1" outlineLevel="1" x14ac:dyDescent="0.2">
      <c r="D191" s="1">
        <v>55</v>
      </c>
      <c r="E191" s="6">
        <f t="shared" si="51"/>
        <v>163.64029234117078</v>
      </c>
      <c r="F191" s="6">
        <f t="shared" si="51"/>
        <v>10120.080629506194</v>
      </c>
      <c r="G191" s="6">
        <f t="shared" si="51"/>
        <v>69.693480554161312</v>
      </c>
      <c r="H191" s="1">
        <v>0.4</v>
      </c>
      <c r="I191" s="1">
        <v>1.5</v>
      </c>
      <c r="J191" s="1">
        <v>1</v>
      </c>
      <c r="M191" s="1">
        <v>55</v>
      </c>
      <c r="N191" s="6">
        <f t="shared" si="44"/>
        <v>16364.029234117079</v>
      </c>
      <c r="O191" s="6">
        <f t="shared" si="41"/>
        <v>742158.23580164241</v>
      </c>
      <c r="P191" s="6">
        <f t="shared" si="42"/>
        <v>10454.022083124197</v>
      </c>
      <c r="Q191" s="1">
        <v>0.4</v>
      </c>
      <c r="R191" s="1">
        <v>1.5</v>
      </c>
      <c r="S191" s="1">
        <v>1</v>
      </c>
      <c r="T191" s="1">
        <v>0.8</v>
      </c>
      <c r="U191" s="1">
        <v>10</v>
      </c>
      <c r="V191" s="5">
        <f t="shared" si="43"/>
        <v>2.4999999999999991</v>
      </c>
      <c r="X191" s="1">
        <v>55</v>
      </c>
      <c r="Y191" s="6">
        <f t="shared" si="45"/>
        <v>3272.8058468234158</v>
      </c>
      <c r="Z191" s="6">
        <f t="shared" si="46"/>
        <v>82462.026200182489</v>
      </c>
      <c r="AA191" s="6">
        <f t="shared" si="47"/>
        <v>10454.022083124197</v>
      </c>
      <c r="AB191" s="1">
        <f t="shared" si="48"/>
        <v>0.4</v>
      </c>
      <c r="AC191" s="1">
        <f t="shared" si="37"/>
        <v>1.5</v>
      </c>
      <c r="AD191" s="1">
        <f t="shared" si="38"/>
        <v>1</v>
      </c>
      <c r="AE191" s="1">
        <f t="shared" si="49"/>
        <v>10</v>
      </c>
      <c r="AF191" s="36">
        <f t="shared" si="50"/>
        <v>2.4999999999999991</v>
      </c>
    </row>
    <row r="192" spans="4:32" ht="14.25" hidden="1" customHeight="1" outlineLevel="1" x14ac:dyDescent="0.2">
      <c r="D192" s="1">
        <v>56</v>
      </c>
      <c r="E192" s="6">
        <f t="shared" si="51"/>
        <v>171.82230695822935</v>
      </c>
      <c r="F192" s="6">
        <f t="shared" si="51"/>
        <v>10626.084660981505</v>
      </c>
      <c r="G192" s="6">
        <f t="shared" si="51"/>
        <v>73.178154581869393</v>
      </c>
      <c r="H192" s="1">
        <v>0.4</v>
      </c>
      <c r="I192" s="1">
        <v>1.5</v>
      </c>
      <c r="J192" s="1">
        <v>1</v>
      </c>
      <c r="M192" s="1">
        <v>56</v>
      </c>
      <c r="N192" s="6">
        <f t="shared" si="44"/>
        <v>17182.230695822935</v>
      </c>
      <c r="O192" s="6">
        <f t="shared" si="41"/>
        <v>759848.27797781187</v>
      </c>
      <c r="P192" s="6">
        <f t="shared" si="42"/>
        <v>10976.72318728041</v>
      </c>
      <c r="Q192" s="1">
        <v>0.4</v>
      </c>
      <c r="R192" s="1">
        <v>1.5</v>
      </c>
      <c r="S192" s="1">
        <v>1</v>
      </c>
      <c r="T192" s="1">
        <v>0.8</v>
      </c>
      <c r="U192" s="1">
        <v>10</v>
      </c>
      <c r="V192" s="5">
        <f t="shared" si="43"/>
        <v>2.5</v>
      </c>
      <c r="X192" s="1">
        <v>56</v>
      </c>
      <c r="Y192" s="6">
        <f t="shared" si="45"/>
        <v>3436.4461391645868</v>
      </c>
      <c r="Z192" s="6">
        <f t="shared" si="46"/>
        <v>84427.586441979103</v>
      </c>
      <c r="AA192" s="6">
        <f t="shared" si="47"/>
        <v>10976.72318728041</v>
      </c>
      <c r="AB192" s="1">
        <f t="shared" si="48"/>
        <v>0.4</v>
      </c>
      <c r="AC192" s="1">
        <f t="shared" si="37"/>
        <v>1.5</v>
      </c>
      <c r="AD192" s="1">
        <f t="shared" si="38"/>
        <v>1</v>
      </c>
      <c r="AE192" s="1">
        <f t="shared" si="49"/>
        <v>10</v>
      </c>
      <c r="AF192" s="36">
        <f t="shared" si="50"/>
        <v>2.5</v>
      </c>
    </row>
    <row r="193" spans="4:32" ht="14.25" hidden="1" customHeight="1" outlineLevel="1" x14ac:dyDescent="0.2">
      <c r="D193" s="1">
        <v>57</v>
      </c>
      <c r="E193" s="6">
        <f t="shared" si="51"/>
        <v>180.41342230614077</v>
      </c>
      <c r="F193" s="6">
        <f t="shared" si="51"/>
        <v>11157.388894030579</v>
      </c>
      <c r="G193" s="6">
        <f t="shared" si="51"/>
        <v>76.83706231096285</v>
      </c>
      <c r="H193" s="1">
        <v>0.4</v>
      </c>
      <c r="I193" s="1">
        <v>1.5</v>
      </c>
      <c r="J193" s="1">
        <v>1</v>
      </c>
      <c r="M193" s="1">
        <v>57</v>
      </c>
      <c r="N193" s="6">
        <f t="shared" si="44"/>
        <v>18041.342230614078</v>
      </c>
      <c r="O193" s="6">
        <f t="shared" si="41"/>
        <v>777498.18583250057</v>
      </c>
      <c r="P193" s="6">
        <f t="shared" si="42"/>
        <v>11525.559346644428</v>
      </c>
      <c r="Q193" s="1">
        <v>0.4</v>
      </c>
      <c r="R193" s="1">
        <v>1.5</v>
      </c>
      <c r="S193" s="1">
        <v>1</v>
      </c>
      <c r="T193" s="1">
        <v>0.8</v>
      </c>
      <c r="U193" s="1">
        <v>10</v>
      </c>
      <c r="V193" s="5">
        <f t="shared" si="43"/>
        <v>2.4999999999999991</v>
      </c>
      <c r="X193" s="1">
        <v>57</v>
      </c>
      <c r="Y193" s="6">
        <f t="shared" si="45"/>
        <v>3608.2684461228155</v>
      </c>
      <c r="Z193" s="6">
        <f t="shared" si="46"/>
        <v>86388.68731472228</v>
      </c>
      <c r="AA193" s="6">
        <f t="shared" si="47"/>
        <v>11525.559346644428</v>
      </c>
      <c r="AB193" s="1">
        <f t="shared" si="48"/>
        <v>0.4</v>
      </c>
      <c r="AC193" s="1">
        <f t="shared" si="37"/>
        <v>1.5</v>
      </c>
      <c r="AD193" s="1">
        <f t="shared" si="38"/>
        <v>1</v>
      </c>
      <c r="AE193" s="1">
        <f t="shared" si="49"/>
        <v>10</v>
      </c>
      <c r="AF193" s="36">
        <f t="shared" si="50"/>
        <v>2.4999999999999991</v>
      </c>
    </row>
    <row r="194" spans="4:32" ht="14.25" hidden="1" customHeight="1" outlineLevel="1" x14ac:dyDescent="0.2">
      <c r="D194" s="1">
        <v>58</v>
      </c>
      <c r="E194" s="6">
        <f t="shared" si="51"/>
        <v>189.43409342144784</v>
      </c>
      <c r="F194" s="6">
        <f t="shared" si="51"/>
        <v>11715.25833873211</v>
      </c>
      <c r="G194" s="6">
        <f t="shared" si="51"/>
        <v>80.678915426510997</v>
      </c>
      <c r="H194" s="1">
        <v>0.4</v>
      </c>
      <c r="I194" s="1">
        <v>1.5</v>
      </c>
      <c r="J194" s="1">
        <v>1</v>
      </c>
      <c r="M194" s="1">
        <v>58</v>
      </c>
      <c r="N194" s="6">
        <f t="shared" si="44"/>
        <v>18943.409342144787</v>
      </c>
      <c r="O194" s="6">
        <f t="shared" si="41"/>
        <v>795087.18024023774</v>
      </c>
      <c r="P194" s="6">
        <f t="shared" si="42"/>
        <v>12101.83731397665</v>
      </c>
      <c r="Q194" s="1">
        <v>0.4</v>
      </c>
      <c r="R194" s="1">
        <v>1.5</v>
      </c>
      <c r="S194" s="1">
        <v>1</v>
      </c>
      <c r="T194" s="1">
        <v>0.8</v>
      </c>
      <c r="U194" s="1">
        <v>10</v>
      </c>
      <c r="V194" s="5">
        <f t="shared" si="43"/>
        <v>2.4999999999999987</v>
      </c>
      <c r="X194" s="1">
        <v>58</v>
      </c>
      <c r="Y194" s="6">
        <f t="shared" si="45"/>
        <v>3788.6818684289574</v>
      </c>
      <c r="Z194" s="6">
        <f t="shared" si="46"/>
        <v>88343.020026693077</v>
      </c>
      <c r="AA194" s="6">
        <f t="shared" si="47"/>
        <v>12101.83731397665</v>
      </c>
      <c r="AB194" s="1">
        <f t="shared" si="48"/>
        <v>0.4</v>
      </c>
      <c r="AC194" s="1">
        <f t="shared" si="37"/>
        <v>1.5</v>
      </c>
      <c r="AD194" s="1">
        <f t="shared" si="38"/>
        <v>1</v>
      </c>
      <c r="AE194" s="1">
        <f t="shared" si="49"/>
        <v>10</v>
      </c>
      <c r="AF194" s="36">
        <f t="shared" si="50"/>
        <v>2.4999999999999987</v>
      </c>
    </row>
    <row r="195" spans="4:32" ht="14.25" hidden="1" customHeight="1" outlineLevel="1" x14ac:dyDescent="0.2">
      <c r="D195" s="1">
        <v>59</v>
      </c>
      <c r="E195" s="6">
        <f t="shared" si="51"/>
        <v>198.90579809252026</v>
      </c>
      <c r="F195" s="6">
        <f t="shared" si="51"/>
        <v>12301.021255668717</v>
      </c>
      <c r="G195" s="6">
        <f t="shared" si="51"/>
        <v>84.71286119783656</v>
      </c>
      <c r="H195" s="1">
        <v>0.4</v>
      </c>
      <c r="I195" s="1">
        <v>1.5</v>
      </c>
      <c r="J195" s="1">
        <v>1</v>
      </c>
      <c r="M195" s="1">
        <v>59</v>
      </c>
      <c r="N195" s="6">
        <f t="shared" si="44"/>
        <v>19890.579809252027</v>
      </c>
      <c r="O195" s="6">
        <f t="shared" si="41"/>
        <v>812594.76953046862</v>
      </c>
      <c r="P195" s="6">
        <f t="shared" si="42"/>
        <v>12706.929179675484</v>
      </c>
      <c r="Q195" s="1">
        <v>0.4</v>
      </c>
      <c r="R195" s="1">
        <v>1.5</v>
      </c>
      <c r="S195" s="1">
        <v>1</v>
      </c>
      <c r="T195" s="1">
        <v>0.8</v>
      </c>
      <c r="U195" s="1">
        <v>10</v>
      </c>
      <c r="V195" s="5">
        <f t="shared" si="43"/>
        <v>2.4999999999999991</v>
      </c>
      <c r="X195" s="1">
        <v>59</v>
      </c>
      <c r="Y195" s="6">
        <f t="shared" si="45"/>
        <v>3978.1159618504053</v>
      </c>
      <c r="Z195" s="6">
        <f t="shared" si="46"/>
        <v>90288.307725607621</v>
      </c>
      <c r="AA195" s="6">
        <f t="shared" si="47"/>
        <v>12706.929179675484</v>
      </c>
      <c r="AB195" s="1">
        <f t="shared" si="48"/>
        <v>0.4</v>
      </c>
      <c r="AC195" s="1">
        <f t="shared" si="37"/>
        <v>1.5</v>
      </c>
      <c r="AD195" s="1">
        <f t="shared" si="38"/>
        <v>1</v>
      </c>
      <c r="AE195" s="1">
        <f t="shared" si="49"/>
        <v>10</v>
      </c>
      <c r="AF195" s="36">
        <f t="shared" si="50"/>
        <v>2.4999999999999991</v>
      </c>
    </row>
    <row r="196" spans="4:32" ht="14.25" hidden="1" customHeight="1" outlineLevel="1" x14ac:dyDescent="0.2">
      <c r="D196" s="1">
        <v>60</v>
      </c>
      <c r="E196" s="6">
        <f t="shared" si="51"/>
        <v>208.85108799714627</v>
      </c>
      <c r="F196" s="6">
        <f t="shared" si="51"/>
        <v>12916.072318452152</v>
      </c>
      <c r="G196" s="6">
        <f t="shared" si="51"/>
        <v>88.948504257728388</v>
      </c>
      <c r="H196" s="1">
        <v>0.4</v>
      </c>
      <c r="I196" s="1">
        <v>1.5</v>
      </c>
      <c r="J196" s="1">
        <v>1</v>
      </c>
      <c r="M196" s="1">
        <v>60</v>
      </c>
      <c r="N196" s="6">
        <f t="shared" si="44"/>
        <v>20885.108799714631</v>
      </c>
      <c r="O196" s="6">
        <f t="shared" si="41"/>
        <v>830000.84385907138</v>
      </c>
      <c r="P196" s="6">
        <f t="shared" si="42"/>
        <v>13342.275638659257</v>
      </c>
      <c r="Q196" s="1">
        <v>0.4</v>
      </c>
      <c r="R196" s="1">
        <v>1.5</v>
      </c>
      <c r="S196" s="1">
        <v>1</v>
      </c>
      <c r="T196" s="1">
        <v>0.8</v>
      </c>
      <c r="U196" s="1">
        <v>10</v>
      </c>
      <c r="V196" s="5">
        <f t="shared" si="43"/>
        <v>2.4999999999999987</v>
      </c>
      <c r="X196" s="1">
        <v>60</v>
      </c>
      <c r="Y196" s="6">
        <f t="shared" si="45"/>
        <v>4177.0217599429261</v>
      </c>
      <c r="Z196" s="6">
        <f t="shared" si="46"/>
        <v>92222.315984341258</v>
      </c>
      <c r="AA196" s="6">
        <f t="shared" si="47"/>
        <v>13342.275638659257</v>
      </c>
      <c r="AB196" s="1">
        <f t="shared" si="48"/>
        <v>0.4</v>
      </c>
      <c r="AC196" s="1">
        <f t="shared" si="37"/>
        <v>1.5</v>
      </c>
      <c r="AD196" s="1">
        <f t="shared" si="38"/>
        <v>1</v>
      </c>
      <c r="AE196" s="1">
        <f t="shared" si="49"/>
        <v>10</v>
      </c>
      <c r="AF196" s="36">
        <f t="shared" si="50"/>
        <v>2.4999999999999987</v>
      </c>
    </row>
    <row r="197" spans="4:32" ht="14.25" hidden="1" customHeight="1" outlineLevel="1" x14ac:dyDescent="0.2">
      <c r="D197" s="1">
        <v>61</v>
      </c>
      <c r="E197" s="6">
        <f t="shared" si="51"/>
        <v>219.29364239700354</v>
      </c>
      <c r="F197" s="6">
        <f t="shared" si="51"/>
        <v>13561.875934374757</v>
      </c>
      <c r="G197" s="6">
        <f t="shared" si="51"/>
        <v>93.395929470614789</v>
      </c>
      <c r="H197" s="1">
        <v>0.4</v>
      </c>
      <c r="I197" s="1">
        <v>1.5</v>
      </c>
      <c r="J197" s="1">
        <v>1</v>
      </c>
      <c r="M197" s="1">
        <v>61</v>
      </c>
      <c r="N197" s="6">
        <f t="shared" si="44"/>
        <v>21929.364239700357</v>
      </c>
      <c r="O197" s="6">
        <f t="shared" si="41"/>
        <v>847285.76579771924</v>
      </c>
      <c r="P197" s="6">
        <f t="shared" si="42"/>
        <v>14009.389420592219</v>
      </c>
      <c r="Q197" s="1">
        <v>0.4</v>
      </c>
      <c r="R197" s="1">
        <v>1.5</v>
      </c>
      <c r="S197" s="1">
        <v>1</v>
      </c>
      <c r="T197" s="1">
        <v>0.8</v>
      </c>
      <c r="U197" s="1">
        <v>10</v>
      </c>
      <c r="V197" s="5">
        <f t="shared" si="43"/>
        <v>2.4999999999999991</v>
      </c>
      <c r="X197" s="1">
        <v>61</v>
      </c>
      <c r="Y197" s="6">
        <f t="shared" si="45"/>
        <v>4385.8728479400716</v>
      </c>
      <c r="Z197" s="6">
        <f t="shared" si="46"/>
        <v>94142.862866413256</v>
      </c>
      <c r="AA197" s="6">
        <f t="shared" si="47"/>
        <v>14009.389420592219</v>
      </c>
      <c r="AB197" s="1">
        <f t="shared" si="48"/>
        <v>0.4</v>
      </c>
      <c r="AC197" s="1">
        <f t="shared" si="37"/>
        <v>1.5</v>
      </c>
      <c r="AD197" s="1">
        <f t="shared" si="38"/>
        <v>1</v>
      </c>
      <c r="AE197" s="1">
        <f t="shared" si="49"/>
        <v>10</v>
      </c>
      <c r="AF197" s="36">
        <f t="shared" si="50"/>
        <v>2.4999999999999991</v>
      </c>
    </row>
    <row r="198" spans="4:32" ht="14.25" hidden="1" customHeight="1" outlineLevel="1" x14ac:dyDescent="0.2">
      <c r="D198" s="1">
        <v>62</v>
      </c>
      <c r="E198" s="6">
        <f t="shared" si="51"/>
        <v>230.25832451685378</v>
      </c>
      <c r="F198" s="6">
        <f t="shared" si="51"/>
        <v>14239.969731093499</v>
      </c>
      <c r="G198" s="6">
        <f t="shared" si="51"/>
        <v>98.065725944145555</v>
      </c>
      <c r="H198" s="1">
        <v>0.4</v>
      </c>
      <c r="I198" s="1">
        <v>1.5</v>
      </c>
      <c r="J198" s="1">
        <v>1</v>
      </c>
      <c r="M198" s="1">
        <v>62</v>
      </c>
      <c r="N198" s="6">
        <f t="shared" si="44"/>
        <v>23025.832451685379</v>
      </c>
      <c r="O198" s="6">
        <f t="shared" si="41"/>
        <v>864430.45629380702</v>
      </c>
      <c r="P198" s="6">
        <f t="shared" si="42"/>
        <v>14709.858891621834</v>
      </c>
      <c r="Q198" s="1">
        <v>0.4</v>
      </c>
      <c r="R198" s="1">
        <v>1.5</v>
      </c>
      <c r="S198" s="1">
        <v>1</v>
      </c>
      <c r="T198" s="1">
        <v>0.8</v>
      </c>
      <c r="U198" s="1">
        <v>10</v>
      </c>
      <c r="V198" s="5">
        <f t="shared" si="43"/>
        <v>2.4999999999999991</v>
      </c>
      <c r="X198" s="1">
        <v>62</v>
      </c>
      <c r="Y198" s="6">
        <f t="shared" si="45"/>
        <v>4605.1664903370756</v>
      </c>
      <c r="Z198" s="6">
        <f t="shared" si="46"/>
        <v>96047.828477089672</v>
      </c>
      <c r="AA198" s="6">
        <f t="shared" si="47"/>
        <v>14709.858891621834</v>
      </c>
      <c r="AB198" s="1">
        <f t="shared" si="48"/>
        <v>0.4</v>
      </c>
      <c r="AC198" s="1">
        <f t="shared" si="37"/>
        <v>1.5</v>
      </c>
      <c r="AD198" s="1">
        <f t="shared" si="38"/>
        <v>1</v>
      </c>
      <c r="AE198" s="1">
        <f t="shared" si="49"/>
        <v>10</v>
      </c>
      <c r="AF198" s="36">
        <f t="shared" si="50"/>
        <v>2.4999999999999991</v>
      </c>
    </row>
    <row r="199" spans="4:32" ht="14.25" hidden="1" customHeight="1" outlineLevel="1" x14ac:dyDescent="0.2">
      <c r="D199" s="1">
        <v>63</v>
      </c>
      <c r="E199" s="6">
        <f t="shared" si="51"/>
        <v>241.77124074269636</v>
      </c>
      <c r="F199" s="6">
        <f t="shared" si="51"/>
        <v>14951.968217648167</v>
      </c>
      <c r="G199" s="6">
        <f t="shared" si="51"/>
        <v>102.9690122413528</v>
      </c>
      <c r="H199" s="1">
        <v>0.4</v>
      </c>
      <c r="I199" s="1">
        <v>1.5</v>
      </c>
      <c r="J199" s="1">
        <v>1</v>
      </c>
      <c r="M199" s="1">
        <v>63</v>
      </c>
      <c r="N199" s="6">
        <f t="shared" si="44"/>
        <v>24177.124074269639</v>
      </c>
      <c r="O199" s="6">
        <f t="shared" si="41"/>
        <v>881416.47523074923</v>
      </c>
      <c r="P199" s="6">
        <f t="shared" si="42"/>
        <v>15445.351836202921</v>
      </c>
      <c r="Q199" s="1">
        <v>0.4</v>
      </c>
      <c r="R199" s="1">
        <v>1.5</v>
      </c>
      <c r="S199" s="1">
        <v>1</v>
      </c>
      <c r="T199" s="1">
        <v>0.8</v>
      </c>
      <c r="U199" s="1">
        <v>10</v>
      </c>
      <c r="V199" s="5">
        <f t="shared" si="43"/>
        <v>2.4999999999999991</v>
      </c>
      <c r="X199" s="1">
        <v>63</v>
      </c>
      <c r="Y199" s="6">
        <f t="shared" si="45"/>
        <v>4835.4248148539282</v>
      </c>
      <c r="Z199" s="6">
        <f t="shared" si="46"/>
        <v>97935.163914527686</v>
      </c>
      <c r="AA199" s="6">
        <f t="shared" si="47"/>
        <v>15445.351836202921</v>
      </c>
      <c r="AB199" s="1">
        <f t="shared" si="48"/>
        <v>0.4</v>
      </c>
      <c r="AC199" s="1">
        <f t="shared" si="37"/>
        <v>1.5</v>
      </c>
      <c r="AD199" s="1">
        <f t="shared" si="38"/>
        <v>1</v>
      </c>
      <c r="AE199" s="1">
        <f t="shared" si="49"/>
        <v>10</v>
      </c>
      <c r="AF199" s="36">
        <f t="shared" si="50"/>
        <v>2.4999999999999991</v>
      </c>
    </row>
    <row r="200" spans="4:32" ht="14.25" hidden="1" customHeight="1" outlineLevel="1" x14ac:dyDescent="0.2">
      <c r="D200" s="1">
        <v>64</v>
      </c>
      <c r="E200" s="6">
        <f t="shared" si="51"/>
        <v>253.85980277983128</v>
      </c>
      <c r="F200" s="6">
        <f t="shared" si="51"/>
        <v>15699.566628530583</v>
      </c>
      <c r="G200" s="6">
        <f t="shared" si="51"/>
        <v>108.11746285342048</v>
      </c>
      <c r="H200" s="1">
        <v>0.4</v>
      </c>
      <c r="I200" s="1">
        <v>1.5</v>
      </c>
      <c r="J200" s="1">
        <v>1</v>
      </c>
      <c r="M200" s="1">
        <v>64</v>
      </c>
      <c r="N200" s="6">
        <f t="shared" si="44"/>
        <v>25385.98027798313</v>
      </c>
      <c r="O200" s="6">
        <f t="shared" si="41"/>
        <v>898226.09590685437</v>
      </c>
      <c r="P200" s="6">
        <f t="shared" si="42"/>
        <v>16217.619428013071</v>
      </c>
      <c r="Q200" s="1">
        <v>0.4</v>
      </c>
      <c r="R200" s="1">
        <v>1.5</v>
      </c>
      <c r="S200" s="1">
        <v>1</v>
      </c>
      <c r="T200" s="1">
        <v>0.8</v>
      </c>
      <c r="U200" s="1">
        <v>10</v>
      </c>
      <c r="V200" s="5">
        <f t="shared" si="43"/>
        <v>2.4999999999999991</v>
      </c>
      <c r="X200" s="1">
        <v>64</v>
      </c>
      <c r="Y200" s="6">
        <f t="shared" si="45"/>
        <v>5077.1960555966261</v>
      </c>
      <c r="Z200" s="6">
        <f t="shared" si="46"/>
        <v>99802.899545206048</v>
      </c>
      <c r="AA200" s="6">
        <f t="shared" si="47"/>
        <v>16217.619428013071</v>
      </c>
      <c r="AB200" s="1">
        <f t="shared" si="48"/>
        <v>0.4</v>
      </c>
      <c r="AC200" s="1">
        <f t="shared" si="37"/>
        <v>1.5</v>
      </c>
      <c r="AD200" s="1">
        <f t="shared" si="38"/>
        <v>1</v>
      </c>
      <c r="AE200" s="1">
        <f t="shared" si="49"/>
        <v>10</v>
      </c>
      <c r="AF200" s="36">
        <f t="shared" si="50"/>
        <v>2.4999999999999991</v>
      </c>
    </row>
    <row r="201" spans="4:32" ht="14.25" hidden="1" customHeight="1" outlineLevel="1" x14ac:dyDescent="0.2">
      <c r="D201" s="1">
        <v>65</v>
      </c>
      <c r="E201" s="6">
        <f t="shared" si="51"/>
        <v>266.55279291882283</v>
      </c>
      <c r="F201" s="6">
        <f t="shared" si="51"/>
        <v>16484.544959957111</v>
      </c>
      <c r="G201" s="6">
        <f t="shared" si="51"/>
        <v>113.5233359960915</v>
      </c>
      <c r="H201" s="1">
        <v>0.4</v>
      </c>
      <c r="I201" s="1">
        <v>1.5</v>
      </c>
      <c r="J201" s="1">
        <v>1</v>
      </c>
      <c r="M201" s="1">
        <v>65</v>
      </c>
      <c r="N201" s="6">
        <f t="shared" si="44"/>
        <v>26655.279291882285</v>
      </c>
      <c r="O201" s="6">
        <f t="shared" si="41"/>
        <v>914842.37284847721</v>
      </c>
      <c r="P201" s="6">
        <f t="shared" si="42"/>
        <v>17028.500399413726</v>
      </c>
      <c r="Q201" s="1">
        <v>0.4</v>
      </c>
      <c r="R201" s="1">
        <v>1.5</v>
      </c>
      <c r="S201" s="1">
        <v>1</v>
      </c>
      <c r="T201" s="1">
        <v>0.8</v>
      </c>
      <c r="U201" s="1">
        <v>10</v>
      </c>
      <c r="V201" s="5">
        <f t="shared" si="43"/>
        <v>2.4999999999999996</v>
      </c>
      <c r="X201" s="1">
        <v>65</v>
      </c>
      <c r="Y201" s="6">
        <f t="shared" si="45"/>
        <v>5331.0558583764569</v>
      </c>
      <c r="Z201" s="6">
        <f t="shared" si="46"/>
        <v>101649.15253871969</v>
      </c>
      <c r="AA201" s="6">
        <f t="shared" si="47"/>
        <v>17028.500399413726</v>
      </c>
      <c r="AB201" s="1">
        <f t="shared" si="48"/>
        <v>0.4</v>
      </c>
      <c r="AC201" s="1">
        <f t="shared" ref="AC201:AC236" si="52">R201</f>
        <v>1.5</v>
      </c>
      <c r="AD201" s="1">
        <f t="shared" ref="AD201:AD236" si="53">S201</f>
        <v>1</v>
      </c>
      <c r="AE201" s="1">
        <f t="shared" si="49"/>
        <v>10</v>
      </c>
      <c r="AF201" s="36">
        <f t="shared" si="50"/>
        <v>2.4999999999999996</v>
      </c>
    </row>
    <row r="202" spans="4:32" ht="14.25" hidden="1" customHeight="1" outlineLevel="1" x14ac:dyDescent="0.2">
      <c r="D202" s="1">
        <v>66</v>
      </c>
      <c r="E202" s="6">
        <f t="shared" ref="E202:G236" si="54">E$134*E$135^($D202-1)</f>
        <v>279.88043256476402</v>
      </c>
      <c r="F202" s="6">
        <f t="shared" si="54"/>
        <v>17308.772207954968</v>
      </c>
      <c r="G202" s="6">
        <f t="shared" si="54"/>
        <v>119.19950279589608</v>
      </c>
      <c r="H202" s="1">
        <v>0.4</v>
      </c>
      <c r="I202" s="1">
        <v>1.5</v>
      </c>
      <c r="J202" s="1">
        <v>1</v>
      </c>
      <c r="M202" s="1">
        <v>66</v>
      </c>
      <c r="N202" s="6">
        <f t="shared" si="44"/>
        <v>27988.043256476401</v>
      </c>
      <c r="O202" s="6">
        <f t="shared" ref="O202:O236" si="55">F202*$K$21/(1+P202/$P$22)</f>
        <v>931249.20247744746</v>
      </c>
      <c r="P202" s="6">
        <f t="shared" ref="P202:P236" si="56">G202*$K$21</f>
        <v>17879.925419384414</v>
      </c>
      <c r="Q202" s="1">
        <v>0.4</v>
      </c>
      <c r="R202" s="1">
        <v>1.5</v>
      </c>
      <c r="S202" s="1">
        <v>1</v>
      </c>
      <c r="T202" s="1">
        <v>0.8</v>
      </c>
      <c r="U202" s="1">
        <v>10</v>
      </c>
      <c r="V202" s="5">
        <f t="shared" ref="V202:V236" si="57">E202*$K$21*(1-T202)/(1/U202)/(1+Q202*(R202-1))/N202</f>
        <v>2.4999999999999991</v>
      </c>
      <c r="X202" s="1">
        <v>66</v>
      </c>
      <c r="Y202" s="6">
        <f t="shared" si="45"/>
        <v>5597.6086512952807</v>
      </c>
      <c r="Z202" s="6">
        <f t="shared" si="46"/>
        <v>103472.13360860528</v>
      </c>
      <c r="AA202" s="6">
        <f t="shared" si="47"/>
        <v>17879.925419384414</v>
      </c>
      <c r="AB202" s="1">
        <f t="shared" si="48"/>
        <v>0.4</v>
      </c>
      <c r="AC202" s="1">
        <f t="shared" si="52"/>
        <v>1.5</v>
      </c>
      <c r="AD202" s="1">
        <f t="shared" si="53"/>
        <v>1</v>
      </c>
      <c r="AE202" s="1">
        <f t="shared" si="49"/>
        <v>10</v>
      </c>
      <c r="AF202" s="36">
        <f t="shared" si="50"/>
        <v>2.4999999999999991</v>
      </c>
    </row>
    <row r="203" spans="4:32" ht="14.25" hidden="1" customHeight="1" outlineLevel="1" x14ac:dyDescent="0.2">
      <c r="D203" s="1">
        <v>67</v>
      </c>
      <c r="E203" s="6">
        <f t="shared" si="54"/>
        <v>293.87445419300218</v>
      </c>
      <c r="F203" s="6">
        <f t="shared" si="54"/>
        <v>18174.210818352716</v>
      </c>
      <c r="G203" s="6">
        <f t="shared" si="54"/>
        <v>125.15947793569089</v>
      </c>
      <c r="H203" s="1">
        <v>0.4</v>
      </c>
      <c r="I203" s="1">
        <v>1.5</v>
      </c>
      <c r="J203" s="1">
        <v>1</v>
      </c>
      <c r="M203" s="1">
        <v>67</v>
      </c>
      <c r="N203" s="6">
        <f t="shared" ref="N203:N236" si="58">E203*T203*$K$21/S203/(1+Q203*(R203-1))</f>
        <v>29387.44541930022</v>
      </c>
      <c r="O203" s="6">
        <f t="shared" si="55"/>
        <v>947431.37626138551</v>
      </c>
      <c r="P203" s="6">
        <f t="shared" si="56"/>
        <v>18773.921690353633</v>
      </c>
      <c r="Q203" s="1">
        <v>0.4</v>
      </c>
      <c r="R203" s="1">
        <v>1.5</v>
      </c>
      <c r="S203" s="1">
        <v>1</v>
      </c>
      <c r="T203" s="1">
        <v>0.8</v>
      </c>
      <c r="U203" s="1">
        <v>10</v>
      </c>
      <c r="V203" s="5">
        <f t="shared" si="57"/>
        <v>2.4999999999999991</v>
      </c>
      <c r="X203" s="1">
        <v>67</v>
      </c>
      <c r="Y203" s="6">
        <f t="shared" ref="Y203:Y236" si="59">2*N203/(1+$X$22)</f>
        <v>5877.489083860044</v>
      </c>
      <c r="Z203" s="6">
        <f t="shared" ref="Z203:Z236" si="60">O203/$X$22</f>
        <v>105270.15291793173</v>
      </c>
      <c r="AA203" s="6">
        <f t="shared" ref="AA203:AA236" si="61">P203</f>
        <v>18773.921690353633</v>
      </c>
      <c r="AB203" s="1">
        <f t="shared" ref="AB203:AB236" si="62">Q203</f>
        <v>0.4</v>
      </c>
      <c r="AC203" s="1">
        <f t="shared" si="52"/>
        <v>1.5</v>
      </c>
      <c r="AD203" s="1">
        <f t="shared" si="53"/>
        <v>1</v>
      </c>
      <c r="AE203" s="1">
        <f t="shared" ref="AE203:AE236" si="63">U203</f>
        <v>10</v>
      </c>
      <c r="AF203" s="36">
        <f t="shared" ref="AF203:AF236" si="64">V203</f>
        <v>2.4999999999999991</v>
      </c>
    </row>
    <row r="204" spans="4:32" ht="14.25" hidden="1" customHeight="1" outlineLevel="1" x14ac:dyDescent="0.2">
      <c r="D204" s="1">
        <v>68</v>
      </c>
      <c r="E204" s="6">
        <f t="shared" si="54"/>
        <v>308.56817690265234</v>
      </c>
      <c r="F204" s="6">
        <f t="shared" si="54"/>
        <v>19082.921359270353</v>
      </c>
      <c r="G204" s="6">
        <f t="shared" si="54"/>
        <v>131.41745183247542</v>
      </c>
      <c r="H204" s="1">
        <v>0.4</v>
      </c>
      <c r="I204" s="1">
        <v>1.5</v>
      </c>
      <c r="J204" s="1">
        <v>1</v>
      </c>
      <c r="M204" s="1">
        <v>68</v>
      </c>
      <c r="N204" s="6">
        <f t="shared" si="58"/>
        <v>30856.817690265234</v>
      </c>
      <c r="O204" s="6">
        <f t="shared" si="55"/>
        <v>963374.62608608883</v>
      </c>
      <c r="P204" s="6">
        <f t="shared" si="56"/>
        <v>19712.617774871313</v>
      </c>
      <c r="Q204" s="1">
        <v>0.4</v>
      </c>
      <c r="R204" s="1">
        <v>1.5</v>
      </c>
      <c r="S204" s="1">
        <v>1</v>
      </c>
      <c r="T204" s="1">
        <v>0.8</v>
      </c>
      <c r="U204" s="1">
        <v>10</v>
      </c>
      <c r="V204" s="5">
        <f t="shared" si="57"/>
        <v>2.4999999999999991</v>
      </c>
      <c r="X204" s="1">
        <v>68</v>
      </c>
      <c r="Y204" s="6">
        <f t="shared" si="59"/>
        <v>6171.3635380530468</v>
      </c>
      <c r="Z204" s="6">
        <f t="shared" si="60"/>
        <v>107041.62512067653</v>
      </c>
      <c r="AA204" s="6">
        <f t="shared" si="61"/>
        <v>19712.617774871313</v>
      </c>
      <c r="AB204" s="1">
        <f t="shared" si="62"/>
        <v>0.4</v>
      </c>
      <c r="AC204" s="1">
        <f t="shared" si="52"/>
        <v>1.5</v>
      </c>
      <c r="AD204" s="1">
        <f t="shared" si="53"/>
        <v>1</v>
      </c>
      <c r="AE204" s="1">
        <f t="shared" si="63"/>
        <v>10</v>
      </c>
      <c r="AF204" s="36">
        <f t="shared" si="64"/>
        <v>2.4999999999999991</v>
      </c>
    </row>
    <row r="205" spans="4:32" ht="14.25" hidden="1" customHeight="1" outlineLevel="1" x14ac:dyDescent="0.2">
      <c r="D205" s="1">
        <v>69</v>
      </c>
      <c r="E205" s="6">
        <f t="shared" si="54"/>
        <v>323.99658574778493</v>
      </c>
      <c r="F205" s="6">
        <f t="shared" si="54"/>
        <v>20037.067427233869</v>
      </c>
      <c r="G205" s="6">
        <f t="shared" si="54"/>
        <v>137.9883244240992</v>
      </c>
      <c r="H205" s="1">
        <v>0.4</v>
      </c>
      <c r="I205" s="1">
        <v>1.5</v>
      </c>
      <c r="J205" s="1">
        <v>1</v>
      </c>
      <c r="M205" s="1">
        <v>69</v>
      </c>
      <c r="N205" s="6">
        <f t="shared" si="58"/>
        <v>32399.658574778492</v>
      </c>
      <c r="O205" s="6">
        <f t="shared" si="55"/>
        <v>979065.66169926897</v>
      </c>
      <c r="P205" s="6">
        <f t="shared" si="56"/>
        <v>20698.248663614882</v>
      </c>
      <c r="Q205" s="1">
        <v>0.4</v>
      </c>
      <c r="R205" s="1">
        <v>1.5</v>
      </c>
      <c r="S205" s="1">
        <v>1</v>
      </c>
      <c r="T205" s="1">
        <v>0.8</v>
      </c>
      <c r="U205" s="1">
        <v>10</v>
      </c>
      <c r="V205" s="5">
        <f t="shared" si="57"/>
        <v>2.5</v>
      </c>
      <c r="X205" s="1">
        <v>69</v>
      </c>
      <c r="Y205" s="6">
        <f t="shared" si="59"/>
        <v>6479.9317149556982</v>
      </c>
      <c r="Z205" s="6">
        <f t="shared" si="60"/>
        <v>108785.073522141</v>
      </c>
      <c r="AA205" s="6">
        <f t="shared" si="61"/>
        <v>20698.248663614882</v>
      </c>
      <c r="AB205" s="1">
        <f t="shared" si="62"/>
        <v>0.4</v>
      </c>
      <c r="AC205" s="1">
        <f t="shared" si="52"/>
        <v>1.5</v>
      </c>
      <c r="AD205" s="1">
        <f t="shared" si="53"/>
        <v>1</v>
      </c>
      <c r="AE205" s="1">
        <f t="shared" si="63"/>
        <v>10</v>
      </c>
      <c r="AF205" s="36">
        <f t="shared" si="64"/>
        <v>2.5</v>
      </c>
    </row>
    <row r="206" spans="4:32" ht="14.25" hidden="1" customHeight="1" outlineLevel="1" x14ac:dyDescent="0.2">
      <c r="D206" s="1">
        <v>70</v>
      </c>
      <c r="E206" s="6">
        <f t="shared" si="54"/>
        <v>340.1964150351742</v>
      </c>
      <c r="F206" s="6">
        <f t="shared" si="54"/>
        <v>21038.920798595562</v>
      </c>
      <c r="G206" s="6">
        <f t="shared" si="54"/>
        <v>144.88774064530415</v>
      </c>
      <c r="H206" s="1">
        <v>0.4</v>
      </c>
      <c r="I206" s="1">
        <v>1.5</v>
      </c>
      <c r="J206" s="1">
        <v>1</v>
      </c>
      <c r="M206" s="1">
        <v>70</v>
      </c>
      <c r="N206" s="6">
        <f t="shared" si="58"/>
        <v>34019.641503517421</v>
      </c>
      <c r="O206" s="6">
        <f t="shared" si="55"/>
        <v>994492.2001823535</v>
      </c>
      <c r="P206" s="6">
        <f t="shared" si="56"/>
        <v>21733.161096795622</v>
      </c>
      <c r="Q206" s="1">
        <v>0.4</v>
      </c>
      <c r="R206" s="1">
        <v>1.5</v>
      </c>
      <c r="S206" s="1">
        <v>1</v>
      </c>
      <c r="T206" s="1">
        <v>0.8</v>
      </c>
      <c r="U206" s="1">
        <v>10</v>
      </c>
      <c r="V206" s="5">
        <f t="shared" si="57"/>
        <v>2.4999999999999996</v>
      </c>
      <c r="X206" s="1">
        <v>70</v>
      </c>
      <c r="Y206" s="6">
        <f t="shared" si="59"/>
        <v>6803.9283007034846</v>
      </c>
      <c r="Z206" s="6">
        <f t="shared" si="60"/>
        <v>110499.13335359484</v>
      </c>
      <c r="AA206" s="6">
        <f t="shared" si="61"/>
        <v>21733.161096795622</v>
      </c>
      <c r="AB206" s="1">
        <f t="shared" si="62"/>
        <v>0.4</v>
      </c>
      <c r="AC206" s="1">
        <f t="shared" si="52"/>
        <v>1.5</v>
      </c>
      <c r="AD206" s="1">
        <f t="shared" si="53"/>
        <v>1</v>
      </c>
      <c r="AE206" s="1">
        <f t="shared" si="63"/>
        <v>10</v>
      </c>
      <c r="AF206" s="36">
        <f t="shared" si="64"/>
        <v>2.4999999999999996</v>
      </c>
    </row>
    <row r="207" spans="4:32" ht="14.25" hidden="1" customHeight="1" outlineLevel="1" x14ac:dyDescent="0.2">
      <c r="D207" s="1">
        <v>71</v>
      </c>
      <c r="E207" s="6">
        <f t="shared" si="54"/>
        <v>357.20623578693284</v>
      </c>
      <c r="F207" s="6">
        <f t="shared" si="54"/>
        <v>22090.86683852534</v>
      </c>
      <c r="G207" s="6">
        <f t="shared" si="54"/>
        <v>152.13212767756937</v>
      </c>
      <c r="H207" s="1">
        <v>0.4</v>
      </c>
      <c r="I207" s="1">
        <v>1.5</v>
      </c>
      <c r="J207" s="1">
        <v>1</v>
      </c>
      <c r="M207" s="1">
        <v>71</v>
      </c>
      <c r="N207" s="6">
        <f t="shared" si="58"/>
        <v>35720.623578693288</v>
      </c>
      <c r="O207" s="6">
        <f t="shared" si="55"/>
        <v>1009642.9875097845</v>
      </c>
      <c r="P207" s="6">
        <f t="shared" si="56"/>
        <v>22819.819151635405</v>
      </c>
      <c r="Q207" s="1">
        <v>0.4</v>
      </c>
      <c r="R207" s="1">
        <v>1.5</v>
      </c>
      <c r="S207" s="1">
        <v>1</v>
      </c>
      <c r="T207" s="1">
        <v>0.8</v>
      </c>
      <c r="U207" s="1">
        <v>10</v>
      </c>
      <c r="V207" s="5">
        <f t="shared" si="57"/>
        <v>2.4999999999999991</v>
      </c>
      <c r="X207" s="1">
        <v>71</v>
      </c>
      <c r="Y207" s="6">
        <f t="shared" si="59"/>
        <v>7144.1247157386579</v>
      </c>
      <c r="Z207" s="6">
        <f t="shared" si="60"/>
        <v>112182.55416775384</v>
      </c>
      <c r="AA207" s="6">
        <f t="shared" si="61"/>
        <v>22819.819151635405</v>
      </c>
      <c r="AB207" s="1">
        <f t="shared" si="62"/>
        <v>0.4</v>
      </c>
      <c r="AC207" s="1">
        <f t="shared" si="52"/>
        <v>1.5</v>
      </c>
      <c r="AD207" s="1">
        <f t="shared" si="53"/>
        <v>1</v>
      </c>
      <c r="AE207" s="1">
        <f t="shared" si="63"/>
        <v>10</v>
      </c>
      <c r="AF207" s="36">
        <f t="shared" si="64"/>
        <v>2.4999999999999991</v>
      </c>
    </row>
    <row r="208" spans="4:32" ht="14.25" hidden="1" customHeight="1" outlineLevel="1" x14ac:dyDescent="0.2">
      <c r="D208" s="1">
        <v>72</v>
      </c>
      <c r="E208" s="6">
        <f t="shared" si="54"/>
        <v>375.06654757627956</v>
      </c>
      <c r="F208" s="6">
        <f t="shared" si="54"/>
        <v>23195.41018045161</v>
      </c>
      <c r="G208" s="6">
        <f t="shared" si="54"/>
        <v>159.73873406144784</v>
      </c>
      <c r="H208" s="1">
        <v>0.4</v>
      </c>
      <c r="I208" s="1">
        <v>1.5</v>
      </c>
      <c r="J208" s="1">
        <v>1</v>
      </c>
      <c r="M208" s="1">
        <v>72</v>
      </c>
      <c r="N208" s="6">
        <f t="shared" si="58"/>
        <v>37506.654757627955</v>
      </c>
      <c r="O208" s="6">
        <f t="shared" si="55"/>
        <v>1024507.8123514593</v>
      </c>
      <c r="P208" s="6">
        <f t="shared" si="56"/>
        <v>23960.810109217178</v>
      </c>
      <c r="Q208" s="1">
        <v>0.4</v>
      </c>
      <c r="R208" s="1">
        <v>1.5</v>
      </c>
      <c r="S208" s="1">
        <v>1</v>
      </c>
      <c r="T208" s="1">
        <v>0.8</v>
      </c>
      <c r="U208" s="1">
        <v>10</v>
      </c>
      <c r="V208" s="5">
        <f t="shared" si="57"/>
        <v>2.4999999999999996</v>
      </c>
      <c r="X208" s="1">
        <v>72</v>
      </c>
      <c r="Y208" s="6">
        <f t="shared" si="59"/>
        <v>7501.3309515255914</v>
      </c>
      <c r="Z208" s="6">
        <f t="shared" si="60"/>
        <v>113834.20137238437</v>
      </c>
      <c r="AA208" s="6">
        <f t="shared" si="61"/>
        <v>23960.810109217178</v>
      </c>
      <c r="AB208" s="1">
        <f t="shared" si="62"/>
        <v>0.4</v>
      </c>
      <c r="AC208" s="1">
        <f t="shared" si="52"/>
        <v>1.5</v>
      </c>
      <c r="AD208" s="1">
        <f t="shared" si="53"/>
        <v>1</v>
      </c>
      <c r="AE208" s="1">
        <f t="shared" si="63"/>
        <v>10</v>
      </c>
      <c r="AF208" s="36">
        <f t="shared" si="64"/>
        <v>2.4999999999999996</v>
      </c>
    </row>
    <row r="209" spans="4:32" ht="14.25" hidden="1" customHeight="1" outlineLevel="1" x14ac:dyDescent="0.2">
      <c r="D209" s="1">
        <v>73</v>
      </c>
      <c r="E209" s="6">
        <f t="shared" si="54"/>
        <v>393.81987495509355</v>
      </c>
      <c r="F209" s="6">
        <f t="shared" si="54"/>
        <v>24355.180689474189</v>
      </c>
      <c r="G209" s="6">
        <f t="shared" si="54"/>
        <v>167.72567076452023</v>
      </c>
      <c r="H209" s="1">
        <v>0.4</v>
      </c>
      <c r="I209" s="1">
        <v>1.5</v>
      </c>
      <c r="J209" s="1">
        <v>1</v>
      </c>
      <c r="M209" s="1">
        <v>73</v>
      </c>
      <c r="N209" s="6">
        <f t="shared" si="58"/>
        <v>39381.987495509362</v>
      </c>
      <c r="O209" s="6">
        <f t="shared" si="55"/>
        <v>1039077.5123621267</v>
      </c>
      <c r="P209" s="6">
        <f t="shared" si="56"/>
        <v>25158.850614678035</v>
      </c>
      <c r="Q209" s="1">
        <v>0.4</v>
      </c>
      <c r="R209" s="1">
        <v>1.5</v>
      </c>
      <c r="S209" s="1">
        <v>1</v>
      </c>
      <c r="T209" s="1">
        <v>0.8</v>
      </c>
      <c r="U209" s="1">
        <v>10</v>
      </c>
      <c r="V209" s="5">
        <f t="shared" si="57"/>
        <v>2.4999999999999991</v>
      </c>
      <c r="X209" s="1">
        <v>73</v>
      </c>
      <c r="Y209" s="6">
        <f t="shared" si="59"/>
        <v>7876.3974991018722</v>
      </c>
      <c r="Z209" s="6">
        <f t="shared" si="60"/>
        <v>115453.05692912519</v>
      </c>
      <c r="AA209" s="6">
        <f t="shared" si="61"/>
        <v>25158.850614678035</v>
      </c>
      <c r="AB209" s="1">
        <f t="shared" si="62"/>
        <v>0.4</v>
      </c>
      <c r="AC209" s="1">
        <f t="shared" si="52"/>
        <v>1.5</v>
      </c>
      <c r="AD209" s="1">
        <f t="shared" si="53"/>
        <v>1</v>
      </c>
      <c r="AE209" s="1">
        <f t="shared" si="63"/>
        <v>10</v>
      </c>
      <c r="AF209" s="36">
        <f t="shared" si="64"/>
        <v>2.4999999999999991</v>
      </c>
    </row>
    <row r="210" spans="4:32" ht="14.25" hidden="1" customHeight="1" outlineLevel="1" x14ac:dyDescent="0.2">
      <c r="D210" s="1">
        <v>74</v>
      </c>
      <c r="E210" s="6">
        <f t="shared" si="54"/>
        <v>413.51086870284814</v>
      </c>
      <c r="F210" s="6">
        <f t="shared" si="54"/>
        <v>25572.939723947897</v>
      </c>
      <c r="G210" s="6">
        <f t="shared" si="54"/>
        <v>176.11195430274623</v>
      </c>
      <c r="H210" s="1">
        <v>0.4</v>
      </c>
      <c r="I210" s="1">
        <v>1.5</v>
      </c>
      <c r="J210" s="1">
        <v>1</v>
      </c>
      <c r="M210" s="1">
        <v>74</v>
      </c>
      <c r="N210" s="6">
        <f t="shared" si="58"/>
        <v>41351.086870284817</v>
      </c>
      <c r="O210" s="6">
        <f t="shared" si="55"/>
        <v>1053343.9732804878</v>
      </c>
      <c r="P210" s="6">
        <f t="shared" si="56"/>
        <v>26416.793145411935</v>
      </c>
      <c r="Q210" s="1">
        <v>0.4</v>
      </c>
      <c r="R210" s="1">
        <v>1.5</v>
      </c>
      <c r="S210" s="1">
        <v>1</v>
      </c>
      <c r="T210" s="1">
        <v>0.8</v>
      </c>
      <c r="U210" s="1">
        <v>10</v>
      </c>
      <c r="V210" s="5">
        <f t="shared" si="57"/>
        <v>2.4999999999999991</v>
      </c>
      <c r="X210" s="1">
        <v>74</v>
      </c>
      <c r="Y210" s="6">
        <f t="shared" si="59"/>
        <v>8270.2173740569633</v>
      </c>
      <c r="Z210" s="6">
        <f t="shared" si="60"/>
        <v>117038.21925338753</v>
      </c>
      <c r="AA210" s="6">
        <f t="shared" si="61"/>
        <v>26416.793145411935</v>
      </c>
      <c r="AB210" s="1">
        <f t="shared" si="62"/>
        <v>0.4</v>
      </c>
      <c r="AC210" s="1">
        <f t="shared" si="52"/>
        <v>1.5</v>
      </c>
      <c r="AD210" s="1">
        <f t="shared" si="53"/>
        <v>1</v>
      </c>
      <c r="AE210" s="1">
        <f t="shared" si="63"/>
        <v>10</v>
      </c>
      <c r="AF210" s="36">
        <f t="shared" si="64"/>
        <v>2.4999999999999991</v>
      </c>
    </row>
    <row r="211" spans="4:32" ht="14.25" hidden="1" customHeight="1" outlineLevel="1" x14ac:dyDescent="0.2">
      <c r="D211" s="1">
        <v>75</v>
      </c>
      <c r="E211" s="6">
        <f t="shared" si="54"/>
        <v>434.18641213799054</v>
      </c>
      <c r="F211" s="6">
        <f t="shared" si="54"/>
        <v>26851.58671014529</v>
      </c>
      <c r="G211" s="6">
        <f t="shared" si="54"/>
        <v>184.91755201788354</v>
      </c>
      <c r="H211" s="1">
        <v>0.4</v>
      </c>
      <c r="I211" s="1">
        <v>1.5</v>
      </c>
      <c r="J211" s="1">
        <v>1</v>
      </c>
      <c r="M211" s="1">
        <v>75</v>
      </c>
      <c r="N211" s="6">
        <f t="shared" si="58"/>
        <v>43418.641213799056</v>
      </c>
      <c r="O211" s="6">
        <f t="shared" si="55"/>
        <v>1067300.1212295135</v>
      </c>
      <c r="P211" s="6">
        <f t="shared" si="56"/>
        <v>27737.632802682532</v>
      </c>
      <c r="Q211" s="1">
        <v>0.4</v>
      </c>
      <c r="R211" s="1">
        <v>1.5</v>
      </c>
      <c r="S211" s="1">
        <v>1</v>
      </c>
      <c r="T211" s="1">
        <v>0.8</v>
      </c>
      <c r="U211" s="1">
        <v>10</v>
      </c>
      <c r="V211" s="5">
        <f t="shared" si="57"/>
        <v>2.4999999999999991</v>
      </c>
      <c r="X211" s="1">
        <v>75</v>
      </c>
      <c r="Y211" s="6">
        <f t="shared" si="59"/>
        <v>8683.7282427598111</v>
      </c>
      <c r="Z211" s="6">
        <f t="shared" si="60"/>
        <v>118588.90235883484</v>
      </c>
      <c r="AA211" s="6">
        <f t="shared" si="61"/>
        <v>27737.632802682532</v>
      </c>
      <c r="AB211" s="1">
        <f t="shared" si="62"/>
        <v>0.4</v>
      </c>
      <c r="AC211" s="1">
        <f t="shared" si="52"/>
        <v>1.5</v>
      </c>
      <c r="AD211" s="1">
        <f t="shared" si="53"/>
        <v>1</v>
      </c>
      <c r="AE211" s="1">
        <f t="shared" si="63"/>
        <v>10</v>
      </c>
      <c r="AF211" s="36">
        <f t="shared" si="64"/>
        <v>2.4999999999999991</v>
      </c>
    </row>
    <row r="212" spans="4:32" ht="14.25" hidden="1" customHeight="1" outlineLevel="1" x14ac:dyDescent="0.2">
      <c r="D212" s="1">
        <v>76</v>
      </c>
      <c r="E212" s="6">
        <f t="shared" si="54"/>
        <v>455.89573274489015</v>
      </c>
      <c r="F212" s="6">
        <f t="shared" si="54"/>
        <v>28194.166045652557</v>
      </c>
      <c r="G212" s="6">
        <f t="shared" si="54"/>
        <v>194.16342961877774</v>
      </c>
      <c r="H212" s="1">
        <v>0.4</v>
      </c>
      <c r="I212" s="1">
        <v>1.5</v>
      </c>
      <c r="J212" s="1">
        <v>1</v>
      </c>
      <c r="M212" s="1">
        <v>76</v>
      </c>
      <c r="N212" s="6">
        <f t="shared" si="58"/>
        <v>45589.573274489019</v>
      </c>
      <c r="O212" s="6">
        <f t="shared" si="55"/>
        <v>1080939.908667508</v>
      </c>
      <c r="P212" s="6">
        <f t="shared" si="56"/>
        <v>29124.51444281666</v>
      </c>
      <c r="Q212" s="1">
        <v>0.4</v>
      </c>
      <c r="R212" s="1">
        <v>1.5</v>
      </c>
      <c r="S212" s="1">
        <v>1</v>
      </c>
      <c r="T212" s="1">
        <v>0.8</v>
      </c>
      <c r="U212" s="1">
        <v>10</v>
      </c>
      <c r="V212" s="5">
        <f t="shared" si="57"/>
        <v>2.4999999999999996</v>
      </c>
      <c r="X212" s="1">
        <v>76</v>
      </c>
      <c r="Y212" s="6">
        <f t="shared" si="59"/>
        <v>9117.9146548978042</v>
      </c>
      <c r="Z212" s="6">
        <f t="shared" si="60"/>
        <v>120104.43429638978</v>
      </c>
      <c r="AA212" s="6">
        <f t="shared" si="61"/>
        <v>29124.51444281666</v>
      </c>
      <c r="AB212" s="1">
        <f t="shared" si="62"/>
        <v>0.4</v>
      </c>
      <c r="AC212" s="1">
        <f t="shared" si="52"/>
        <v>1.5</v>
      </c>
      <c r="AD212" s="1">
        <f t="shared" si="53"/>
        <v>1</v>
      </c>
      <c r="AE212" s="1">
        <f t="shared" si="63"/>
        <v>10</v>
      </c>
      <c r="AF212" s="36">
        <f t="shared" si="64"/>
        <v>2.4999999999999996</v>
      </c>
    </row>
    <row r="213" spans="4:32" ht="14.25" hidden="1" customHeight="1" outlineLevel="1" x14ac:dyDescent="0.2">
      <c r="D213" s="1">
        <v>77</v>
      </c>
      <c r="E213" s="6">
        <f t="shared" si="54"/>
        <v>478.6905193821346</v>
      </c>
      <c r="F213" s="6">
        <f t="shared" si="54"/>
        <v>29603.874347935183</v>
      </c>
      <c r="G213" s="6">
        <f t="shared" si="54"/>
        <v>203.8716010997166</v>
      </c>
      <c r="H213" s="1">
        <v>0.4</v>
      </c>
      <c r="I213" s="1">
        <v>1.5</v>
      </c>
      <c r="J213" s="1">
        <v>1</v>
      </c>
      <c r="M213" s="1">
        <v>77</v>
      </c>
      <c r="N213" s="6">
        <f t="shared" si="58"/>
        <v>47869.051938213459</v>
      </c>
      <c r="O213" s="6">
        <f t="shared" si="55"/>
        <v>1094258.294486416</v>
      </c>
      <c r="P213" s="6">
        <f t="shared" si="56"/>
        <v>30580.740164957489</v>
      </c>
      <c r="Q213" s="1">
        <v>0.4</v>
      </c>
      <c r="R213" s="1">
        <v>1.5</v>
      </c>
      <c r="S213" s="1">
        <v>1</v>
      </c>
      <c r="T213" s="1">
        <v>0.8</v>
      </c>
      <c r="U213" s="1">
        <v>10</v>
      </c>
      <c r="V213" s="5">
        <f t="shared" si="57"/>
        <v>2.4999999999999996</v>
      </c>
      <c r="X213" s="1">
        <v>77</v>
      </c>
      <c r="Y213" s="6">
        <f t="shared" si="59"/>
        <v>9573.8103876426921</v>
      </c>
      <c r="Z213" s="6">
        <f t="shared" si="60"/>
        <v>121584.25494293512</v>
      </c>
      <c r="AA213" s="6">
        <f t="shared" si="61"/>
        <v>30580.740164957489</v>
      </c>
      <c r="AB213" s="1">
        <f t="shared" si="62"/>
        <v>0.4</v>
      </c>
      <c r="AC213" s="1">
        <f t="shared" si="52"/>
        <v>1.5</v>
      </c>
      <c r="AD213" s="1">
        <f t="shared" si="53"/>
        <v>1</v>
      </c>
      <c r="AE213" s="1">
        <f t="shared" si="63"/>
        <v>10</v>
      </c>
      <c r="AF213" s="36">
        <f t="shared" si="64"/>
        <v>2.4999999999999996</v>
      </c>
    </row>
    <row r="214" spans="4:32" ht="14.25" hidden="1" customHeight="1" outlineLevel="1" x14ac:dyDescent="0.2">
      <c r="D214" s="1">
        <v>78</v>
      </c>
      <c r="E214" s="6">
        <f t="shared" si="54"/>
        <v>502.62504535124145</v>
      </c>
      <c r="F214" s="6">
        <f t="shared" si="54"/>
        <v>31084.06806533195</v>
      </c>
      <c r="G214" s="6">
        <f t="shared" si="54"/>
        <v>214.06518115470249</v>
      </c>
      <c r="H214" s="1">
        <v>0.4</v>
      </c>
      <c r="I214" s="1">
        <v>1.5</v>
      </c>
      <c r="J214" s="1">
        <v>1</v>
      </c>
      <c r="M214" s="1">
        <v>78</v>
      </c>
      <c r="N214" s="6">
        <f t="shared" si="58"/>
        <v>50262.504535124157</v>
      </c>
      <c r="O214" s="6">
        <f t="shared" si="55"/>
        <v>1107251.2187897854</v>
      </c>
      <c r="P214" s="6">
        <f t="shared" si="56"/>
        <v>32109.777173205373</v>
      </c>
      <c r="Q214" s="1">
        <v>0.4</v>
      </c>
      <c r="R214" s="1">
        <v>1.5</v>
      </c>
      <c r="S214" s="1">
        <v>1</v>
      </c>
      <c r="T214" s="1">
        <v>0.8</v>
      </c>
      <c r="U214" s="1">
        <v>10</v>
      </c>
      <c r="V214" s="5">
        <f t="shared" si="57"/>
        <v>2.4999999999999982</v>
      </c>
      <c r="X214" s="1">
        <v>78</v>
      </c>
      <c r="Y214" s="6">
        <f t="shared" si="59"/>
        <v>10052.500907024831</v>
      </c>
      <c r="Z214" s="6">
        <f t="shared" si="60"/>
        <v>123027.91319886505</v>
      </c>
      <c r="AA214" s="6">
        <f t="shared" si="61"/>
        <v>32109.777173205373</v>
      </c>
      <c r="AB214" s="1">
        <f t="shared" si="62"/>
        <v>0.4</v>
      </c>
      <c r="AC214" s="1">
        <f t="shared" si="52"/>
        <v>1.5</v>
      </c>
      <c r="AD214" s="1">
        <f t="shared" si="53"/>
        <v>1</v>
      </c>
      <c r="AE214" s="1">
        <f t="shared" si="63"/>
        <v>10</v>
      </c>
      <c r="AF214" s="36">
        <f t="shared" si="64"/>
        <v>2.4999999999999982</v>
      </c>
    </row>
    <row r="215" spans="4:32" ht="14.25" hidden="1" customHeight="1" outlineLevel="1" x14ac:dyDescent="0.2">
      <c r="D215" s="1">
        <v>79</v>
      </c>
      <c r="E215" s="6">
        <f t="shared" si="54"/>
        <v>527.75629761880339</v>
      </c>
      <c r="F215" s="6">
        <f t="shared" si="54"/>
        <v>32638.271468598537</v>
      </c>
      <c r="G215" s="6">
        <f t="shared" si="54"/>
        <v>224.76844021243753</v>
      </c>
      <c r="H215" s="1">
        <v>0.4</v>
      </c>
      <c r="I215" s="1">
        <v>1.5</v>
      </c>
      <c r="J215" s="1">
        <v>1</v>
      </c>
      <c r="M215" s="1">
        <v>79</v>
      </c>
      <c r="N215" s="6">
        <f t="shared" si="58"/>
        <v>52775.629761880336</v>
      </c>
      <c r="O215" s="6">
        <f t="shared" si="55"/>
        <v>1119915.5729078942</v>
      </c>
      <c r="P215" s="6">
        <f t="shared" si="56"/>
        <v>33715.266031865627</v>
      </c>
      <c r="Q215" s="1">
        <v>0.4</v>
      </c>
      <c r="R215" s="1">
        <v>1.5</v>
      </c>
      <c r="S215" s="1">
        <v>1</v>
      </c>
      <c r="T215" s="1">
        <v>0.8</v>
      </c>
      <c r="U215" s="1">
        <v>10</v>
      </c>
      <c r="V215" s="5">
        <f t="shared" si="57"/>
        <v>2.5</v>
      </c>
      <c r="X215" s="1">
        <v>79</v>
      </c>
      <c r="Y215" s="6">
        <f t="shared" si="59"/>
        <v>10555.125952376067</v>
      </c>
      <c r="Z215" s="6">
        <f t="shared" si="60"/>
        <v>124435.06365643269</v>
      </c>
      <c r="AA215" s="6">
        <f t="shared" si="61"/>
        <v>33715.266031865627</v>
      </c>
      <c r="AB215" s="1">
        <f t="shared" si="62"/>
        <v>0.4</v>
      </c>
      <c r="AC215" s="1">
        <f t="shared" si="52"/>
        <v>1.5</v>
      </c>
      <c r="AD215" s="1">
        <f t="shared" si="53"/>
        <v>1</v>
      </c>
      <c r="AE215" s="1">
        <f t="shared" si="63"/>
        <v>10</v>
      </c>
      <c r="AF215" s="36">
        <f t="shared" si="64"/>
        <v>2.5</v>
      </c>
    </row>
    <row r="216" spans="4:32" ht="14.25" hidden="1" customHeight="1" outlineLevel="1" x14ac:dyDescent="0.2">
      <c r="D216" s="1">
        <v>80</v>
      </c>
      <c r="E216" s="6">
        <f t="shared" si="54"/>
        <v>554.14411249974364</v>
      </c>
      <c r="F216" s="6">
        <f t="shared" si="54"/>
        <v>34270.185042028475</v>
      </c>
      <c r="G216" s="6">
        <f t="shared" si="54"/>
        <v>236.0068622230595</v>
      </c>
      <c r="H216" s="1">
        <v>0.4</v>
      </c>
      <c r="I216" s="1">
        <v>1.5</v>
      </c>
      <c r="J216" s="1">
        <v>1</v>
      </c>
      <c r="M216" s="1">
        <v>80</v>
      </c>
      <c r="N216" s="6">
        <f t="shared" si="58"/>
        <v>55414.411249974364</v>
      </c>
      <c r="O216" s="6">
        <f t="shared" si="55"/>
        <v>1132249.1652223154</v>
      </c>
      <c r="P216" s="6">
        <f t="shared" si="56"/>
        <v>35401.029333458922</v>
      </c>
      <c r="Q216" s="1">
        <v>0.4</v>
      </c>
      <c r="R216" s="1">
        <v>1.5</v>
      </c>
      <c r="S216" s="1">
        <v>1</v>
      </c>
      <c r="T216" s="1">
        <v>0.8</v>
      </c>
      <c r="U216" s="1">
        <v>10</v>
      </c>
      <c r="V216" s="5">
        <f t="shared" si="57"/>
        <v>2.4999999999999991</v>
      </c>
      <c r="X216" s="1">
        <v>80</v>
      </c>
      <c r="Y216" s="6">
        <f t="shared" si="59"/>
        <v>11082.882249994873</v>
      </c>
      <c r="Z216" s="6">
        <f t="shared" si="60"/>
        <v>125805.46280247948</v>
      </c>
      <c r="AA216" s="6">
        <f t="shared" si="61"/>
        <v>35401.029333458922</v>
      </c>
      <c r="AB216" s="1">
        <f t="shared" si="62"/>
        <v>0.4</v>
      </c>
      <c r="AC216" s="1">
        <f t="shared" si="52"/>
        <v>1.5</v>
      </c>
      <c r="AD216" s="1">
        <f t="shared" si="53"/>
        <v>1</v>
      </c>
      <c r="AE216" s="1">
        <f t="shared" si="63"/>
        <v>10</v>
      </c>
      <c r="AF216" s="36">
        <f t="shared" si="64"/>
        <v>2.4999999999999991</v>
      </c>
    </row>
    <row r="217" spans="4:32" ht="14.25" hidden="1" customHeight="1" outlineLevel="1" x14ac:dyDescent="0.2">
      <c r="D217" s="1">
        <v>81</v>
      </c>
      <c r="E217" s="6">
        <f t="shared" si="54"/>
        <v>581.85131812473082</v>
      </c>
      <c r="F217" s="6">
        <f t="shared" si="54"/>
        <v>35983.694294129898</v>
      </c>
      <c r="G217" s="6">
        <f t="shared" si="54"/>
        <v>247.80720533421245</v>
      </c>
      <c r="H217" s="1">
        <v>0.4</v>
      </c>
      <c r="I217" s="1">
        <v>1.5</v>
      </c>
      <c r="J217" s="1">
        <v>1</v>
      </c>
      <c r="M217" s="1">
        <v>81</v>
      </c>
      <c r="N217" s="6">
        <f t="shared" si="58"/>
        <v>58185.131812473082</v>
      </c>
      <c r="O217" s="6">
        <f t="shared" si="55"/>
        <v>1144250.6833772601</v>
      </c>
      <c r="P217" s="6">
        <f t="shared" si="56"/>
        <v>37171.080800131866</v>
      </c>
      <c r="Q217" s="1">
        <v>0.4</v>
      </c>
      <c r="R217" s="1">
        <v>1.5</v>
      </c>
      <c r="S217" s="1">
        <v>1</v>
      </c>
      <c r="T217" s="1">
        <v>0.8</v>
      </c>
      <c r="U217" s="1">
        <v>10</v>
      </c>
      <c r="V217" s="5">
        <f t="shared" si="57"/>
        <v>2.4999999999999996</v>
      </c>
      <c r="X217" s="1">
        <v>81</v>
      </c>
      <c r="Y217" s="6">
        <f t="shared" si="59"/>
        <v>11637.026362494616</v>
      </c>
      <c r="Z217" s="6">
        <f t="shared" si="60"/>
        <v>127138.96481969557</v>
      </c>
      <c r="AA217" s="6">
        <f t="shared" si="61"/>
        <v>37171.080800131866</v>
      </c>
      <c r="AB217" s="1">
        <f t="shared" si="62"/>
        <v>0.4</v>
      </c>
      <c r="AC217" s="1">
        <f t="shared" si="52"/>
        <v>1.5</v>
      </c>
      <c r="AD217" s="1">
        <f t="shared" si="53"/>
        <v>1</v>
      </c>
      <c r="AE217" s="1">
        <f t="shared" si="63"/>
        <v>10</v>
      </c>
      <c r="AF217" s="36">
        <f t="shared" si="64"/>
        <v>2.4999999999999996</v>
      </c>
    </row>
    <row r="218" spans="4:32" ht="14.25" hidden="1" customHeight="1" outlineLevel="1" x14ac:dyDescent="0.2">
      <c r="D218" s="1">
        <v>82</v>
      </c>
      <c r="E218" s="6">
        <f t="shared" si="54"/>
        <v>610.94388403096752</v>
      </c>
      <c r="F218" s="6">
        <f t="shared" si="54"/>
        <v>37782.879008836397</v>
      </c>
      <c r="G218" s="6">
        <f t="shared" si="54"/>
        <v>260.1975656009231</v>
      </c>
      <c r="H218" s="1">
        <v>0.4</v>
      </c>
      <c r="I218" s="1">
        <v>1.5</v>
      </c>
      <c r="J218" s="1">
        <v>1</v>
      </c>
      <c r="M218" s="1">
        <v>82</v>
      </c>
      <c r="N218" s="6">
        <f t="shared" si="58"/>
        <v>61094.38840309676</v>
      </c>
      <c r="O218" s="6">
        <f t="shared" si="55"/>
        <v>1155919.6534512581</v>
      </c>
      <c r="P218" s="6">
        <f t="shared" si="56"/>
        <v>39029.634840138468</v>
      </c>
      <c r="Q218" s="1">
        <v>0.4</v>
      </c>
      <c r="R218" s="1">
        <v>1.5</v>
      </c>
      <c r="S218" s="1">
        <v>1</v>
      </c>
      <c r="T218" s="1">
        <v>0.8</v>
      </c>
      <c r="U218" s="1">
        <v>10</v>
      </c>
      <c r="V218" s="5">
        <f t="shared" si="57"/>
        <v>2.4999999999999991</v>
      </c>
      <c r="X218" s="1">
        <v>82</v>
      </c>
      <c r="Y218" s="6">
        <f t="shared" si="59"/>
        <v>12218.877680619353</v>
      </c>
      <c r="Z218" s="6">
        <f t="shared" si="60"/>
        <v>128435.51705013978</v>
      </c>
      <c r="AA218" s="6">
        <f t="shared" si="61"/>
        <v>39029.634840138468</v>
      </c>
      <c r="AB218" s="1">
        <f t="shared" si="62"/>
        <v>0.4</v>
      </c>
      <c r="AC218" s="1">
        <f t="shared" si="52"/>
        <v>1.5</v>
      </c>
      <c r="AD218" s="1">
        <f t="shared" si="53"/>
        <v>1</v>
      </c>
      <c r="AE218" s="1">
        <f t="shared" si="63"/>
        <v>10</v>
      </c>
      <c r="AF218" s="36">
        <f t="shared" si="64"/>
        <v>2.4999999999999991</v>
      </c>
    </row>
    <row r="219" spans="4:32" ht="14.25" hidden="1" customHeight="1" outlineLevel="1" x14ac:dyDescent="0.2">
      <c r="D219" s="1">
        <v>83</v>
      </c>
      <c r="E219" s="6">
        <f t="shared" si="54"/>
        <v>641.49107823251586</v>
      </c>
      <c r="F219" s="6">
        <f t="shared" si="54"/>
        <v>39672.022959278213</v>
      </c>
      <c r="G219" s="6">
        <f t="shared" si="54"/>
        <v>273.20744388096927</v>
      </c>
      <c r="H219" s="1">
        <v>0.4</v>
      </c>
      <c r="I219" s="1">
        <v>1.5</v>
      </c>
      <c r="J219" s="1">
        <v>1</v>
      </c>
      <c r="M219" s="1">
        <v>83</v>
      </c>
      <c r="N219" s="6">
        <f t="shared" si="58"/>
        <v>64149.107823251579</v>
      </c>
      <c r="O219" s="6">
        <f t="shared" si="55"/>
        <v>1167256.3966509558</v>
      </c>
      <c r="P219" s="6">
        <f t="shared" si="56"/>
        <v>40981.116582145391</v>
      </c>
      <c r="Q219" s="1">
        <v>0.4</v>
      </c>
      <c r="R219" s="1">
        <v>1.5</v>
      </c>
      <c r="S219" s="1">
        <v>1</v>
      </c>
      <c r="T219" s="1">
        <v>0.8</v>
      </c>
      <c r="U219" s="1">
        <v>10</v>
      </c>
      <c r="V219" s="5">
        <f t="shared" si="57"/>
        <v>2.4999999999999991</v>
      </c>
      <c r="X219" s="1">
        <v>83</v>
      </c>
      <c r="Y219" s="6">
        <f t="shared" si="59"/>
        <v>12829.821564650316</v>
      </c>
      <c r="Z219" s="6">
        <f t="shared" si="60"/>
        <v>129695.15518343954</v>
      </c>
      <c r="AA219" s="6">
        <f t="shared" si="61"/>
        <v>40981.116582145391</v>
      </c>
      <c r="AB219" s="1">
        <f t="shared" si="62"/>
        <v>0.4</v>
      </c>
      <c r="AC219" s="1">
        <f t="shared" si="52"/>
        <v>1.5</v>
      </c>
      <c r="AD219" s="1">
        <f t="shared" si="53"/>
        <v>1</v>
      </c>
      <c r="AE219" s="1">
        <f t="shared" si="63"/>
        <v>10</v>
      </c>
      <c r="AF219" s="36">
        <f t="shared" si="64"/>
        <v>2.4999999999999991</v>
      </c>
    </row>
    <row r="220" spans="4:32" ht="14.25" hidden="1" customHeight="1" outlineLevel="1" x14ac:dyDescent="0.2">
      <c r="D220" s="1">
        <v>84</v>
      </c>
      <c r="E220" s="6">
        <f t="shared" si="54"/>
        <v>673.56563214414166</v>
      </c>
      <c r="F220" s="6">
        <f t="shared" si="54"/>
        <v>41655.624107242125</v>
      </c>
      <c r="G220" s="6">
        <f t="shared" si="54"/>
        <v>286.86781607501769</v>
      </c>
      <c r="H220" s="1">
        <v>0.4</v>
      </c>
      <c r="I220" s="1">
        <v>1.5</v>
      </c>
      <c r="J220" s="1">
        <v>1</v>
      </c>
      <c r="M220" s="1">
        <v>84</v>
      </c>
      <c r="N220" s="6">
        <f t="shared" si="58"/>
        <v>67356.563214414171</v>
      </c>
      <c r="O220" s="6">
        <f t="shared" si="55"/>
        <v>1178261.984070122</v>
      </c>
      <c r="P220" s="6">
        <f t="shared" si="56"/>
        <v>43030.17241125265</v>
      </c>
      <c r="Q220" s="1">
        <v>0.4</v>
      </c>
      <c r="R220" s="1">
        <v>1.5</v>
      </c>
      <c r="S220" s="1">
        <v>1</v>
      </c>
      <c r="T220" s="1">
        <v>0.8</v>
      </c>
      <c r="U220" s="1">
        <v>10</v>
      </c>
      <c r="V220" s="5">
        <f t="shared" si="57"/>
        <v>2.4999999999999996</v>
      </c>
      <c r="X220" s="1">
        <v>84</v>
      </c>
      <c r="Y220" s="6">
        <f t="shared" si="59"/>
        <v>13471.312642882835</v>
      </c>
      <c r="Z220" s="6">
        <f t="shared" si="60"/>
        <v>130917.99823001356</v>
      </c>
      <c r="AA220" s="6">
        <f t="shared" si="61"/>
        <v>43030.17241125265</v>
      </c>
      <c r="AB220" s="1">
        <f t="shared" si="62"/>
        <v>0.4</v>
      </c>
      <c r="AC220" s="1">
        <f t="shared" si="52"/>
        <v>1.5</v>
      </c>
      <c r="AD220" s="1">
        <f t="shared" si="53"/>
        <v>1</v>
      </c>
      <c r="AE220" s="1">
        <f t="shared" si="63"/>
        <v>10</v>
      </c>
      <c r="AF220" s="36">
        <f t="shared" si="64"/>
        <v>2.4999999999999996</v>
      </c>
    </row>
    <row r="221" spans="4:32" ht="14.25" hidden="1" customHeight="1" outlineLevel="1" x14ac:dyDescent="0.2">
      <c r="D221" s="1">
        <v>85</v>
      </c>
      <c r="E221" s="6">
        <f t="shared" si="54"/>
        <v>707.24391375134871</v>
      </c>
      <c r="F221" s="6">
        <f t="shared" si="54"/>
        <v>43738.405312604234</v>
      </c>
      <c r="G221" s="6">
        <f t="shared" si="54"/>
        <v>301.21120687876862</v>
      </c>
      <c r="H221" s="1">
        <v>0.4</v>
      </c>
      <c r="I221" s="1">
        <v>1.5</v>
      </c>
      <c r="J221" s="1">
        <v>1</v>
      </c>
      <c r="M221" s="1">
        <v>85</v>
      </c>
      <c r="N221" s="6">
        <f t="shared" si="58"/>
        <v>70724.391375134874</v>
      </c>
      <c r="O221" s="6">
        <f t="shared" si="55"/>
        <v>1188938.1900323031</v>
      </c>
      <c r="P221" s="6">
        <f t="shared" si="56"/>
        <v>45181.681031815293</v>
      </c>
      <c r="Q221" s="1">
        <v>0.4</v>
      </c>
      <c r="R221" s="1">
        <v>1.5</v>
      </c>
      <c r="S221" s="1">
        <v>1</v>
      </c>
      <c r="T221" s="1">
        <v>0.8</v>
      </c>
      <c r="U221" s="1">
        <v>10</v>
      </c>
      <c r="V221" s="5">
        <f t="shared" si="57"/>
        <v>2.4999999999999996</v>
      </c>
      <c r="X221" s="1">
        <v>85</v>
      </c>
      <c r="Y221" s="6">
        <f t="shared" si="59"/>
        <v>14144.878275026975</v>
      </c>
      <c r="Z221" s="6">
        <f t="shared" si="60"/>
        <v>132104.24333692258</v>
      </c>
      <c r="AA221" s="6">
        <f t="shared" si="61"/>
        <v>45181.681031815293</v>
      </c>
      <c r="AB221" s="1">
        <f t="shared" si="62"/>
        <v>0.4</v>
      </c>
      <c r="AC221" s="1">
        <f t="shared" si="52"/>
        <v>1.5</v>
      </c>
      <c r="AD221" s="1">
        <f t="shared" si="53"/>
        <v>1</v>
      </c>
      <c r="AE221" s="1">
        <f t="shared" si="63"/>
        <v>10</v>
      </c>
      <c r="AF221" s="36">
        <f t="shared" si="64"/>
        <v>2.4999999999999996</v>
      </c>
    </row>
    <row r="222" spans="4:32" ht="14.25" hidden="1" customHeight="1" outlineLevel="1" x14ac:dyDescent="0.2">
      <c r="D222" s="1">
        <v>86</v>
      </c>
      <c r="E222" s="6">
        <f t="shared" si="54"/>
        <v>742.60610943891606</v>
      </c>
      <c r="F222" s="6">
        <f t="shared" si="54"/>
        <v>45925.325578234442</v>
      </c>
      <c r="G222" s="6">
        <f t="shared" si="54"/>
        <v>316.27176722270701</v>
      </c>
      <c r="H222" s="1">
        <v>0.4</v>
      </c>
      <c r="I222" s="1">
        <v>1.5</v>
      </c>
      <c r="J222" s="1">
        <v>1</v>
      </c>
      <c r="M222" s="1">
        <v>86</v>
      </c>
      <c r="N222" s="6">
        <f t="shared" si="58"/>
        <v>74260.610943891617</v>
      </c>
      <c r="O222" s="6">
        <f t="shared" si="55"/>
        <v>1199287.4445060722</v>
      </c>
      <c r="P222" s="6">
        <f t="shared" si="56"/>
        <v>47440.765083406055</v>
      </c>
      <c r="Q222" s="1">
        <v>0.4</v>
      </c>
      <c r="R222" s="1">
        <v>1.5</v>
      </c>
      <c r="S222" s="1">
        <v>1</v>
      </c>
      <c r="T222" s="1">
        <v>0.8</v>
      </c>
      <c r="U222" s="1">
        <v>10</v>
      </c>
      <c r="V222" s="5">
        <f t="shared" si="57"/>
        <v>2.4999999999999991</v>
      </c>
      <c r="X222" s="1">
        <v>86</v>
      </c>
      <c r="Y222" s="6">
        <f t="shared" si="59"/>
        <v>14852.122188778323</v>
      </c>
      <c r="Z222" s="6">
        <f t="shared" si="60"/>
        <v>133254.16050067468</v>
      </c>
      <c r="AA222" s="6">
        <f t="shared" si="61"/>
        <v>47440.765083406055</v>
      </c>
      <c r="AB222" s="1">
        <f t="shared" si="62"/>
        <v>0.4</v>
      </c>
      <c r="AC222" s="1">
        <f t="shared" si="52"/>
        <v>1.5</v>
      </c>
      <c r="AD222" s="1">
        <f t="shared" si="53"/>
        <v>1</v>
      </c>
      <c r="AE222" s="1">
        <f t="shared" si="63"/>
        <v>10</v>
      </c>
      <c r="AF222" s="36">
        <f t="shared" si="64"/>
        <v>2.4999999999999991</v>
      </c>
    </row>
    <row r="223" spans="4:32" ht="14.25" hidden="1" customHeight="1" outlineLevel="1" x14ac:dyDescent="0.2">
      <c r="D223" s="1">
        <v>87</v>
      </c>
      <c r="E223" s="6">
        <f t="shared" si="54"/>
        <v>779.73641491086187</v>
      </c>
      <c r="F223" s="6">
        <f t="shared" si="54"/>
        <v>48221.591857146159</v>
      </c>
      <c r="G223" s="6">
        <f t="shared" si="54"/>
        <v>332.08535558384233</v>
      </c>
      <c r="H223" s="1">
        <v>0.4</v>
      </c>
      <c r="I223" s="1">
        <v>1.5</v>
      </c>
      <c r="J223" s="1">
        <v>1</v>
      </c>
      <c r="M223" s="1">
        <v>87</v>
      </c>
      <c r="N223" s="6">
        <f t="shared" si="58"/>
        <v>77973.641491086208</v>
      </c>
      <c r="O223" s="6">
        <f t="shared" si="55"/>
        <v>1209312.7850484427</v>
      </c>
      <c r="P223" s="6">
        <f t="shared" si="56"/>
        <v>49812.803337576348</v>
      </c>
      <c r="Q223" s="1">
        <v>0.4</v>
      </c>
      <c r="R223" s="1">
        <v>1.5</v>
      </c>
      <c r="S223" s="1">
        <v>1</v>
      </c>
      <c r="T223" s="1">
        <v>0.8</v>
      </c>
      <c r="U223" s="1">
        <v>10</v>
      </c>
      <c r="V223" s="5">
        <f t="shared" si="57"/>
        <v>2.4999999999999987</v>
      </c>
      <c r="X223" s="1">
        <v>87</v>
      </c>
      <c r="Y223" s="6">
        <f t="shared" si="59"/>
        <v>15594.728298217242</v>
      </c>
      <c r="Z223" s="6">
        <f t="shared" si="60"/>
        <v>134368.08722760473</v>
      </c>
      <c r="AA223" s="6">
        <f t="shared" si="61"/>
        <v>49812.803337576348</v>
      </c>
      <c r="AB223" s="1">
        <f t="shared" si="62"/>
        <v>0.4</v>
      </c>
      <c r="AC223" s="1">
        <f t="shared" si="52"/>
        <v>1.5</v>
      </c>
      <c r="AD223" s="1">
        <f t="shared" si="53"/>
        <v>1</v>
      </c>
      <c r="AE223" s="1">
        <f t="shared" si="63"/>
        <v>10</v>
      </c>
      <c r="AF223" s="36">
        <f t="shared" si="64"/>
        <v>2.4999999999999987</v>
      </c>
    </row>
    <row r="224" spans="4:32" ht="14.25" hidden="1" customHeight="1" outlineLevel="1" x14ac:dyDescent="0.2">
      <c r="D224" s="1">
        <v>88</v>
      </c>
      <c r="E224" s="6">
        <f t="shared" si="54"/>
        <v>818.72323565640511</v>
      </c>
      <c r="F224" s="6">
        <f t="shared" si="54"/>
        <v>50632.67145000348</v>
      </c>
      <c r="G224" s="6">
        <f t="shared" si="54"/>
        <v>348.68962336303457</v>
      </c>
      <c r="H224" s="1">
        <v>0.4</v>
      </c>
      <c r="I224" s="1">
        <v>1.5</v>
      </c>
      <c r="J224" s="1">
        <v>1</v>
      </c>
      <c r="M224" s="1">
        <v>88</v>
      </c>
      <c r="N224" s="6">
        <f t="shared" si="58"/>
        <v>81872.323565640516</v>
      </c>
      <c r="O224" s="6">
        <f t="shared" si="55"/>
        <v>1219017.8086958271</v>
      </c>
      <c r="P224" s="6">
        <f t="shared" si="56"/>
        <v>52303.443504455186</v>
      </c>
      <c r="Q224" s="1">
        <v>0.4</v>
      </c>
      <c r="R224" s="1">
        <v>1.5</v>
      </c>
      <c r="S224" s="1">
        <v>1</v>
      </c>
      <c r="T224" s="1">
        <v>0.8</v>
      </c>
      <c r="U224" s="1">
        <v>10</v>
      </c>
      <c r="V224" s="5">
        <f t="shared" si="57"/>
        <v>2.4999999999999987</v>
      </c>
      <c r="X224" s="1">
        <v>88</v>
      </c>
      <c r="Y224" s="6">
        <f t="shared" si="59"/>
        <v>16374.464713128104</v>
      </c>
      <c r="Z224" s="6">
        <f t="shared" si="60"/>
        <v>135446.42318842525</v>
      </c>
      <c r="AA224" s="6">
        <f t="shared" si="61"/>
        <v>52303.443504455186</v>
      </c>
      <c r="AB224" s="1">
        <f t="shared" si="62"/>
        <v>0.4</v>
      </c>
      <c r="AC224" s="1">
        <f t="shared" si="52"/>
        <v>1.5</v>
      </c>
      <c r="AD224" s="1">
        <f t="shared" si="53"/>
        <v>1</v>
      </c>
      <c r="AE224" s="1">
        <f t="shared" si="63"/>
        <v>10</v>
      </c>
      <c r="AF224" s="36">
        <f t="shared" si="64"/>
        <v>2.4999999999999987</v>
      </c>
    </row>
    <row r="225" spans="3:32" ht="14.25" hidden="1" customHeight="1" outlineLevel="1" x14ac:dyDescent="0.2">
      <c r="D225" s="1">
        <v>89</v>
      </c>
      <c r="E225" s="6">
        <f t="shared" si="54"/>
        <v>859.65939743922524</v>
      </c>
      <c r="F225" s="6">
        <f t="shared" si="54"/>
        <v>53164.305022503642</v>
      </c>
      <c r="G225" s="6">
        <f t="shared" si="54"/>
        <v>366.12410453118622</v>
      </c>
      <c r="H225" s="1">
        <v>0.4</v>
      </c>
      <c r="I225" s="1">
        <v>1.5</v>
      </c>
      <c r="J225" s="1">
        <v>1</v>
      </c>
      <c r="M225" s="1">
        <v>89</v>
      </c>
      <c r="N225" s="6">
        <f t="shared" si="58"/>
        <v>85965.939743922543</v>
      </c>
      <c r="O225" s="6">
        <f t="shared" si="55"/>
        <v>1228406.6241837505</v>
      </c>
      <c r="P225" s="6">
        <f t="shared" si="56"/>
        <v>54918.615679677932</v>
      </c>
      <c r="Q225" s="1">
        <v>0.4</v>
      </c>
      <c r="R225" s="1">
        <v>1.5</v>
      </c>
      <c r="S225" s="1">
        <v>1</v>
      </c>
      <c r="T225" s="1">
        <v>0.8</v>
      </c>
      <c r="U225" s="1">
        <v>10</v>
      </c>
      <c r="V225" s="5">
        <f t="shared" si="57"/>
        <v>2.4999999999999991</v>
      </c>
      <c r="X225" s="1">
        <v>89</v>
      </c>
      <c r="Y225" s="6">
        <f t="shared" si="59"/>
        <v>17193.187948784507</v>
      </c>
      <c r="Z225" s="6">
        <f t="shared" si="60"/>
        <v>136489.6249093056</v>
      </c>
      <c r="AA225" s="6">
        <f t="shared" si="61"/>
        <v>54918.615679677932</v>
      </c>
      <c r="AB225" s="1">
        <f t="shared" si="62"/>
        <v>0.4</v>
      </c>
      <c r="AC225" s="1">
        <f t="shared" si="52"/>
        <v>1.5</v>
      </c>
      <c r="AD225" s="1">
        <f t="shared" si="53"/>
        <v>1</v>
      </c>
      <c r="AE225" s="1">
        <f t="shared" si="63"/>
        <v>10</v>
      </c>
      <c r="AF225" s="36">
        <f t="shared" si="64"/>
        <v>2.4999999999999991</v>
      </c>
    </row>
    <row r="226" spans="3:32" ht="14.25" hidden="1" customHeight="1" outlineLevel="1" x14ac:dyDescent="0.2">
      <c r="D226" s="1">
        <v>90</v>
      </c>
      <c r="E226" s="6">
        <f t="shared" si="54"/>
        <v>902.6423673111866</v>
      </c>
      <c r="F226" s="6">
        <f t="shared" si="54"/>
        <v>55822.520273628834</v>
      </c>
      <c r="G226" s="6">
        <f t="shared" si="54"/>
        <v>384.43030975774553</v>
      </c>
      <c r="H226" s="1">
        <v>0.4</v>
      </c>
      <c r="I226" s="1">
        <v>1.5</v>
      </c>
      <c r="J226" s="1">
        <v>1</v>
      </c>
      <c r="M226" s="1">
        <v>90</v>
      </c>
      <c r="N226" s="6">
        <f t="shared" si="58"/>
        <v>90264.236731118683</v>
      </c>
      <c r="O226" s="6">
        <f t="shared" si="55"/>
        <v>1237483.8048373109</v>
      </c>
      <c r="P226" s="6">
        <f t="shared" si="56"/>
        <v>57664.546463661827</v>
      </c>
      <c r="Q226" s="1">
        <v>0.4</v>
      </c>
      <c r="R226" s="1">
        <v>1.5</v>
      </c>
      <c r="S226" s="1">
        <v>1</v>
      </c>
      <c r="T226" s="1">
        <v>0.8</v>
      </c>
      <c r="U226" s="1">
        <v>10</v>
      </c>
      <c r="V226" s="5">
        <f t="shared" si="57"/>
        <v>2.4999999999999987</v>
      </c>
      <c r="X226" s="1">
        <v>90</v>
      </c>
      <c r="Y226" s="6">
        <f t="shared" si="59"/>
        <v>18052.847346223738</v>
      </c>
      <c r="Z226" s="6">
        <f t="shared" si="60"/>
        <v>137498.20053747899</v>
      </c>
      <c r="AA226" s="6">
        <f t="shared" si="61"/>
        <v>57664.546463661827</v>
      </c>
      <c r="AB226" s="1">
        <f t="shared" si="62"/>
        <v>0.4</v>
      </c>
      <c r="AC226" s="1">
        <f t="shared" si="52"/>
        <v>1.5</v>
      </c>
      <c r="AD226" s="1">
        <f t="shared" si="53"/>
        <v>1</v>
      </c>
      <c r="AE226" s="1">
        <f t="shared" si="63"/>
        <v>10</v>
      </c>
      <c r="AF226" s="36">
        <f t="shared" si="64"/>
        <v>2.4999999999999987</v>
      </c>
    </row>
    <row r="227" spans="3:32" ht="14.25" hidden="1" customHeight="1" outlineLevel="1" x14ac:dyDescent="0.2">
      <c r="D227" s="1">
        <v>91</v>
      </c>
      <c r="E227" s="6">
        <f t="shared" si="54"/>
        <v>947.77448567674583</v>
      </c>
      <c r="F227" s="6">
        <f t="shared" si="54"/>
        <v>58613.646287310272</v>
      </c>
      <c r="G227" s="6">
        <f t="shared" si="54"/>
        <v>403.65182524563284</v>
      </c>
      <c r="H227" s="1">
        <v>0.4</v>
      </c>
      <c r="I227" s="1">
        <v>1.5</v>
      </c>
      <c r="J227" s="1">
        <v>1</v>
      </c>
      <c r="M227" s="1">
        <v>91</v>
      </c>
      <c r="N227" s="6">
        <f t="shared" si="58"/>
        <v>94777.448567674583</v>
      </c>
      <c r="O227" s="6">
        <f t="shared" si="55"/>
        <v>1246254.3424348279</v>
      </c>
      <c r="P227" s="6">
        <f t="shared" si="56"/>
        <v>60547.773786844926</v>
      </c>
      <c r="Q227" s="1">
        <v>0.4</v>
      </c>
      <c r="R227" s="1">
        <v>1.5</v>
      </c>
      <c r="S227" s="1">
        <v>1</v>
      </c>
      <c r="T227" s="1">
        <v>0.8</v>
      </c>
      <c r="U227" s="1">
        <v>10</v>
      </c>
      <c r="V227" s="5">
        <f t="shared" si="57"/>
        <v>2.4999999999999991</v>
      </c>
      <c r="X227" s="1">
        <v>91</v>
      </c>
      <c r="Y227" s="6">
        <f t="shared" si="59"/>
        <v>18955.489713534917</v>
      </c>
      <c r="Z227" s="6">
        <f t="shared" si="60"/>
        <v>138472.70471498088</v>
      </c>
      <c r="AA227" s="6">
        <f t="shared" si="61"/>
        <v>60547.773786844926</v>
      </c>
      <c r="AB227" s="1">
        <f t="shared" si="62"/>
        <v>0.4</v>
      </c>
      <c r="AC227" s="1">
        <f t="shared" si="52"/>
        <v>1.5</v>
      </c>
      <c r="AD227" s="1">
        <f t="shared" si="53"/>
        <v>1</v>
      </c>
      <c r="AE227" s="1">
        <f t="shared" si="63"/>
        <v>10</v>
      </c>
      <c r="AF227" s="36">
        <f t="shared" si="64"/>
        <v>2.4999999999999991</v>
      </c>
    </row>
    <row r="228" spans="3:32" ht="14.25" hidden="1" customHeight="1" outlineLevel="1" x14ac:dyDescent="0.2">
      <c r="D228" s="1">
        <v>92</v>
      </c>
      <c r="E228" s="6">
        <f t="shared" si="54"/>
        <v>995.16320996058334</v>
      </c>
      <c r="F228" s="6">
        <f t="shared" si="54"/>
        <v>61544.328601675799</v>
      </c>
      <c r="G228" s="6">
        <f t="shared" si="54"/>
        <v>423.83441650791451</v>
      </c>
      <c r="H228" s="1">
        <v>0.4</v>
      </c>
      <c r="I228" s="1">
        <v>1.5</v>
      </c>
      <c r="J228" s="1">
        <v>1</v>
      </c>
      <c r="M228" s="1">
        <v>92</v>
      </c>
      <c r="N228" s="6">
        <f t="shared" si="58"/>
        <v>99516.320996058334</v>
      </c>
      <c r="O228" s="6">
        <f t="shared" si="55"/>
        <v>1254723.602307942</v>
      </c>
      <c r="P228" s="6">
        <f t="shared" si="56"/>
        <v>63575.162476187179</v>
      </c>
      <c r="Q228" s="1">
        <v>0.4</v>
      </c>
      <c r="R228" s="1">
        <v>1.5</v>
      </c>
      <c r="S228" s="1">
        <v>1</v>
      </c>
      <c r="T228" s="1">
        <v>0.8</v>
      </c>
      <c r="U228" s="1">
        <v>10</v>
      </c>
      <c r="V228" s="5">
        <f t="shared" si="57"/>
        <v>2.4999999999999996</v>
      </c>
      <c r="X228" s="1">
        <v>92</v>
      </c>
      <c r="Y228" s="6">
        <f t="shared" si="59"/>
        <v>19903.264199211666</v>
      </c>
      <c r="Z228" s="6">
        <f t="shared" si="60"/>
        <v>139413.73358977132</v>
      </c>
      <c r="AA228" s="6">
        <f t="shared" si="61"/>
        <v>63575.162476187179</v>
      </c>
      <c r="AB228" s="1">
        <f t="shared" si="62"/>
        <v>0.4</v>
      </c>
      <c r="AC228" s="1">
        <f t="shared" si="52"/>
        <v>1.5</v>
      </c>
      <c r="AD228" s="1">
        <f t="shared" si="53"/>
        <v>1</v>
      </c>
      <c r="AE228" s="1">
        <f t="shared" si="63"/>
        <v>10</v>
      </c>
      <c r="AF228" s="36">
        <f t="shared" si="64"/>
        <v>2.4999999999999996</v>
      </c>
    </row>
    <row r="229" spans="3:32" ht="14.25" hidden="1" customHeight="1" outlineLevel="1" x14ac:dyDescent="0.2">
      <c r="D229" s="1">
        <v>93</v>
      </c>
      <c r="E229" s="6">
        <f t="shared" si="54"/>
        <v>1044.9213704586123</v>
      </c>
      <c r="F229" s="6">
        <f t="shared" si="54"/>
        <v>64621.545031759575</v>
      </c>
      <c r="G229" s="6">
        <f t="shared" si="54"/>
        <v>445.0261373333102</v>
      </c>
      <c r="H229" s="1">
        <v>0.4</v>
      </c>
      <c r="I229" s="1">
        <v>1.5</v>
      </c>
      <c r="J229" s="1">
        <v>1</v>
      </c>
      <c r="M229" s="1">
        <v>93</v>
      </c>
      <c r="N229" s="6">
        <f t="shared" si="58"/>
        <v>104492.13704586122</v>
      </c>
      <c r="O229" s="6">
        <f t="shared" si="55"/>
        <v>1262897.2799031681</v>
      </c>
      <c r="P229" s="6">
        <f t="shared" si="56"/>
        <v>66753.920599996534</v>
      </c>
      <c r="Q229" s="1">
        <v>0.4</v>
      </c>
      <c r="R229" s="1">
        <v>1.5</v>
      </c>
      <c r="S229" s="1">
        <v>1</v>
      </c>
      <c r="T229" s="1">
        <v>0.8</v>
      </c>
      <c r="U229" s="1">
        <v>10</v>
      </c>
      <c r="V229" s="5">
        <f t="shared" si="57"/>
        <v>2.4999999999999996</v>
      </c>
      <c r="X229" s="1">
        <v>93</v>
      </c>
      <c r="Y229" s="6">
        <f t="shared" si="59"/>
        <v>20898.427409172244</v>
      </c>
      <c r="Z229" s="6">
        <f t="shared" si="60"/>
        <v>140321.91998924091</v>
      </c>
      <c r="AA229" s="6">
        <f t="shared" si="61"/>
        <v>66753.920599996534</v>
      </c>
      <c r="AB229" s="1">
        <f t="shared" si="62"/>
        <v>0.4</v>
      </c>
      <c r="AC229" s="1">
        <f t="shared" si="52"/>
        <v>1.5</v>
      </c>
      <c r="AD229" s="1">
        <f t="shared" si="53"/>
        <v>1</v>
      </c>
      <c r="AE229" s="1">
        <f t="shared" si="63"/>
        <v>10</v>
      </c>
      <c r="AF229" s="36">
        <f t="shared" si="64"/>
        <v>2.4999999999999996</v>
      </c>
    </row>
    <row r="230" spans="3:32" ht="14.25" hidden="1" customHeight="1" outlineLevel="1" x14ac:dyDescent="0.2">
      <c r="D230" s="1">
        <v>94</v>
      </c>
      <c r="E230" s="6">
        <f t="shared" si="54"/>
        <v>1097.1674389815432</v>
      </c>
      <c r="F230" s="6">
        <f t="shared" si="54"/>
        <v>67852.622283347562</v>
      </c>
      <c r="G230" s="6">
        <f t="shared" si="54"/>
        <v>467.27744419997578</v>
      </c>
      <c r="H230" s="1">
        <v>0.4</v>
      </c>
      <c r="I230" s="1">
        <v>1.5</v>
      </c>
      <c r="J230" s="1">
        <v>1</v>
      </c>
      <c r="M230" s="1">
        <v>94</v>
      </c>
      <c r="N230" s="6">
        <f t="shared" si="58"/>
        <v>109716.74389815434</v>
      </c>
      <c r="O230" s="6">
        <f t="shared" si="55"/>
        <v>1270781.3589931023</v>
      </c>
      <c r="P230" s="6">
        <f t="shared" si="56"/>
        <v>70091.616629996366</v>
      </c>
      <c r="Q230" s="1">
        <v>0.4</v>
      </c>
      <c r="R230" s="1">
        <v>1.5</v>
      </c>
      <c r="S230" s="1">
        <v>1</v>
      </c>
      <c r="T230" s="1">
        <v>0.8</v>
      </c>
      <c r="U230" s="1">
        <v>10</v>
      </c>
      <c r="V230" s="5">
        <f t="shared" si="57"/>
        <v>2.4999999999999987</v>
      </c>
      <c r="X230" s="1">
        <v>94</v>
      </c>
      <c r="Y230" s="6">
        <f t="shared" si="59"/>
        <v>21943.348779630869</v>
      </c>
      <c r="Z230" s="6">
        <f t="shared" si="60"/>
        <v>141197.92877701137</v>
      </c>
      <c r="AA230" s="6">
        <f t="shared" si="61"/>
        <v>70091.616629996366</v>
      </c>
      <c r="AB230" s="1">
        <f t="shared" si="62"/>
        <v>0.4</v>
      </c>
      <c r="AC230" s="1">
        <f t="shared" si="52"/>
        <v>1.5</v>
      </c>
      <c r="AD230" s="1">
        <f t="shared" si="53"/>
        <v>1</v>
      </c>
      <c r="AE230" s="1">
        <f t="shared" si="63"/>
        <v>10</v>
      </c>
      <c r="AF230" s="36">
        <f t="shared" si="64"/>
        <v>2.4999999999999987</v>
      </c>
    </row>
    <row r="231" spans="3:32" ht="14.25" hidden="1" customHeight="1" outlineLevel="1" x14ac:dyDescent="0.2">
      <c r="D231" s="1">
        <v>95</v>
      </c>
      <c r="E231" s="6">
        <f t="shared" si="54"/>
        <v>1152.0258109306199</v>
      </c>
      <c r="F231" s="6">
        <f t="shared" si="54"/>
        <v>71245.253397514913</v>
      </c>
      <c r="G231" s="6">
        <f t="shared" si="54"/>
        <v>490.64131640997437</v>
      </c>
      <c r="H231" s="1">
        <v>0.4</v>
      </c>
      <c r="I231" s="1">
        <v>1.5</v>
      </c>
      <c r="J231" s="1">
        <v>1</v>
      </c>
      <c r="M231" s="1">
        <v>95</v>
      </c>
      <c r="N231" s="6">
        <f t="shared" si="58"/>
        <v>115202.58109306199</v>
      </c>
      <c r="O231" s="6">
        <f t="shared" si="55"/>
        <v>1278382.0716904616</v>
      </c>
      <c r="P231" s="6">
        <f t="shared" si="56"/>
        <v>73596.197461496151</v>
      </c>
      <c r="Q231" s="1">
        <v>0.4</v>
      </c>
      <c r="R231" s="1">
        <v>1.5</v>
      </c>
      <c r="S231" s="1">
        <v>1</v>
      </c>
      <c r="T231" s="1">
        <v>0.8</v>
      </c>
      <c r="U231" s="1">
        <v>10</v>
      </c>
      <c r="V231" s="5">
        <f t="shared" si="57"/>
        <v>2.4999999999999991</v>
      </c>
      <c r="X231" s="1">
        <v>95</v>
      </c>
      <c r="Y231" s="6">
        <f t="shared" si="59"/>
        <v>23040.5162186124</v>
      </c>
      <c r="Z231" s="6">
        <f t="shared" si="60"/>
        <v>142042.45241005128</v>
      </c>
      <c r="AA231" s="6">
        <f t="shared" si="61"/>
        <v>73596.197461496151</v>
      </c>
      <c r="AB231" s="1">
        <f t="shared" si="62"/>
        <v>0.4</v>
      </c>
      <c r="AC231" s="1">
        <f t="shared" si="52"/>
        <v>1.5</v>
      </c>
      <c r="AD231" s="1">
        <f t="shared" si="53"/>
        <v>1</v>
      </c>
      <c r="AE231" s="1">
        <f t="shared" si="63"/>
        <v>10</v>
      </c>
      <c r="AF231" s="36">
        <f t="shared" si="64"/>
        <v>2.4999999999999991</v>
      </c>
    </row>
    <row r="232" spans="3:32" ht="14.25" hidden="1" customHeight="1" outlineLevel="1" x14ac:dyDescent="0.2">
      <c r="D232" s="1">
        <v>96</v>
      </c>
      <c r="E232" s="6">
        <f t="shared" si="54"/>
        <v>1209.6271014771514</v>
      </c>
      <c r="F232" s="6">
        <f t="shared" si="54"/>
        <v>74807.516067390694</v>
      </c>
      <c r="G232" s="6">
        <f t="shared" si="54"/>
        <v>515.17338223047329</v>
      </c>
      <c r="H232" s="1">
        <v>0.4</v>
      </c>
      <c r="I232" s="1">
        <v>1.5</v>
      </c>
      <c r="J232" s="1">
        <v>1</v>
      </c>
      <c r="M232" s="1">
        <v>96</v>
      </c>
      <c r="N232" s="6">
        <f t="shared" si="58"/>
        <v>120962.71014771514</v>
      </c>
      <c r="O232" s="6">
        <f t="shared" si="55"/>
        <v>1285705.8603852736</v>
      </c>
      <c r="P232" s="6">
        <f t="shared" si="56"/>
        <v>77276.007334570997</v>
      </c>
      <c r="Q232" s="1">
        <v>0.4</v>
      </c>
      <c r="R232" s="1">
        <v>1.5</v>
      </c>
      <c r="S232" s="1">
        <v>1</v>
      </c>
      <c r="T232" s="1">
        <v>0.8</v>
      </c>
      <c r="U232" s="1">
        <v>10</v>
      </c>
      <c r="V232" s="5">
        <f t="shared" si="57"/>
        <v>2.4999999999999996</v>
      </c>
      <c r="X232" s="1">
        <v>96</v>
      </c>
      <c r="Y232" s="6">
        <f t="shared" si="59"/>
        <v>24192.54202954303</v>
      </c>
      <c r="Z232" s="6">
        <f t="shared" si="60"/>
        <v>142856.20670947485</v>
      </c>
      <c r="AA232" s="6">
        <f t="shared" si="61"/>
        <v>77276.007334570997</v>
      </c>
      <c r="AB232" s="1">
        <f t="shared" si="62"/>
        <v>0.4</v>
      </c>
      <c r="AC232" s="1">
        <f t="shared" si="52"/>
        <v>1.5</v>
      </c>
      <c r="AD232" s="1">
        <f t="shared" si="53"/>
        <v>1</v>
      </c>
      <c r="AE232" s="1">
        <f t="shared" si="63"/>
        <v>10</v>
      </c>
      <c r="AF232" s="36">
        <f t="shared" si="64"/>
        <v>2.4999999999999996</v>
      </c>
    </row>
    <row r="233" spans="3:32" ht="14.25" hidden="1" customHeight="1" outlineLevel="1" x14ac:dyDescent="0.2">
      <c r="D233" s="1">
        <v>97</v>
      </c>
      <c r="E233" s="6">
        <f t="shared" si="54"/>
        <v>1270.1084565510089</v>
      </c>
      <c r="F233" s="6">
        <f t="shared" si="54"/>
        <v>78547.891870760213</v>
      </c>
      <c r="G233" s="6">
        <f t="shared" si="54"/>
        <v>540.93205134199695</v>
      </c>
      <c r="H233" s="1">
        <v>0.4</v>
      </c>
      <c r="I233" s="1">
        <v>1.5</v>
      </c>
      <c r="J233" s="1">
        <v>1</v>
      </c>
      <c r="M233" s="1">
        <v>97</v>
      </c>
      <c r="N233" s="6">
        <f t="shared" si="58"/>
        <v>127010.84565510091</v>
      </c>
      <c r="O233" s="6">
        <f t="shared" si="55"/>
        <v>1292759.3416949937</v>
      </c>
      <c r="P233" s="6">
        <f t="shared" si="56"/>
        <v>81139.807701299549</v>
      </c>
      <c r="Q233" s="1">
        <v>0.4</v>
      </c>
      <c r="R233" s="1">
        <v>1.5</v>
      </c>
      <c r="S233" s="1">
        <v>1</v>
      </c>
      <c r="T233" s="1">
        <v>0.8</v>
      </c>
      <c r="U233" s="1">
        <v>10</v>
      </c>
      <c r="V233" s="5">
        <f t="shared" si="57"/>
        <v>2.4999999999999991</v>
      </c>
      <c r="X233" s="1">
        <v>97</v>
      </c>
      <c r="Y233" s="6">
        <f t="shared" si="59"/>
        <v>25402.169131020182</v>
      </c>
      <c r="Z233" s="6">
        <f t="shared" si="60"/>
        <v>143639.9268549993</v>
      </c>
      <c r="AA233" s="6">
        <f t="shared" si="61"/>
        <v>81139.807701299549</v>
      </c>
      <c r="AB233" s="1">
        <f t="shared" si="62"/>
        <v>0.4</v>
      </c>
      <c r="AC233" s="1">
        <f t="shared" si="52"/>
        <v>1.5</v>
      </c>
      <c r="AD233" s="1">
        <f t="shared" si="53"/>
        <v>1</v>
      </c>
      <c r="AE233" s="1">
        <f t="shared" si="63"/>
        <v>10</v>
      </c>
      <c r="AF233" s="36">
        <f t="shared" si="64"/>
        <v>2.4999999999999991</v>
      </c>
    </row>
    <row r="234" spans="3:32" ht="14.25" hidden="1" customHeight="1" outlineLevel="1" x14ac:dyDescent="0.2">
      <c r="D234" s="1">
        <v>98</v>
      </c>
      <c r="E234" s="6">
        <f t="shared" si="54"/>
        <v>1333.6138793785592</v>
      </c>
      <c r="F234" s="6">
        <f t="shared" si="54"/>
        <v>82475.286464298231</v>
      </c>
      <c r="G234" s="6">
        <f t="shared" si="54"/>
        <v>567.97865390909681</v>
      </c>
      <c r="H234" s="1">
        <v>0.4</v>
      </c>
      <c r="I234" s="1">
        <v>1.5</v>
      </c>
      <c r="J234" s="1">
        <v>1</v>
      </c>
      <c r="M234" s="1">
        <v>98</v>
      </c>
      <c r="N234" s="6">
        <f t="shared" si="58"/>
        <v>133361.38793785594</v>
      </c>
      <c r="O234" s="6">
        <f t="shared" si="55"/>
        <v>1299549.2724893163</v>
      </c>
      <c r="P234" s="6">
        <f t="shared" si="56"/>
        <v>85196.798086364521</v>
      </c>
      <c r="Q234" s="1">
        <v>0.4</v>
      </c>
      <c r="R234" s="1">
        <v>1.5</v>
      </c>
      <c r="S234" s="1">
        <v>1</v>
      </c>
      <c r="T234" s="1">
        <v>0.8</v>
      </c>
      <c r="U234" s="1">
        <v>10</v>
      </c>
      <c r="V234" s="5">
        <f t="shared" si="57"/>
        <v>2.4999999999999996</v>
      </c>
      <c r="X234" s="1">
        <v>98</v>
      </c>
      <c r="Y234" s="6">
        <f t="shared" si="59"/>
        <v>26672.277587571189</v>
      </c>
      <c r="Z234" s="6">
        <f t="shared" si="60"/>
        <v>144394.36360992404</v>
      </c>
      <c r="AA234" s="6">
        <f t="shared" si="61"/>
        <v>85196.798086364521</v>
      </c>
      <c r="AB234" s="1">
        <f t="shared" si="62"/>
        <v>0.4</v>
      </c>
      <c r="AC234" s="1">
        <f t="shared" si="52"/>
        <v>1.5</v>
      </c>
      <c r="AD234" s="1">
        <f t="shared" si="53"/>
        <v>1</v>
      </c>
      <c r="AE234" s="1">
        <f t="shared" si="63"/>
        <v>10</v>
      </c>
      <c r="AF234" s="36">
        <f t="shared" si="64"/>
        <v>2.4999999999999996</v>
      </c>
    </row>
    <row r="235" spans="3:32" ht="14.25" hidden="1" customHeight="1" outlineLevel="1" x14ac:dyDescent="0.2">
      <c r="D235" s="1">
        <v>99</v>
      </c>
      <c r="E235" s="6">
        <f t="shared" si="54"/>
        <v>1400.2945733474871</v>
      </c>
      <c r="F235" s="6">
        <f t="shared" si="54"/>
        <v>86599.050787513144</v>
      </c>
      <c r="G235" s="6">
        <f t="shared" si="54"/>
        <v>596.37758660455165</v>
      </c>
      <c r="H235" s="1">
        <v>0.4</v>
      </c>
      <c r="I235" s="1">
        <v>1.5</v>
      </c>
      <c r="J235" s="1">
        <v>1</v>
      </c>
      <c r="M235" s="1">
        <v>99</v>
      </c>
      <c r="N235" s="6">
        <f t="shared" si="58"/>
        <v>140029.4573347487</v>
      </c>
      <c r="O235" s="6">
        <f t="shared" si="55"/>
        <v>1306082.5180259845</v>
      </c>
      <c r="P235" s="6">
        <f t="shared" si="56"/>
        <v>89456.63799068275</v>
      </c>
      <c r="Q235" s="1">
        <v>0.4</v>
      </c>
      <c r="R235" s="1">
        <v>1.5</v>
      </c>
      <c r="S235" s="1">
        <v>1</v>
      </c>
      <c r="T235" s="1">
        <v>0.8</v>
      </c>
      <c r="U235" s="1">
        <v>10</v>
      </c>
      <c r="V235" s="5">
        <f t="shared" si="57"/>
        <v>2.4999999999999996</v>
      </c>
      <c r="X235" s="1">
        <v>99</v>
      </c>
      <c r="Y235" s="6">
        <f t="shared" si="59"/>
        <v>28005.891466949739</v>
      </c>
      <c r="Z235" s="6">
        <f t="shared" si="60"/>
        <v>145120.27978066495</v>
      </c>
      <c r="AA235" s="6">
        <f t="shared" si="61"/>
        <v>89456.63799068275</v>
      </c>
      <c r="AB235" s="1">
        <f t="shared" si="62"/>
        <v>0.4</v>
      </c>
      <c r="AC235" s="1">
        <f t="shared" si="52"/>
        <v>1.5</v>
      </c>
      <c r="AD235" s="1">
        <f t="shared" si="53"/>
        <v>1</v>
      </c>
      <c r="AE235" s="1">
        <f t="shared" si="63"/>
        <v>10</v>
      </c>
      <c r="AF235" s="36">
        <f t="shared" si="64"/>
        <v>2.4999999999999996</v>
      </c>
    </row>
    <row r="236" spans="3:32" ht="14.25" hidden="1" customHeight="1" outlineLevel="1" x14ac:dyDescent="0.2">
      <c r="D236" s="1">
        <v>100</v>
      </c>
      <c r="E236" s="6">
        <f t="shared" si="54"/>
        <v>1470.3093020148619</v>
      </c>
      <c r="F236" s="6">
        <f t="shared" si="54"/>
        <v>90929.003326888822</v>
      </c>
      <c r="G236" s="6">
        <f t="shared" si="54"/>
        <v>626.19646593477933</v>
      </c>
      <c r="H236" s="1">
        <v>0.4</v>
      </c>
      <c r="I236" s="1">
        <v>1.5</v>
      </c>
      <c r="J236" s="1">
        <v>1</v>
      </c>
      <c r="M236" s="1">
        <v>100</v>
      </c>
      <c r="N236" s="6">
        <f t="shared" si="58"/>
        <v>147030.93020148619</v>
      </c>
      <c r="O236" s="6">
        <f t="shared" si="55"/>
        <v>1312366.0222111095</v>
      </c>
      <c r="P236" s="6">
        <f t="shared" si="56"/>
        <v>93929.469890216904</v>
      </c>
      <c r="Q236" s="1">
        <v>0.4</v>
      </c>
      <c r="R236" s="1">
        <v>1.5</v>
      </c>
      <c r="S236" s="1">
        <v>1</v>
      </c>
      <c r="T236" s="1">
        <v>0.8</v>
      </c>
      <c r="U236" s="1">
        <v>10</v>
      </c>
      <c r="V236" s="5">
        <f t="shared" si="57"/>
        <v>2.4999999999999996</v>
      </c>
      <c r="X236" s="1">
        <v>100</v>
      </c>
      <c r="Y236" s="6">
        <f t="shared" si="59"/>
        <v>29406.186040297238</v>
      </c>
      <c r="Z236" s="6">
        <f t="shared" si="60"/>
        <v>145818.44691234551</v>
      </c>
      <c r="AA236" s="6">
        <f t="shared" si="61"/>
        <v>93929.469890216904</v>
      </c>
      <c r="AB236" s="1">
        <f t="shared" si="62"/>
        <v>0.4</v>
      </c>
      <c r="AC236" s="1">
        <f t="shared" si="52"/>
        <v>1.5</v>
      </c>
      <c r="AD236" s="1">
        <f t="shared" si="53"/>
        <v>1</v>
      </c>
      <c r="AE236" s="1">
        <f t="shared" si="63"/>
        <v>10</v>
      </c>
      <c r="AF236" s="36">
        <f t="shared" si="64"/>
        <v>2.4999999999999996</v>
      </c>
    </row>
    <row r="238" spans="3:32" ht="14.25" customHeight="1" x14ac:dyDescent="0.2">
      <c r="C238" s="3" t="s">
        <v>314</v>
      </c>
      <c r="D238" s="2" t="s">
        <v>325</v>
      </c>
      <c r="I238" s="3" t="s">
        <v>315</v>
      </c>
      <c r="Q238" s="2"/>
    </row>
    <row r="239" spans="3:32" ht="14.25" customHeight="1" x14ac:dyDescent="0.2">
      <c r="D239" s="3" t="s">
        <v>313</v>
      </c>
      <c r="E239" s="3" t="s">
        <v>153</v>
      </c>
      <c r="F239" s="3" t="s">
        <v>154</v>
      </c>
      <c r="G239" s="3" t="s">
        <v>129</v>
      </c>
      <c r="H239" s="80" t="s">
        <v>17</v>
      </c>
      <c r="J239" s="25" t="s">
        <v>15</v>
      </c>
      <c r="K239" s="3" t="s">
        <v>154</v>
      </c>
    </row>
    <row r="240" spans="3:32" ht="14.25" customHeight="1" x14ac:dyDescent="0.2">
      <c r="D240" s="1">
        <v>5</v>
      </c>
      <c r="H240" s="6">
        <f>F240/(J240-G240)</f>
        <v>0</v>
      </c>
      <c r="J240" s="1">
        <v>14.666</v>
      </c>
      <c r="K240" s="6">
        <f>E240*H240</f>
        <v>0</v>
      </c>
    </row>
    <row r="241" spans="3:32" ht="14.25" customHeight="1" x14ac:dyDescent="0.2">
      <c r="D241" s="1">
        <v>4</v>
      </c>
      <c r="E241" s="1">
        <f>SUM(E7:E10)</f>
        <v>29</v>
      </c>
      <c r="F241" s="1">
        <f>F8</f>
        <v>100</v>
      </c>
      <c r="G241" s="1">
        <f>SUM(G7:G10)</f>
        <v>8</v>
      </c>
      <c r="H241" s="6">
        <f t="shared" ref="H241:H244" si="65">F241/(J241-G241)</f>
        <v>15.001500150015001</v>
      </c>
      <c r="J241" s="1">
        <f>J240</f>
        <v>14.666</v>
      </c>
      <c r="K241" s="6">
        <f>E241*H241</f>
        <v>435.04350435043506</v>
      </c>
    </row>
    <row r="242" spans="3:32" ht="14.25" customHeight="1" x14ac:dyDescent="0.2">
      <c r="D242" s="1">
        <v>3</v>
      </c>
      <c r="E242" s="1">
        <f>E241-E8</f>
        <v>24</v>
      </c>
      <c r="F242" s="1">
        <f>F7</f>
        <v>40</v>
      </c>
      <c r="G242" s="1">
        <f>G241-G8</f>
        <v>6</v>
      </c>
      <c r="H242" s="6">
        <f t="shared" si="65"/>
        <v>4.6157396722824835</v>
      </c>
      <c r="J242" s="1">
        <f t="shared" ref="J242:J244" si="66">J241</f>
        <v>14.666</v>
      </c>
      <c r="K242" s="6">
        <f t="shared" ref="K241:K244" si="67">E242*H242</f>
        <v>110.7777521347796</v>
      </c>
    </row>
    <row r="243" spans="3:32" ht="14.25" customHeight="1" x14ac:dyDescent="0.2">
      <c r="D243" s="1">
        <v>2</v>
      </c>
      <c r="E243" s="1">
        <f>E242-E7</f>
        <v>14</v>
      </c>
      <c r="F243" s="1">
        <f>F9</f>
        <v>40</v>
      </c>
      <c r="G243" s="1">
        <f>G242-G7</f>
        <v>6</v>
      </c>
      <c r="H243" s="6">
        <f t="shared" si="65"/>
        <v>4.6157396722824835</v>
      </c>
      <c r="J243" s="1">
        <f t="shared" si="66"/>
        <v>14.666</v>
      </c>
      <c r="K243" s="6">
        <f t="shared" si="67"/>
        <v>64.620355411954762</v>
      </c>
    </row>
    <row r="244" spans="3:32" ht="14.25" customHeight="1" x14ac:dyDescent="0.2">
      <c r="D244" s="1">
        <v>1</v>
      </c>
      <c r="E244" s="1">
        <f>E10</f>
        <v>4</v>
      </c>
      <c r="F244" s="1">
        <f>F10</f>
        <v>50</v>
      </c>
      <c r="G244" s="1">
        <f>G10</f>
        <v>6</v>
      </c>
      <c r="H244" s="6">
        <f t="shared" si="65"/>
        <v>5.7696745903531035</v>
      </c>
      <c r="J244" s="1">
        <f t="shared" si="66"/>
        <v>14.666</v>
      </c>
      <c r="K244" s="6">
        <f t="shared" si="67"/>
        <v>23.078698361412414</v>
      </c>
    </row>
    <row r="245" spans="3:32" ht="14.25" customHeight="1" x14ac:dyDescent="0.2">
      <c r="H245" s="6">
        <f>SUM(H240:H244)</f>
        <v>30.00265408493307</v>
      </c>
      <c r="I245" s="1" t="s">
        <v>316</v>
      </c>
      <c r="J245" s="1">
        <f>MAX(J240:J244)</f>
        <v>14.666</v>
      </c>
      <c r="K245" s="6">
        <f>SUM(K240:K244)</f>
        <v>633.52031025858184</v>
      </c>
    </row>
    <row r="247" spans="3:32" ht="14.25" customHeight="1" collapsed="1" x14ac:dyDescent="0.2">
      <c r="C247" s="3" t="s">
        <v>170</v>
      </c>
      <c r="E247" s="1">
        <f>J245</f>
        <v>14.666</v>
      </c>
      <c r="F247" s="6">
        <f>K245</f>
        <v>633.52031025858184</v>
      </c>
      <c r="G247" s="18">
        <v>5</v>
      </c>
      <c r="J247" s="1" t="s">
        <v>318</v>
      </c>
      <c r="K247" s="1">
        <f>K21</f>
        <v>150</v>
      </c>
      <c r="L247" s="3" t="s">
        <v>317</v>
      </c>
      <c r="P247" s="6">
        <f>MAX(P250:P349)</f>
        <v>93929.469890216904</v>
      </c>
      <c r="X247" s="1" t="s">
        <v>322</v>
      </c>
    </row>
    <row r="248" spans="3:32" ht="14.25" hidden="1" customHeight="1" outlineLevel="1" x14ac:dyDescent="0.2">
      <c r="E248" s="1">
        <f>E22</f>
        <v>1.05</v>
      </c>
      <c r="F248" s="1">
        <f t="shared" ref="F248:G248" si="68">F22</f>
        <v>1.05</v>
      </c>
      <c r="G248" s="1">
        <f t="shared" si="68"/>
        <v>1.05</v>
      </c>
      <c r="O248" s="6">
        <f>F250*K247</f>
        <v>95028.046538787283</v>
      </c>
      <c r="P248" s="1">
        <f>10000</f>
        <v>10000</v>
      </c>
      <c r="X248" s="1">
        <v>9</v>
      </c>
    </row>
    <row r="249" spans="3:32" ht="14.25" hidden="1" customHeight="1" outlineLevel="1" x14ac:dyDescent="0.2">
      <c r="D249" s="1" t="s">
        <v>194</v>
      </c>
      <c r="E249" s="1" t="s">
        <v>153</v>
      </c>
      <c r="F249" s="1" t="s">
        <v>154</v>
      </c>
      <c r="G249" s="1" t="s">
        <v>145</v>
      </c>
      <c r="H249" s="18" t="s">
        <v>146</v>
      </c>
      <c r="I249" s="18" t="s">
        <v>147</v>
      </c>
      <c r="J249" s="18" t="s">
        <v>148</v>
      </c>
      <c r="M249" s="1" t="s">
        <v>172</v>
      </c>
      <c r="N249" s="1" t="s">
        <v>173</v>
      </c>
      <c r="O249" s="1" t="s">
        <v>174</v>
      </c>
      <c r="P249" s="1" t="s">
        <v>145</v>
      </c>
      <c r="Q249" s="18" t="s">
        <v>146</v>
      </c>
      <c r="R249" s="18" t="s">
        <v>147</v>
      </c>
      <c r="S249" s="18" t="s">
        <v>148</v>
      </c>
      <c r="T249" s="18" t="s">
        <v>175</v>
      </c>
      <c r="U249" s="18" t="s">
        <v>206</v>
      </c>
      <c r="V249" s="1" t="s">
        <v>320</v>
      </c>
      <c r="X249" s="1" t="s">
        <v>172</v>
      </c>
      <c r="Y249" s="1" t="s">
        <v>173</v>
      </c>
      <c r="Z249" s="1" t="s">
        <v>174</v>
      </c>
      <c r="AA249" s="1" t="s">
        <v>145</v>
      </c>
      <c r="AB249" s="1" t="s">
        <v>146</v>
      </c>
      <c r="AC249" s="1" t="s">
        <v>147</v>
      </c>
      <c r="AD249" s="1" t="s">
        <v>148</v>
      </c>
      <c r="AE249" s="1" t="s">
        <v>319</v>
      </c>
      <c r="AF249" s="1" t="s">
        <v>207</v>
      </c>
    </row>
    <row r="250" spans="3:32" ht="14.25" hidden="1" customHeight="1" outlineLevel="1" x14ac:dyDescent="0.2">
      <c r="D250" s="1">
        <v>1</v>
      </c>
      <c r="E250" s="6">
        <f>E$247*E$248^($D250-1)</f>
        <v>14.666</v>
      </c>
      <c r="F250" s="6">
        <f t="shared" ref="F250:G265" si="69">F$247*F$248^($D250-1)</f>
        <v>633.52031025858184</v>
      </c>
      <c r="G250" s="6">
        <f t="shared" si="69"/>
        <v>5</v>
      </c>
      <c r="H250" s="1">
        <v>0.4</v>
      </c>
      <c r="I250" s="1">
        <v>1.5</v>
      </c>
      <c r="J250" s="1">
        <v>1</v>
      </c>
      <c r="M250" s="1">
        <v>1</v>
      </c>
      <c r="N250" s="6">
        <f>E250*T250*$K$21/S250/(1+Q250*(R250-1))</f>
        <v>1466.6000000000001</v>
      </c>
      <c r="O250" s="6">
        <f>F250*$K$21/(1+P250/$P$22)</f>
        <v>88398.182826778866</v>
      </c>
      <c r="P250" s="6">
        <f>G250*$K$21</f>
        <v>750</v>
      </c>
      <c r="Q250" s="1">
        <v>0.4</v>
      </c>
      <c r="R250" s="1">
        <v>1.5</v>
      </c>
      <c r="S250" s="1">
        <v>1</v>
      </c>
      <c r="T250" s="1">
        <v>0.8</v>
      </c>
      <c r="U250" s="1">
        <v>10</v>
      </c>
      <c r="V250" s="5">
        <f>E250*$K$21*(1-T250)/(1/U250)/(1+Q250*(R250-1))/N250</f>
        <v>2.4999999999999987</v>
      </c>
      <c r="X250" s="1">
        <v>1</v>
      </c>
      <c r="Y250" s="6">
        <f>2*N250/(1+$X$22)</f>
        <v>293.32000000000005</v>
      </c>
      <c r="Z250" s="6">
        <f>O250/$X$22</f>
        <v>9822.0203140865415</v>
      </c>
      <c r="AA250" s="6">
        <f>P250</f>
        <v>750</v>
      </c>
      <c r="AB250" s="1">
        <f>Q250</f>
        <v>0.4</v>
      </c>
      <c r="AC250" s="1">
        <f t="shared" ref="AC250:AC313" si="70">R250</f>
        <v>1.5</v>
      </c>
      <c r="AD250" s="1">
        <f t="shared" ref="AD250:AD313" si="71">S250</f>
        <v>1</v>
      </c>
      <c r="AE250" s="1">
        <f>U250</f>
        <v>10</v>
      </c>
      <c r="AF250" s="36">
        <f>V250</f>
        <v>2.4999999999999987</v>
      </c>
    </row>
    <row r="251" spans="3:32" ht="14.25" hidden="1" customHeight="1" outlineLevel="1" x14ac:dyDescent="0.2">
      <c r="D251" s="1">
        <v>2</v>
      </c>
      <c r="E251" s="6">
        <f t="shared" ref="E251:G282" si="72">E$247*E$248^($D251-1)</f>
        <v>15.3993</v>
      </c>
      <c r="F251" s="6">
        <f t="shared" si="69"/>
        <v>665.19632577151094</v>
      </c>
      <c r="G251" s="6">
        <f t="shared" si="69"/>
        <v>5.25</v>
      </c>
      <c r="H251" s="1">
        <v>0.4</v>
      </c>
      <c r="I251" s="1">
        <v>1.5</v>
      </c>
      <c r="J251" s="1">
        <v>1</v>
      </c>
      <c r="M251" s="1">
        <v>2</v>
      </c>
      <c r="N251" s="6">
        <f>E251*T251*$K$21/S251/(1+Q251*(R251-1))</f>
        <v>1539.93</v>
      </c>
      <c r="O251" s="6">
        <f t="shared" ref="O251:O314" si="73">F251*$K$21/(1+P251/$P$22)</f>
        <v>92495.433479236744</v>
      </c>
      <c r="P251" s="6">
        <f t="shared" ref="P251:P314" si="74">G251*$K$21</f>
        <v>787.5</v>
      </c>
      <c r="Q251" s="1">
        <v>0.4</v>
      </c>
      <c r="R251" s="1">
        <v>1.5</v>
      </c>
      <c r="S251" s="1">
        <v>1</v>
      </c>
      <c r="T251" s="1">
        <v>0.8</v>
      </c>
      <c r="U251" s="1">
        <v>10</v>
      </c>
      <c r="V251" s="5">
        <f t="shared" ref="V251:V314" si="75">E251*$K$21*(1-T251)/(1/U251)/(1+Q251*(R251-1))/N251</f>
        <v>2.4999999999999991</v>
      </c>
      <c r="X251" s="1">
        <v>2</v>
      </c>
      <c r="Y251" s="6">
        <f>2*N251/(1+$X$22)</f>
        <v>307.98599999999999</v>
      </c>
      <c r="Z251" s="6">
        <f>O251/$X$22</f>
        <v>10277.27038658186</v>
      </c>
      <c r="AA251" s="6">
        <f>P251</f>
        <v>787.5</v>
      </c>
      <c r="AB251" s="1">
        <f>Q251</f>
        <v>0.4</v>
      </c>
      <c r="AC251" s="1">
        <f t="shared" si="70"/>
        <v>1.5</v>
      </c>
      <c r="AD251" s="1">
        <f t="shared" si="71"/>
        <v>1</v>
      </c>
      <c r="AE251" s="1">
        <f>U251</f>
        <v>10</v>
      </c>
      <c r="AF251" s="36">
        <f>V251</f>
        <v>2.4999999999999991</v>
      </c>
    </row>
    <row r="252" spans="3:32" ht="14.25" hidden="1" customHeight="1" outlineLevel="1" x14ac:dyDescent="0.2">
      <c r="D252" s="1">
        <v>3</v>
      </c>
      <c r="E252" s="6">
        <f t="shared" si="72"/>
        <v>16.169264999999999</v>
      </c>
      <c r="F252" s="6">
        <f t="shared" si="69"/>
        <v>698.45614206008645</v>
      </c>
      <c r="G252" s="6">
        <f t="shared" si="69"/>
        <v>5.5125000000000002</v>
      </c>
      <c r="H252" s="1">
        <v>0.4</v>
      </c>
      <c r="I252" s="1">
        <v>1.5</v>
      </c>
      <c r="J252" s="1">
        <v>1</v>
      </c>
      <c r="M252" s="1">
        <v>3</v>
      </c>
      <c r="N252" s="6">
        <f t="shared" ref="N252:N315" si="76">E252*T252*$K$21/S252/(1+Q252*(R252-1))</f>
        <v>1616.9265</v>
      </c>
      <c r="O252" s="6">
        <f t="shared" si="73"/>
        <v>96766.999996779268</v>
      </c>
      <c r="P252" s="6">
        <f t="shared" si="74"/>
        <v>826.875</v>
      </c>
      <c r="Q252" s="1">
        <v>0.4</v>
      </c>
      <c r="R252" s="1">
        <v>1.5</v>
      </c>
      <c r="S252" s="1">
        <v>1</v>
      </c>
      <c r="T252" s="1">
        <v>0.8</v>
      </c>
      <c r="U252" s="1">
        <v>10</v>
      </c>
      <c r="V252" s="5">
        <f t="shared" si="75"/>
        <v>2.4999999999999991</v>
      </c>
      <c r="X252" s="1">
        <v>3</v>
      </c>
      <c r="Y252" s="6">
        <f t="shared" ref="Y252:Y315" si="77">2*N252/(1+$X$22)</f>
        <v>323.38530000000003</v>
      </c>
      <c r="Z252" s="6">
        <f t="shared" ref="Z252:Z315" si="78">O252/$X$22</f>
        <v>10751.88888853103</v>
      </c>
      <c r="AA252" s="6">
        <f t="shared" ref="AA252:AA315" si="79">P252</f>
        <v>826.875</v>
      </c>
      <c r="AB252" s="1">
        <f t="shared" ref="AB252:AB315" si="80">Q252</f>
        <v>0.4</v>
      </c>
      <c r="AC252" s="1">
        <f t="shared" si="70"/>
        <v>1.5</v>
      </c>
      <c r="AD252" s="1">
        <f t="shared" si="71"/>
        <v>1</v>
      </c>
      <c r="AE252" s="1">
        <f t="shared" ref="AE252:AE315" si="81">U252</f>
        <v>10</v>
      </c>
      <c r="AF252" s="36">
        <f t="shared" ref="AF252:AF315" si="82">V252</f>
        <v>2.4999999999999991</v>
      </c>
    </row>
    <row r="253" spans="3:32" ht="14.25" hidden="1" customHeight="1" outlineLevel="1" x14ac:dyDescent="0.2">
      <c r="D253" s="1">
        <v>4</v>
      </c>
      <c r="E253" s="6">
        <f t="shared" si="72"/>
        <v>16.977728250000002</v>
      </c>
      <c r="F253" s="6">
        <f t="shared" si="69"/>
        <v>733.37894916309085</v>
      </c>
      <c r="G253" s="6">
        <f t="shared" si="69"/>
        <v>5.7881250000000009</v>
      </c>
      <c r="H253" s="1">
        <v>0.4</v>
      </c>
      <c r="I253" s="1">
        <v>1.5</v>
      </c>
      <c r="J253" s="1">
        <v>1</v>
      </c>
      <c r="M253" s="1">
        <v>4</v>
      </c>
      <c r="N253" s="6">
        <f t="shared" si="76"/>
        <v>1697.7728250000005</v>
      </c>
      <c r="O253" s="6">
        <f t="shared" si="73"/>
        <v>101218.83346750232</v>
      </c>
      <c r="P253" s="6">
        <f t="shared" si="74"/>
        <v>868.21875000000011</v>
      </c>
      <c r="Q253" s="1">
        <v>0.4</v>
      </c>
      <c r="R253" s="1">
        <v>1.5</v>
      </c>
      <c r="S253" s="1">
        <v>1</v>
      </c>
      <c r="T253" s="1">
        <v>0.8</v>
      </c>
      <c r="U253" s="1">
        <v>10</v>
      </c>
      <c r="V253" s="5">
        <f t="shared" si="75"/>
        <v>2.4999999999999987</v>
      </c>
      <c r="X253" s="1">
        <v>4</v>
      </c>
      <c r="Y253" s="6">
        <f t="shared" si="77"/>
        <v>339.55456500000008</v>
      </c>
      <c r="Z253" s="6">
        <f t="shared" si="78"/>
        <v>11246.537051944702</v>
      </c>
      <c r="AA253" s="6">
        <f t="shared" si="79"/>
        <v>868.21875000000011</v>
      </c>
      <c r="AB253" s="1">
        <f t="shared" si="80"/>
        <v>0.4</v>
      </c>
      <c r="AC253" s="1">
        <f t="shared" si="70"/>
        <v>1.5</v>
      </c>
      <c r="AD253" s="1">
        <f t="shared" si="71"/>
        <v>1</v>
      </c>
      <c r="AE253" s="1">
        <f t="shared" si="81"/>
        <v>10</v>
      </c>
      <c r="AF253" s="36">
        <f t="shared" si="82"/>
        <v>2.4999999999999987</v>
      </c>
    </row>
    <row r="254" spans="3:32" ht="14.25" hidden="1" customHeight="1" outlineLevel="1" x14ac:dyDescent="0.2">
      <c r="D254" s="1">
        <v>5</v>
      </c>
      <c r="E254" s="6">
        <f t="shared" si="72"/>
        <v>17.826614662499999</v>
      </c>
      <c r="F254" s="6">
        <f t="shared" si="69"/>
        <v>770.0478966212454</v>
      </c>
      <c r="G254" s="6">
        <f t="shared" si="69"/>
        <v>6.0775312499999998</v>
      </c>
      <c r="H254" s="1">
        <v>0.4</v>
      </c>
      <c r="I254" s="1">
        <v>1.5</v>
      </c>
      <c r="J254" s="1">
        <v>1</v>
      </c>
      <c r="M254" s="1">
        <v>5</v>
      </c>
      <c r="N254" s="6">
        <f t="shared" si="76"/>
        <v>1782.6614662500001</v>
      </c>
      <c r="O254" s="6">
        <f t="shared" si="73"/>
        <v>105856.95061252675</v>
      </c>
      <c r="P254" s="6">
        <f t="shared" si="74"/>
        <v>911.62968749999993</v>
      </c>
      <c r="Q254" s="1">
        <v>0.4</v>
      </c>
      <c r="R254" s="1">
        <v>1.5</v>
      </c>
      <c r="S254" s="1">
        <v>1</v>
      </c>
      <c r="T254" s="1">
        <v>0.8</v>
      </c>
      <c r="U254" s="1">
        <v>10</v>
      </c>
      <c r="V254" s="5">
        <f t="shared" si="75"/>
        <v>2.4999999999999987</v>
      </c>
      <c r="X254" s="1">
        <v>5</v>
      </c>
      <c r="Y254" s="6">
        <f t="shared" si="77"/>
        <v>356.53229325000001</v>
      </c>
      <c r="Z254" s="6">
        <f t="shared" si="78"/>
        <v>11761.88340139186</v>
      </c>
      <c r="AA254" s="6">
        <f t="shared" si="79"/>
        <v>911.62968749999993</v>
      </c>
      <c r="AB254" s="1">
        <f t="shared" si="80"/>
        <v>0.4</v>
      </c>
      <c r="AC254" s="1">
        <f t="shared" si="70"/>
        <v>1.5</v>
      </c>
      <c r="AD254" s="1">
        <f t="shared" si="71"/>
        <v>1</v>
      </c>
      <c r="AE254" s="1">
        <f t="shared" si="81"/>
        <v>10</v>
      </c>
      <c r="AF254" s="36">
        <f t="shared" si="82"/>
        <v>2.4999999999999987</v>
      </c>
    </row>
    <row r="255" spans="3:32" ht="14.25" hidden="1" customHeight="1" outlineLevel="1" x14ac:dyDescent="0.2">
      <c r="D255" s="1">
        <v>6</v>
      </c>
      <c r="E255" s="6">
        <f t="shared" si="72"/>
        <v>18.717945395625001</v>
      </c>
      <c r="F255" s="6">
        <f t="shared" si="69"/>
        <v>808.55029145230765</v>
      </c>
      <c r="G255" s="6">
        <f t="shared" si="69"/>
        <v>6.3814078125000009</v>
      </c>
      <c r="H255" s="1">
        <v>0.4</v>
      </c>
      <c r="I255" s="1">
        <v>1.5</v>
      </c>
      <c r="J255" s="1">
        <v>1</v>
      </c>
      <c r="M255" s="1">
        <v>6</v>
      </c>
      <c r="N255" s="6">
        <f t="shared" si="76"/>
        <v>1871.7945395625002</v>
      </c>
      <c r="O255" s="6">
        <f t="shared" si="73"/>
        <v>110687.42019790082</v>
      </c>
      <c r="P255" s="6">
        <f t="shared" si="74"/>
        <v>957.2111718750001</v>
      </c>
      <c r="Q255" s="1">
        <v>0.4</v>
      </c>
      <c r="R255" s="1">
        <v>1.5</v>
      </c>
      <c r="S255" s="1">
        <v>1</v>
      </c>
      <c r="T255" s="1">
        <v>0.8</v>
      </c>
      <c r="U255" s="1">
        <v>10</v>
      </c>
      <c r="V255" s="5">
        <f t="shared" si="75"/>
        <v>2.4999999999999991</v>
      </c>
      <c r="X255" s="1">
        <v>6</v>
      </c>
      <c r="Y255" s="6">
        <f t="shared" si="77"/>
        <v>374.35890791250006</v>
      </c>
      <c r="Z255" s="6">
        <f t="shared" si="78"/>
        <v>12298.602244211203</v>
      </c>
      <c r="AA255" s="6">
        <f t="shared" si="79"/>
        <v>957.2111718750001</v>
      </c>
      <c r="AB255" s="1">
        <f t="shared" si="80"/>
        <v>0.4</v>
      </c>
      <c r="AC255" s="1">
        <f t="shared" si="70"/>
        <v>1.5</v>
      </c>
      <c r="AD255" s="1">
        <f t="shared" si="71"/>
        <v>1</v>
      </c>
      <c r="AE255" s="1">
        <f t="shared" si="81"/>
        <v>10</v>
      </c>
      <c r="AF255" s="36">
        <f t="shared" si="82"/>
        <v>2.4999999999999991</v>
      </c>
    </row>
    <row r="256" spans="3:32" ht="14.25" hidden="1" customHeight="1" outlineLevel="1" x14ac:dyDescent="0.2">
      <c r="D256" s="1">
        <v>7</v>
      </c>
      <c r="E256" s="6">
        <f t="shared" si="72"/>
        <v>19.653842665406248</v>
      </c>
      <c r="F256" s="6">
        <f t="shared" si="69"/>
        <v>848.97780602492298</v>
      </c>
      <c r="G256" s="6">
        <f t="shared" si="69"/>
        <v>6.7004782031249999</v>
      </c>
      <c r="H256" s="1">
        <v>0.4</v>
      </c>
      <c r="I256" s="1">
        <v>1.5</v>
      </c>
      <c r="J256" s="1">
        <v>1</v>
      </c>
      <c r="M256" s="1">
        <v>7</v>
      </c>
      <c r="N256" s="6">
        <f t="shared" si="76"/>
        <v>1965.384266540625</v>
      </c>
      <c r="O256" s="6">
        <f t="shared" si="73"/>
        <v>115716.34790090936</v>
      </c>
      <c r="P256" s="6">
        <f t="shared" si="74"/>
        <v>1005.0717304687499</v>
      </c>
      <c r="Q256" s="1">
        <v>0.4</v>
      </c>
      <c r="R256" s="1">
        <v>1.5</v>
      </c>
      <c r="S256" s="1">
        <v>1</v>
      </c>
      <c r="T256" s="1">
        <v>0.8</v>
      </c>
      <c r="U256" s="1">
        <v>10</v>
      </c>
      <c r="V256" s="5">
        <f t="shared" si="75"/>
        <v>2.4999999999999991</v>
      </c>
      <c r="X256" s="1">
        <v>7</v>
      </c>
      <c r="Y256" s="6">
        <f t="shared" si="77"/>
        <v>393.07685330812501</v>
      </c>
      <c r="Z256" s="6">
        <f t="shared" si="78"/>
        <v>12857.371988989929</v>
      </c>
      <c r="AA256" s="6">
        <f t="shared" si="79"/>
        <v>1005.0717304687499</v>
      </c>
      <c r="AB256" s="1">
        <f t="shared" si="80"/>
        <v>0.4</v>
      </c>
      <c r="AC256" s="1">
        <f t="shared" si="70"/>
        <v>1.5</v>
      </c>
      <c r="AD256" s="1">
        <f t="shared" si="71"/>
        <v>1</v>
      </c>
      <c r="AE256" s="1">
        <f t="shared" si="81"/>
        <v>10</v>
      </c>
      <c r="AF256" s="36">
        <f t="shared" si="82"/>
        <v>2.4999999999999991</v>
      </c>
    </row>
    <row r="257" spans="4:32" ht="14.25" hidden="1" customHeight="1" outlineLevel="1" x14ac:dyDescent="0.2">
      <c r="D257" s="1">
        <v>8</v>
      </c>
      <c r="E257" s="6">
        <f t="shared" si="72"/>
        <v>20.636534798676568</v>
      </c>
      <c r="F257" s="6">
        <f t="shared" si="69"/>
        <v>891.42669632616935</v>
      </c>
      <c r="G257" s="6">
        <f t="shared" si="69"/>
        <v>7.0355021132812512</v>
      </c>
      <c r="H257" s="1">
        <v>0.4</v>
      </c>
      <c r="I257" s="1">
        <v>1.5</v>
      </c>
      <c r="J257" s="1">
        <v>1</v>
      </c>
      <c r="M257" s="1">
        <v>8</v>
      </c>
      <c r="N257" s="6">
        <f t="shared" si="76"/>
        <v>2063.6534798676571</v>
      </c>
      <c r="O257" s="6">
        <f t="shared" si="73"/>
        <v>120949.85956080834</v>
      </c>
      <c r="P257" s="6">
        <f t="shared" si="74"/>
        <v>1055.3253169921877</v>
      </c>
      <c r="Q257" s="1">
        <v>0.4</v>
      </c>
      <c r="R257" s="1">
        <v>1.5</v>
      </c>
      <c r="S257" s="1">
        <v>1</v>
      </c>
      <c r="T257" s="1">
        <v>0.8</v>
      </c>
      <c r="U257" s="1">
        <v>10</v>
      </c>
      <c r="V257" s="5">
        <f t="shared" si="75"/>
        <v>2.4999999999999991</v>
      </c>
      <c r="X257" s="1">
        <v>8</v>
      </c>
      <c r="Y257" s="6">
        <f t="shared" si="77"/>
        <v>412.7306959735314</v>
      </c>
      <c r="Z257" s="6">
        <f t="shared" si="78"/>
        <v>13438.87328453426</v>
      </c>
      <c r="AA257" s="6">
        <f t="shared" si="79"/>
        <v>1055.3253169921877</v>
      </c>
      <c r="AB257" s="1">
        <f t="shared" si="80"/>
        <v>0.4</v>
      </c>
      <c r="AC257" s="1">
        <f t="shared" si="70"/>
        <v>1.5</v>
      </c>
      <c r="AD257" s="1">
        <f t="shared" si="71"/>
        <v>1</v>
      </c>
      <c r="AE257" s="1">
        <f t="shared" si="81"/>
        <v>10</v>
      </c>
      <c r="AF257" s="36">
        <f t="shared" si="82"/>
        <v>2.4999999999999991</v>
      </c>
    </row>
    <row r="258" spans="4:32" ht="14.25" hidden="1" customHeight="1" outlineLevel="1" x14ac:dyDescent="0.2">
      <c r="D258" s="1">
        <v>9</v>
      </c>
      <c r="E258" s="6">
        <f t="shared" si="72"/>
        <v>21.668361538610391</v>
      </c>
      <c r="F258" s="6">
        <f t="shared" si="69"/>
        <v>935.99803114247766</v>
      </c>
      <c r="G258" s="6">
        <f t="shared" si="69"/>
        <v>7.3872772189453126</v>
      </c>
      <c r="H258" s="1">
        <v>0.4</v>
      </c>
      <c r="I258" s="1">
        <v>1.5</v>
      </c>
      <c r="J258" s="1">
        <v>1</v>
      </c>
      <c r="M258" s="1">
        <v>9</v>
      </c>
      <c r="N258" s="6">
        <f t="shared" si="76"/>
        <v>2166.8361538610393</v>
      </c>
      <c r="O258" s="6">
        <f t="shared" si="73"/>
        <v>126394.0827497688</v>
      </c>
      <c r="P258" s="6">
        <f t="shared" si="74"/>
        <v>1108.0915828417969</v>
      </c>
      <c r="Q258" s="1">
        <v>0.4</v>
      </c>
      <c r="R258" s="1">
        <v>1.5</v>
      </c>
      <c r="S258" s="1">
        <v>1</v>
      </c>
      <c r="T258" s="1">
        <v>0.8</v>
      </c>
      <c r="U258" s="1">
        <v>10</v>
      </c>
      <c r="V258" s="5">
        <f t="shared" si="75"/>
        <v>2.4999999999999991</v>
      </c>
      <c r="X258" s="1">
        <v>9</v>
      </c>
      <c r="Y258" s="6">
        <f t="shared" si="77"/>
        <v>433.36723077220785</v>
      </c>
      <c r="Z258" s="6">
        <f t="shared" si="78"/>
        <v>14043.786972196533</v>
      </c>
      <c r="AA258" s="6">
        <f t="shared" si="79"/>
        <v>1108.0915828417969</v>
      </c>
      <c r="AB258" s="1">
        <f t="shared" si="80"/>
        <v>0.4</v>
      </c>
      <c r="AC258" s="1">
        <f t="shared" si="70"/>
        <v>1.5</v>
      </c>
      <c r="AD258" s="1">
        <f t="shared" si="71"/>
        <v>1</v>
      </c>
      <c r="AE258" s="1">
        <f t="shared" si="81"/>
        <v>10</v>
      </c>
      <c r="AF258" s="36">
        <f t="shared" si="82"/>
        <v>2.4999999999999991</v>
      </c>
    </row>
    <row r="259" spans="4:32" ht="14.25" hidden="1" customHeight="1" outlineLevel="1" x14ac:dyDescent="0.2">
      <c r="D259" s="1">
        <v>10</v>
      </c>
      <c r="E259" s="6">
        <f t="shared" si="72"/>
        <v>22.751779615540912</v>
      </c>
      <c r="F259" s="6">
        <f t="shared" si="69"/>
        <v>982.79793269960157</v>
      </c>
      <c r="G259" s="6">
        <f t="shared" si="69"/>
        <v>7.7566410798925789</v>
      </c>
      <c r="H259" s="1">
        <v>0.4</v>
      </c>
      <c r="I259" s="1">
        <v>1.5</v>
      </c>
      <c r="J259" s="1">
        <v>1</v>
      </c>
      <c r="M259" s="1">
        <v>10</v>
      </c>
      <c r="N259" s="6">
        <f t="shared" si="76"/>
        <v>2275.1779615540913</v>
      </c>
      <c r="O259" s="6">
        <f t="shared" si="73"/>
        <v>132055.12660716675</v>
      </c>
      <c r="P259" s="6">
        <f t="shared" si="74"/>
        <v>1163.4961619838869</v>
      </c>
      <c r="Q259" s="1">
        <v>0.4</v>
      </c>
      <c r="R259" s="1">
        <v>1.5</v>
      </c>
      <c r="S259" s="1">
        <v>1</v>
      </c>
      <c r="T259" s="1">
        <v>0.8</v>
      </c>
      <c r="U259" s="1">
        <v>10</v>
      </c>
      <c r="V259" s="5">
        <f t="shared" si="75"/>
        <v>2.4999999999999991</v>
      </c>
      <c r="X259" s="1">
        <v>10</v>
      </c>
      <c r="Y259" s="6">
        <f t="shared" si="77"/>
        <v>455.03559231081829</v>
      </c>
      <c r="Z259" s="6">
        <f t="shared" si="78"/>
        <v>14672.79184524075</v>
      </c>
      <c r="AA259" s="6">
        <f t="shared" si="79"/>
        <v>1163.4961619838869</v>
      </c>
      <c r="AB259" s="1">
        <f t="shared" si="80"/>
        <v>0.4</v>
      </c>
      <c r="AC259" s="1">
        <f t="shared" si="70"/>
        <v>1.5</v>
      </c>
      <c r="AD259" s="1">
        <f t="shared" si="71"/>
        <v>1</v>
      </c>
      <c r="AE259" s="1">
        <f t="shared" si="81"/>
        <v>10</v>
      </c>
      <c r="AF259" s="36">
        <f t="shared" si="82"/>
        <v>2.4999999999999991</v>
      </c>
    </row>
    <row r="260" spans="4:32" ht="14.25" hidden="1" customHeight="1" outlineLevel="1" x14ac:dyDescent="0.2">
      <c r="D260" s="1">
        <v>11</v>
      </c>
      <c r="E260" s="6">
        <f t="shared" si="72"/>
        <v>23.889368596317958</v>
      </c>
      <c r="F260" s="6">
        <f t="shared" si="69"/>
        <v>1031.9378293345817</v>
      </c>
      <c r="G260" s="6">
        <f t="shared" si="69"/>
        <v>8.1444731338872085</v>
      </c>
      <c r="H260" s="1">
        <v>0.4</v>
      </c>
      <c r="I260" s="1">
        <v>1.5</v>
      </c>
      <c r="J260" s="1">
        <v>1</v>
      </c>
      <c r="M260" s="1">
        <v>11</v>
      </c>
      <c r="N260" s="6">
        <f t="shared" si="76"/>
        <v>2388.9368596317959</v>
      </c>
      <c r="O260" s="6">
        <f t="shared" si="73"/>
        <v>137939.05988943929</v>
      </c>
      <c r="P260" s="6">
        <f t="shared" si="74"/>
        <v>1221.6709700830813</v>
      </c>
      <c r="Q260" s="1">
        <v>0.4</v>
      </c>
      <c r="R260" s="1">
        <v>1.5</v>
      </c>
      <c r="S260" s="1">
        <v>1</v>
      </c>
      <c r="T260" s="1">
        <v>0.8</v>
      </c>
      <c r="U260" s="1">
        <v>10</v>
      </c>
      <c r="V260" s="5">
        <f t="shared" si="75"/>
        <v>2.4999999999999991</v>
      </c>
      <c r="X260" s="1">
        <v>11</v>
      </c>
      <c r="Y260" s="6">
        <f t="shared" si="77"/>
        <v>477.78737192635919</v>
      </c>
      <c r="Z260" s="6">
        <f t="shared" si="78"/>
        <v>15326.5622099377</v>
      </c>
      <c r="AA260" s="6">
        <f t="shared" si="79"/>
        <v>1221.6709700830813</v>
      </c>
      <c r="AB260" s="1">
        <f t="shared" si="80"/>
        <v>0.4</v>
      </c>
      <c r="AC260" s="1">
        <f t="shared" si="70"/>
        <v>1.5</v>
      </c>
      <c r="AD260" s="1">
        <f t="shared" si="71"/>
        <v>1</v>
      </c>
      <c r="AE260" s="1">
        <f t="shared" si="81"/>
        <v>10</v>
      </c>
      <c r="AF260" s="36">
        <f t="shared" si="82"/>
        <v>2.4999999999999991</v>
      </c>
    </row>
    <row r="261" spans="4:32" ht="14.25" hidden="1" customHeight="1" outlineLevel="1" x14ac:dyDescent="0.2">
      <c r="D261" s="1">
        <v>12</v>
      </c>
      <c r="E261" s="6">
        <f t="shared" si="72"/>
        <v>25.083837026133857</v>
      </c>
      <c r="F261" s="6">
        <f t="shared" si="69"/>
        <v>1083.5347208013109</v>
      </c>
      <c r="G261" s="6">
        <f t="shared" si="69"/>
        <v>8.5516967905815697</v>
      </c>
      <c r="H261" s="1">
        <v>0.4</v>
      </c>
      <c r="I261" s="1">
        <v>1.5</v>
      </c>
      <c r="J261" s="1">
        <v>1</v>
      </c>
      <c r="M261" s="1">
        <v>12</v>
      </c>
      <c r="N261" s="6">
        <f t="shared" si="76"/>
        <v>2508.383702613386</v>
      </c>
      <c r="O261" s="6">
        <f t="shared" si="73"/>
        <v>144051.88719868363</v>
      </c>
      <c r="P261" s="6">
        <f t="shared" si="74"/>
        <v>1282.7545185872355</v>
      </c>
      <c r="Q261" s="1">
        <v>0.4</v>
      </c>
      <c r="R261" s="1">
        <v>1.5</v>
      </c>
      <c r="S261" s="1">
        <v>1</v>
      </c>
      <c r="T261" s="1">
        <v>0.8</v>
      </c>
      <c r="U261" s="1">
        <v>10</v>
      </c>
      <c r="V261" s="5">
        <f t="shared" si="75"/>
        <v>2.4999999999999991</v>
      </c>
      <c r="X261" s="1">
        <v>12</v>
      </c>
      <c r="Y261" s="6">
        <f t="shared" si="77"/>
        <v>501.67674052267722</v>
      </c>
      <c r="Z261" s="6">
        <f t="shared" si="78"/>
        <v>16005.765244298182</v>
      </c>
      <c r="AA261" s="6">
        <f t="shared" si="79"/>
        <v>1282.7545185872355</v>
      </c>
      <c r="AB261" s="1">
        <f t="shared" si="80"/>
        <v>0.4</v>
      </c>
      <c r="AC261" s="1">
        <f t="shared" si="70"/>
        <v>1.5</v>
      </c>
      <c r="AD261" s="1">
        <f t="shared" si="71"/>
        <v>1</v>
      </c>
      <c r="AE261" s="1">
        <f t="shared" si="81"/>
        <v>10</v>
      </c>
      <c r="AF261" s="36">
        <f t="shared" si="82"/>
        <v>2.4999999999999991</v>
      </c>
    </row>
    <row r="262" spans="4:32" ht="14.25" hidden="1" customHeight="1" outlineLevel="1" x14ac:dyDescent="0.2">
      <c r="D262" s="1">
        <v>13</v>
      </c>
      <c r="E262" s="6">
        <f t="shared" si="72"/>
        <v>26.338028877440546</v>
      </c>
      <c r="F262" s="6">
        <f t="shared" si="69"/>
        <v>1137.7114568413763</v>
      </c>
      <c r="G262" s="6">
        <f t="shared" si="69"/>
        <v>8.9792816301106466</v>
      </c>
      <c r="H262" s="1">
        <v>0.4</v>
      </c>
      <c r="I262" s="1">
        <v>1.5</v>
      </c>
      <c r="J262" s="1">
        <v>1</v>
      </c>
      <c r="M262" s="1">
        <v>13</v>
      </c>
      <c r="N262" s="6">
        <f t="shared" si="76"/>
        <v>2633.8028877440552</v>
      </c>
      <c r="O262" s="6">
        <f t="shared" si="73"/>
        <v>150399.52336612393</v>
      </c>
      <c r="P262" s="6">
        <f t="shared" si="74"/>
        <v>1346.892244516597</v>
      </c>
      <c r="Q262" s="1">
        <v>0.4</v>
      </c>
      <c r="R262" s="1">
        <v>1.5</v>
      </c>
      <c r="S262" s="1">
        <v>1</v>
      </c>
      <c r="T262" s="1">
        <v>0.8</v>
      </c>
      <c r="U262" s="1">
        <v>10</v>
      </c>
      <c r="V262" s="5">
        <f t="shared" si="75"/>
        <v>2.4999999999999987</v>
      </c>
      <c r="X262" s="1">
        <v>13</v>
      </c>
      <c r="Y262" s="6">
        <f t="shared" si="77"/>
        <v>526.76057754881106</v>
      </c>
      <c r="Z262" s="6">
        <f t="shared" si="78"/>
        <v>16711.058151791549</v>
      </c>
      <c r="AA262" s="6">
        <f t="shared" si="79"/>
        <v>1346.892244516597</v>
      </c>
      <c r="AB262" s="1">
        <f t="shared" si="80"/>
        <v>0.4</v>
      </c>
      <c r="AC262" s="1">
        <f t="shared" si="70"/>
        <v>1.5</v>
      </c>
      <c r="AD262" s="1">
        <f t="shared" si="71"/>
        <v>1</v>
      </c>
      <c r="AE262" s="1">
        <f t="shared" si="81"/>
        <v>10</v>
      </c>
      <c r="AF262" s="36">
        <f t="shared" si="82"/>
        <v>2.4999999999999987</v>
      </c>
    </row>
    <row r="263" spans="4:32" ht="14.25" hidden="1" customHeight="1" outlineLevel="1" x14ac:dyDescent="0.2">
      <c r="D263" s="1">
        <v>14</v>
      </c>
      <c r="E263" s="6">
        <f t="shared" si="72"/>
        <v>27.65493032131258</v>
      </c>
      <c r="F263" s="6">
        <f t="shared" si="69"/>
        <v>1194.5970296834453</v>
      </c>
      <c r="G263" s="6">
        <f t="shared" si="69"/>
        <v>9.4282457116161797</v>
      </c>
      <c r="H263" s="1">
        <v>0.4</v>
      </c>
      <c r="I263" s="1">
        <v>1.5</v>
      </c>
      <c r="J263" s="1">
        <v>1</v>
      </c>
      <c r="M263" s="1">
        <v>14</v>
      </c>
      <c r="N263" s="6">
        <f t="shared" si="76"/>
        <v>2765.4930321312586</v>
      </c>
      <c r="O263" s="6">
        <f t="shared" si="73"/>
        <v>156987.76598162926</v>
      </c>
      <c r="P263" s="6">
        <f t="shared" si="74"/>
        <v>1414.2368567424269</v>
      </c>
      <c r="Q263" s="1">
        <v>0.4</v>
      </c>
      <c r="R263" s="1">
        <v>1.5</v>
      </c>
      <c r="S263" s="1">
        <v>1</v>
      </c>
      <c r="T263" s="1">
        <v>0.8</v>
      </c>
      <c r="U263" s="1">
        <v>10</v>
      </c>
      <c r="V263" s="5">
        <f t="shared" si="75"/>
        <v>2.4999999999999991</v>
      </c>
      <c r="X263" s="1">
        <v>14</v>
      </c>
      <c r="Y263" s="6">
        <f t="shared" si="77"/>
        <v>553.09860642625176</v>
      </c>
      <c r="Z263" s="6">
        <f t="shared" si="78"/>
        <v>17443.085109069918</v>
      </c>
      <c r="AA263" s="6">
        <f t="shared" si="79"/>
        <v>1414.2368567424269</v>
      </c>
      <c r="AB263" s="1">
        <f t="shared" si="80"/>
        <v>0.4</v>
      </c>
      <c r="AC263" s="1">
        <f t="shared" si="70"/>
        <v>1.5</v>
      </c>
      <c r="AD263" s="1">
        <f t="shared" si="71"/>
        <v>1</v>
      </c>
      <c r="AE263" s="1">
        <f t="shared" si="81"/>
        <v>10</v>
      </c>
      <c r="AF263" s="36">
        <f t="shared" si="82"/>
        <v>2.4999999999999991</v>
      </c>
    </row>
    <row r="264" spans="4:32" ht="14.25" hidden="1" customHeight="1" outlineLevel="1" x14ac:dyDescent="0.2">
      <c r="D264" s="1">
        <v>15</v>
      </c>
      <c r="E264" s="6">
        <f t="shared" si="72"/>
        <v>29.037676837378203</v>
      </c>
      <c r="F264" s="6">
        <f t="shared" si="69"/>
        <v>1254.3268811676171</v>
      </c>
      <c r="G264" s="6">
        <f t="shared" si="69"/>
        <v>9.8996579971969858</v>
      </c>
      <c r="H264" s="1">
        <v>0.4</v>
      </c>
      <c r="I264" s="1">
        <v>1.5</v>
      </c>
      <c r="J264" s="1">
        <v>1</v>
      </c>
      <c r="M264" s="1">
        <v>15</v>
      </c>
      <c r="N264" s="6">
        <f t="shared" si="76"/>
        <v>2903.7676837378203</v>
      </c>
      <c r="O264" s="6">
        <f t="shared" si="73"/>
        <v>163822.26607771483</v>
      </c>
      <c r="P264" s="6">
        <f t="shared" si="74"/>
        <v>1484.9486995795478</v>
      </c>
      <c r="Q264" s="1">
        <v>0.4</v>
      </c>
      <c r="R264" s="1">
        <v>1.5</v>
      </c>
      <c r="S264" s="1">
        <v>1</v>
      </c>
      <c r="T264" s="1">
        <v>0.8</v>
      </c>
      <c r="U264" s="1">
        <v>10</v>
      </c>
      <c r="V264" s="5">
        <f t="shared" si="75"/>
        <v>2.4999999999999996</v>
      </c>
      <c r="X264" s="1">
        <v>15</v>
      </c>
      <c r="Y264" s="6">
        <f t="shared" si="77"/>
        <v>580.75353674756411</v>
      </c>
      <c r="Z264" s="6">
        <f t="shared" si="78"/>
        <v>18202.474008634981</v>
      </c>
      <c r="AA264" s="6">
        <f t="shared" si="79"/>
        <v>1484.9486995795478</v>
      </c>
      <c r="AB264" s="1">
        <f t="shared" si="80"/>
        <v>0.4</v>
      </c>
      <c r="AC264" s="1">
        <f t="shared" si="70"/>
        <v>1.5</v>
      </c>
      <c r="AD264" s="1">
        <f t="shared" si="71"/>
        <v>1</v>
      </c>
      <c r="AE264" s="1">
        <f t="shared" si="81"/>
        <v>10</v>
      </c>
      <c r="AF264" s="36">
        <f t="shared" si="82"/>
        <v>2.4999999999999996</v>
      </c>
    </row>
    <row r="265" spans="4:32" ht="14.25" hidden="1" customHeight="1" outlineLevel="1" x14ac:dyDescent="0.2">
      <c r="D265" s="1">
        <v>16</v>
      </c>
      <c r="E265" s="6">
        <f t="shared" si="72"/>
        <v>30.489560679247123</v>
      </c>
      <c r="F265" s="6">
        <f t="shared" si="69"/>
        <v>1317.0432252259984</v>
      </c>
      <c r="G265" s="6">
        <f t="shared" si="69"/>
        <v>10.394640897056838</v>
      </c>
      <c r="H265" s="1">
        <v>0.4</v>
      </c>
      <c r="I265" s="1">
        <v>1.5</v>
      </c>
      <c r="J265" s="1">
        <v>1</v>
      </c>
      <c r="M265" s="1">
        <v>16</v>
      </c>
      <c r="N265" s="6">
        <f t="shared" si="76"/>
        <v>3048.9560679247124</v>
      </c>
      <c r="O265" s="6">
        <f t="shared" si="73"/>
        <v>170908.49699596773</v>
      </c>
      <c r="P265" s="6">
        <f t="shared" si="74"/>
        <v>1559.1961345585257</v>
      </c>
      <c r="Q265" s="1">
        <v>0.4</v>
      </c>
      <c r="R265" s="1">
        <v>1.5</v>
      </c>
      <c r="S265" s="1">
        <v>1</v>
      </c>
      <c r="T265" s="1">
        <v>0.8</v>
      </c>
      <c r="U265" s="1">
        <v>10</v>
      </c>
      <c r="V265" s="5">
        <f t="shared" si="75"/>
        <v>2.4999999999999991</v>
      </c>
      <c r="X265" s="1">
        <v>16</v>
      </c>
      <c r="Y265" s="6">
        <f t="shared" si="77"/>
        <v>609.79121358494251</v>
      </c>
      <c r="Z265" s="6">
        <f t="shared" si="78"/>
        <v>18989.832999551971</v>
      </c>
      <c r="AA265" s="6">
        <f t="shared" si="79"/>
        <v>1559.1961345585257</v>
      </c>
      <c r="AB265" s="1">
        <f t="shared" si="80"/>
        <v>0.4</v>
      </c>
      <c r="AC265" s="1">
        <f t="shared" si="70"/>
        <v>1.5</v>
      </c>
      <c r="AD265" s="1">
        <f t="shared" si="71"/>
        <v>1</v>
      </c>
      <c r="AE265" s="1">
        <f t="shared" si="81"/>
        <v>10</v>
      </c>
      <c r="AF265" s="36">
        <f t="shared" si="82"/>
        <v>2.4999999999999991</v>
      </c>
    </row>
    <row r="266" spans="4:32" ht="14.25" hidden="1" customHeight="1" outlineLevel="1" x14ac:dyDescent="0.2">
      <c r="D266" s="1">
        <v>17</v>
      </c>
      <c r="E266" s="6">
        <f t="shared" si="72"/>
        <v>32.014038713209473</v>
      </c>
      <c r="F266" s="6">
        <f t="shared" si="72"/>
        <v>1382.8953864872983</v>
      </c>
      <c r="G266" s="6">
        <f t="shared" si="72"/>
        <v>10.914372941909679</v>
      </c>
      <c r="H266" s="1">
        <v>0.4</v>
      </c>
      <c r="I266" s="1">
        <v>1.5</v>
      </c>
      <c r="J266" s="1">
        <v>1</v>
      </c>
      <c r="M266" s="1">
        <v>17</v>
      </c>
      <c r="N266" s="6">
        <f t="shared" si="76"/>
        <v>3201.4038713209475</v>
      </c>
      <c r="O266" s="6">
        <f t="shared" si="73"/>
        <v>178251.72148562231</v>
      </c>
      <c r="P266" s="6">
        <f t="shared" si="74"/>
        <v>1637.1559412864519</v>
      </c>
      <c r="Q266" s="1">
        <v>0.4</v>
      </c>
      <c r="R266" s="1">
        <v>1.5</v>
      </c>
      <c r="S266" s="1">
        <v>1</v>
      </c>
      <c r="T266" s="1">
        <v>0.8</v>
      </c>
      <c r="U266" s="1">
        <v>10</v>
      </c>
      <c r="V266" s="5">
        <f t="shared" si="75"/>
        <v>2.4999999999999991</v>
      </c>
      <c r="X266" s="1">
        <v>17</v>
      </c>
      <c r="Y266" s="6">
        <f t="shared" si="77"/>
        <v>640.28077426418952</v>
      </c>
      <c r="Z266" s="6">
        <f t="shared" si="78"/>
        <v>19805.746831735814</v>
      </c>
      <c r="AA266" s="6">
        <f t="shared" si="79"/>
        <v>1637.1559412864519</v>
      </c>
      <c r="AB266" s="1">
        <f t="shared" si="80"/>
        <v>0.4</v>
      </c>
      <c r="AC266" s="1">
        <f t="shared" si="70"/>
        <v>1.5</v>
      </c>
      <c r="AD266" s="1">
        <f t="shared" si="71"/>
        <v>1</v>
      </c>
      <c r="AE266" s="1">
        <f t="shared" si="81"/>
        <v>10</v>
      </c>
      <c r="AF266" s="36">
        <f t="shared" si="82"/>
        <v>2.4999999999999991</v>
      </c>
    </row>
    <row r="267" spans="4:32" ht="14.25" hidden="1" customHeight="1" outlineLevel="1" x14ac:dyDescent="0.2">
      <c r="D267" s="1">
        <v>18</v>
      </c>
      <c r="E267" s="6">
        <f t="shared" si="72"/>
        <v>33.614740648869954</v>
      </c>
      <c r="F267" s="6">
        <f t="shared" si="72"/>
        <v>1452.0401558116635</v>
      </c>
      <c r="G267" s="6">
        <f t="shared" si="72"/>
        <v>11.460091589005167</v>
      </c>
      <c r="H267" s="1">
        <v>0.4</v>
      </c>
      <c r="I267" s="1">
        <v>1.5</v>
      </c>
      <c r="J267" s="1">
        <v>1</v>
      </c>
      <c r="M267" s="1">
        <v>18</v>
      </c>
      <c r="N267" s="6">
        <f t="shared" si="76"/>
        <v>3361.4740648869956</v>
      </c>
      <c r="O267" s="6">
        <f t="shared" si="73"/>
        <v>185856.95710806592</v>
      </c>
      <c r="P267" s="6">
        <f t="shared" si="74"/>
        <v>1719.0137383507749</v>
      </c>
      <c r="Q267" s="1">
        <v>0.4</v>
      </c>
      <c r="R267" s="1">
        <v>1.5</v>
      </c>
      <c r="S267" s="1">
        <v>1</v>
      </c>
      <c r="T267" s="1">
        <v>0.8</v>
      </c>
      <c r="U267" s="1">
        <v>10</v>
      </c>
      <c r="V267" s="5">
        <f t="shared" si="75"/>
        <v>2.4999999999999996</v>
      </c>
      <c r="X267" s="1">
        <v>18</v>
      </c>
      <c r="Y267" s="6">
        <f t="shared" si="77"/>
        <v>672.29481297739915</v>
      </c>
      <c r="Z267" s="6">
        <f t="shared" si="78"/>
        <v>20650.773012007325</v>
      </c>
      <c r="AA267" s="6">
        <f t="shared" si="79"/>
        <v>1719.0137383507749</v>
      </c>
      <c r="AB267" s="1">
        <f t="shared" si="80"/>
        <v>0.4</v>
      </c>
      <c r="AC267" s="1">
        <f t="shared" si="70"/>
        <v>1.5</v>
      </c>
      <c r="AD267" s="1">
        <f t="shared" si="71"/>
        <v>1</v>
      </c>
      <c r="AE267" s="1">
        <f t="shared" si="81"/>
        <v>10</v>
      </c>
      <c r="AF267" s="36">
        <f t="shared" si="82"/>
        <v>2.4999999999999996</v>
      </c>
    </row>
    <row r="268" spans="4:32" ht="14.25" hidden="1" customHeight="1" outlineLevel="1" x14ac:dyDescent="0.2">
      <c r="D268" s="1">
        <v>19</v>
      </c>
      <c r="E268" s="6">
        <f t="shared" si="72"/>
        <v>35.29547768131345</v>
      </c>
      <c r="F268" s="6">
        <f t="shared" si="72"/>
        <v>1524.6421636022465</v>
      </c>
      <c r="G268" s="6">
        <f t="shared" si="72"/>
        <v>12.033096168455424</v>
      </c>
      <c r="H268" s="1">
        <v>0.4</v>
      </c>
      <c r="I268" s="1">
        <v>1.5</v>
      </c>
      <c r="J268" s="1">
        <v>1</v>
      </c>
      <c r="M268" s="1">
        <v>19</v>
      </c>
      <c r="N268" s="6">
        <f t="shared" si="76"/>
        <v>3529.5477681313455</v>
      </c>
      <c r="O268" s="6">
        <f t="shared" si="73"/>
        <v>193728.94004730467</v>
      </c>
      <c r="P268" s="6">
        <f t="shared" si="74"/>
        <v>1804.9644252683136</v>
      </c>
      <c r="Q268" s="1">
        <v>0.4</v>
      </c>
      <c r="R268" s="1">
        <v>1.5</v>
      </c>
      <c r="S268" s="1">
        <v>1</v>
      </c>
      <c r="T268" s="1">
        <v>0.8</v>
      </c>
      <c r="U268" s="1">
        <v>10</v>
      </c>
      <c r="V268" s="5">
        <f t="shared" si="75"/>
        <v>2.4999999999999987</v>
      </c>
      <c r="X268" s="1">
        <v>19</v>
      </c>
      <c r="Y268" s="6">
        <f t="shared" si="77"/>
        <v>705.90955362626914</v>
      </c>
      <c r="Z268" s="6">
        <f t="shared" si="78"/>
        <v>21525.437783033853</v>
      </c>
      <c r="AA268" s="6">
        <f t="shared" si="79"/>
        <v>1804.9644252683136</v>
      </c>
      <c r="AB268" s="1">
        <f t="shared" si="80"/>
        <v>0.4</v>
      </c>
      <c r="AC268" s="1">
        <f t="shared" si="70"/>
        <v>1.5</v>
      </c>
      <c r="AD268" s="1">
        <f t="shared" si="71"/>
        <v>1</v>
      </c>
      <c r="AE268" s="1">
        <f t="shared" si="81"/>
        <v>10</v>
      </c>
      <c r="AF268" s="36">
        <f t="shared" si="82"/>
        <v>2.4999999999999987</v>
      </c>
    </row>
    <row r="269" spans="4:32" ht="14.25" hidden="1" customHeight="1" outlineLevel="1" x14ac:dyDescent="0.2">
      <c r="D269" s="1">
        <v>20</v>
      </c>
      <c r="E269" s="6">
        <f t="shared" si="72"/>
        <v>37.060251565379126</v>
      </c>
      <c r="F269" s="6">
        <f t="shared" si="72"/>
        <v>1600.8742717823588</v>
      </c>
      <c r="G269" s="6">
        <f t="shared" si="72"/>
        <v>12.634750976878195</v>
      </c>
      <c r="H269" s="1">
        <v>0.4</v>
      </c>
      <c r="I269" s="1">
        <v>1.5</v>
      </c>
      <c r="J269" s="1">
        <v>1</v>
      </c>
      <c r="M269" s="1">
        <v>20</v>
      </c>
      <c r="N269" s="6">
        <f t="shared" si="76"/>
        <v>3706.0251565379131</v>
      </c>
      <c r="O269" s="6">
        <f t="shared" si="73"/>
        <v>201872.08745475308</v>
      </c>
      <c r="P269" s="6">
        <f t="shared" si="74"/>
        <v>1895.2126465317292</v>
      </c>
      <c r="Q269" s="1">
        <v>0.4</v>
      </c>
      <c r="R269" s="1">
        <v>1.5</v>
      </c>
      <c r="S269" s="1">
        <v>1</v>
      </c>
      <c r="T269" s="1">
        <v>0.8</v>
      </c>
      <c r="U269" s="1">
        <v>10</v>
      </c>
      <c r="V269" s="5">
        <f t="shared" si="75"/>
        <v>2.4999999999999987</v>
      </c>
      <c r="X269" s="1">
        <v>20</v>
      </c>
      <c r="Y269" s="6">
        <f t="shared" si="77"/>
        <v>741.20503130758266</v>
      </c>
      <c r="Z269" s="6">
        <f t="shared" si="78"/>
        <v>22430.231939417008</v>
      </c>
      <c r="AA269" s="6">
        <f t="shared" si="79"/>
        <v>1895.2126465317292</v>
      </c>
      <c r="AB269" s="1">
        <f t="shared" si="80"/>
        <v>0.4</v>
      </c>
      <c r="AC269" s="1">
        <f t="shared" si="70"/>
        <v>1.5</v>
      </c>
      <c r="AD269" s="1">
        <f t="shared" si="71"/>
        <v>1</v>
      </c>
      <c r="AE269" s="1">
        <f t="shared" si="81"/>
        <v>10</v>
      </c>
      <c r="AF269" s="36">
        <f t="shared" si="82"/>
        <v>2.4999999999999987</v>
      </c>
    </row>
    <row r="270" spans="4:32" ht="14.25" hidden="1" customHeight="1" outlineLevel="1" x14ac:dyDescent="0.2">
      <c r="D270" s="1">
        <v>21</v>
      </c>
      <c r="E270" s="6">
        <f t="shared" si="72"/>
        <v>38.913264143648078</v>
      </c>
      <c r="F270" s="6">
        <f t="shared" si="72"/>
        <v>1680.9179853714768</v>
      </c>
      <c r="G270" s="6">
        <f t="shared" si="72"/>
        <v>13.266488525722105</v>
      </c>
      <c r="H270" s="1">
        <v>0.4</v>
      </c>
      <c r="I270" s="1">
        <v>1.5</v>
      </c>
      <c r="J270" s="1">
        <v>1</v>
      </c>
      <c r="M270" s="1">
        <v>21</v>
      </c>
      <c r="N270" s="6">
        <f t="shared" si="76"/>
        <v>3891.3264143648084</v>
      </c>
      <c r="O270" s="6">
        <f t="shared" si="73"/>
        <v>210290.45848693504</v>
      </c>
      <c r="P270" s="6">
        <f t="shared" si="74"/>
        <v>1989.9732788583158</v>
      </c>
      <c r="Q270" s="1">
        <v>0.4</v>
      </c>
      <c r="R270" s="1">
        <v>1.5</v>
      </c>
      <c r="S270" s="1">
        <v>1</v>
      </c>
      <c r="T270" s="1">
        <v>0.8</v>
      </c>
      <c r="U270" s="1">
        <v>10</v>
      </c>
      <c r="V270" s="5">
        <f t="shared" si="75"/>
        <v>2.4999999999999991</v>
      </c>
      <c r="X270" s="1">
        <v>21</v>
      </c>
      <c r="Y270" s="6">
        <f t="shared" si="77"/>
        <v>778.26528287296173</v>
      </c>
      <c r="Z270" s="6">
        <f t="shared" si="78"/>
        <v>23365.606498548339</v>
      </c>
      <c r="AA270" s="6">
        <f t="shared" si="79"/>
        <v>1989.9732788583158</v>
      </c>
      <c r="AB270" s="1">
        <f t="shared" si="80"/>
        <v>0.4</v>
      </c>
      <c r="AC270" s="1">
        <f t="shared" si="70"/>
        <v>1.5</v>
      </c>
      <c r="AD270" s="1">
        <f t="shared" si="71"/>
        <v>1</v>
      </c>
      <c r="AE270" s="1">
        <f t="shared" si="81"/>
        <v>10</v>
      </c>
      <c r="AF270" s="36">
        <f t="shared" si="82"/>
        <v>2.4999999999999991</v>
      </c>
    </row>
    <row r="271" spans="4:32" ht="14.25" hidden="1" customHeight="1" outlineLevel="1" x14ac:dyDescent="0.2">
      <c r="D271" s="1">
        <v>22</v>
      </c>
      <c r="E271" s="6">
        <f t="shared" si="72"/>
        <v>40.858927350830477</v>
      </c>
      <c r="F271" s="6">
        <f t="shared" si="72"/>
        <v>1764.9638846400505</v>
      </c>
      <c r="G271" s="6">
        <f t="shared" si="72"/>
        <v>13.929812952008209</v>
      </c>
      <c r="H271" s="1">
        <v>0.4</v>
      </c>
      <c r="I271" s="1">
        <v>1.5</v>
      </c>
      <c r="J271" s="1">
        <v>1</v>
      </c>
      <c r="M271" s="1">
        <v>22</v>
      </c>
      <c r="N271" s="6">
        <f t="shared" si="76"/>
        <v>4085.8927350830481</v>
      </c>
      <c r="O271" s="6">
        <f t="shared" si="73"/>
        <v>218987.71422655211</v>
      </c>
      <c r="P271" s="6">
        <f t="shared" si="74"/>
        <v>2089.4719428012313</v>
      </c>
      <c r="Q271" s="1">
        <v>0.4</v>
      </c>
      <c r="R271" s="1">
        <v>1.5</v>
      </c>
      <c r="S271" s="1">
        <v>1</v>
      </c>
      <c r="T271" s="1">
        <v>0.8</v>
      </c>
      <c r="U271" s="1">
        <v>10</v>
      </c>
      <c r="V271" s="5">
        <f t="shared" si="75"/>
        <v>2.4999999999999991</v>
      </c>
      <c r="X271" s="1">
        <v>22</v>
      </c>
      <c r="Y271" s="6">
        <f t="shared" si="77"/>
        <v>817.17854701660963</v>
      </c>
      <c r="Z271" s="6">
        <f t="shared" si="78"/>
        <v>24331.968247394678</v>
      </c>
      <c r="AA271" s="6">
        <f t="shared" si="79"/>
        <v>2089.4719428012313</v>
      </c>
      <c r="AB271" s="1">
        <f t="shared" si="80"/>
        <v>0.4</v>
      </c>
      <c r="AC271" s="1">
        <f t="shared" si="70"/>
        <v>1.5</v>
      </c>
      <c r="AD271" s="1">
        <f t="shared" si="71"/>
        <v>1</v>
      </c>
      <c r="AE271" s="1">
        <f t="shared" si="81"/>
        <v>10</v>
      </c>
      <c r="AF271" s="36">
        <f t="shared" si="82"/>
        <v>2.4999999999999991</v>
      </c>
    </row>
    <row r="272" spans="4:32" ht="14.25" hidden="1" customHeight="1" outlineLevel="1" x14ac:dyDescent="0.2">
      <c r="D272" s="1">
        <v>23</v>
      </c>
      <c r="E272" s="6">
        <f t="shared" si="72"/>
        <v>42.901873718372002</v>
      </c>
      <c r="F272" s="6">
        <f t="shared" si="72"/>
        <v>1853.2120788720529</v>
      </c>
      <c r="G272" s="6">
        <f t="shared" si="72"/>
        <v>14.626303599608619</v>
      </c>
      <c r="H272" s="1">
        <v>0.4</v>
      </c>
      <c r="I272" s="1">
        <v>1.5</v>
      </c>
      <c r="J272" s="1">
        <v>1</v>
      </c>
      <c r="M272" s="1">
        <v>23</v>
      </c>
      <c r="N272" s="6">
        <f t="shared" si="76"/>
        <v>4290.1873718372008</v>
      </c>
      <c r="O272" s="6">
        <f t="shared" si="73"/>
        <v>227967.0767105511</v>
      </c>
      <c r="P272" s="6">
        <f t="shared" si="74"/>
        <v>2193.9455399412927</v>
      </c>
      <c r="Q272" s="1">
        <v>0.4</v>
      </c>
      <c r="R272" s="1">
        <v>1.5</v>
      </c>
      <c r="S272" s="1">
        <v>1</v>
      </c>
      <c r="T272" s="1">
        <v>0.8</v>
      </c>
      <c r="U272" s="1">
        <v>10</v>
      </c>
      <c r="V272" s="5">
        <f t="shared" si="75"/>
        <v>2.4999999999999991</v>
      </c>
      <c r="X272" s="1">
        <v>23</v>
      </c>
      <c r="Y272" s="6">
        <f t="shared" si="77"/>
        <v>858.03747436744015</v>
      </c>
      <c r="Z272" s="6">
        <f t="shared" si="78"/>
        <v>25329.675190061233</v>
      </c>
      <c r="AA272" s="6">
        <f t="shared" si="79"/>
        <v>2193.9455399412927</v>
      </c>
      <c r="AB272" s="1">
        <f t="shared" si="80"/>
        <v>0.4</v>
      </c>
      <c r="AC272" s="1">
        <f t="shared" si="70"/>
        <v>1.5</v>
      </c>
      <c r="AD272" s="1">
        <f t="shared" si="71"/>
        <v>1</v>
      </c>
      <c r="AE272" s="1">
        <f t="shared" si="81"/>
        <v>10</v>
      </c>
      <c r="AF272" s="36">
        <f t="shared" si="82"/>
        <v>2.4999999999999991</v>
      </c>
    </row>
    <row r="273" spans="4:32" ht="14.25" hidden="1" customHeight="1" outlineLevel="1" x14ac:dyDescent="0.2">
      <c r="D273" s="1">
        <v>24</v>
      </c>
      <c r="E273" s="6">
        <f t="shared" si="72"/>
        <v>45.046967404290612</v>
      </c>
      <c r="F273" s="6">
        <f t="shared" si="72"/>
        <v>1945.8726828156559</v>
      </c>
      <c r="G273" s="6">
        <f t="shared" si="72"/>
        <v>15.357618779589053</v>
      </c>
      <c r="H273" s="1">
        <v>0.4</v>
      </c>
      <c r="I273" s="1">
        <v>1.5</v>
      </c>
      <c r="J273" s="1">
        <v>1</v>
      </c>
      <c r="M273" s="1">
        <v>24</v>
      </c>
      <c r="N273" s="6">
        <f t="shared" si="76"/>
        <v>4504.6967404290617</v>
      </c>
      <c r="O273" s="6">
        <f t="shared" si="73"/>
        <v>237231.28732290369</v>
      </c>
      <c r="P273" s="6">
        <f t="shared" si="74"/>
        <v>2303.642816938358</v>
      </c>
      <c r="Q273" s="1">
        <v>0.4</v>
      </c>
      <c r="R273" s="1">
        <v>1.5</v>
      </c>
      <c r="S273" s="1">
        <v>1</v>
      </c>
      <c r="T273" s="1">
        <v>0.8</v>
      </c>
      <c r="U273" s="1">
        <v>10</v>
      </c>
      <c r="V273" s="5">
        <f t="shared" si="75"/>
        <v>2.4999999999999991</v>
      </c>
      <c r="X273" s="1">
        <v>24</v>
      </c>
      <c r="Y273" s="6">
        <f t="shared" si="77"/>
        <v>900.9393480858123</v>
      </c>
      <c r="Z273" s="6">
        <f t="shared" si="78"/>
        <v>26359.031924767078</v>
      </c>
      <c r="AA273" s="6">
        <f t="shared" si="79"/>
        <v>2303.642816938358</v>
      </c>
      <c r="AB273" s="1">
        <f t="shared" si="80"/>
        <v>0.4</v>
      </c>
      <c r="AC273" s="1">
        <f t="shared" si="70"/>
        <v>1.5</v>
      </c>
      <c r="AD273" s="1">
        <f t="shared" si="71"/>
        <v>1</v>
      </c>
      <c r="AE273" s="1">
        <f t="shared" si="81"/>
        <v>10</v>
      </c>
      <c r="AF273" s="36">
        <f t="shared" si="82"/>
        <v>2.4999999999999991</v>
      </c>
    </row>
    <row r="274" spans="4:32" ht="14.25" hidden="1" customHeight="1" outlineLevel="1" x14ac:dyDescent="0.2">
      <c r="D274" s="1">
        <v>25</v>
      </c>
      <c r="E274" s="6">
        <f t="shared" si="72"/>
        <v>47.299315774505132</v>
      </c>
      <c r="F274" s="6">
        <f t="shared" si="72"/>
        <v>2043.1663169564385</v>
      </c>
      <c r="G274" s="6">
        <f t="shared" si="72"/>
        <v>16.125499718568502</v>
      </c>
      <c r="H274" s="1">
        <v>0.4</v>
      </c>
      <c r="I274" s="1">
        <v>1.5</v>
      </c>
      <c r="J274" s="1">
        <v>1</v>
      </c>
      <c r="M274" s="1">
        <v>25</v>
      </c>
      <c r="N274" s="6">
        <f t="shared" si="76"/>
        <v>4729.9315774505139</v>
      </c>
      <c r="O274" s="6">
        <f t="shared" si="73"/>
        <v>246782.56484430016</v>
      </c>
      <c r="P274" s="6">
        <f t="shared" si="74"/>
        <v>2418.8249577852753</v>
      </c>
      <c r="Q274" s="1">
        <v>0.4</v>
      </c>
      <c r="R274" s="1">
        <v>1.5</v>
      </c>
      <c r="S274" s="1">
        <v>1</v>
      </c>
      <c r="T274" s="1">
        <v>0.8</v>
      </c>
      <c r="U274" s="1">
        <v>10</v>
      </c>
      <c r="V274" s="5">
        <f t="shared" si="75"/>
        <v>2.4999999999999987</v>
      </c>
      <c r="X274" s="1">
        <v>25</v>
      </c>
      <c r="Y274" s="6">
        <f t="shared" si="77"/>
        <v>945.98631549010281</v>
      </c>
      <c r="Z274" s="6">
        <f t="shared" si="78"/>
        <v>27420.284982700017</v>
      </c>
      <c r="AA274" s="6">
        <f t="shared" si="79"/>
        <v>2418.8249577852753</v>
      </c>
      <c r="AB274" s="1">
        <f t="shared" si="80"/>
        <v>0.4</v>
      </c>
      <c r="AC274" s="1">
        <f t="shared" si="70"/>
        <v>1.5</v>
      </c>
      <c r="AD274" s="1">
        <f t="shared" si="71"/>
        <v>1</v>
      </c>
      <c r="AE274" s="1">
        <f t="shared" si="81"/>
        <v>10</v>
      </c>
      <c r="AF274" s="36">
        <f t="shared" si="82"/>
        <v>2.4999999999999987</v>
      </c>
    </row>
    <row r="275" spans="4:32" ht="14.25" hidden="1" customHeight="1" outlineLevel="1" x14ac:dyDescent="0.2">
      <c r="D275" s="1">
        <v>26</v>
      </c>
      <c r="E275" s="6">
        <f t="shared" si="72"/>
        <v>49.664281563230396</v>
      </c>
      <c r="F275" s="6">
        <f t="shared" si="72"/>
        <v>2145.3246328042605</v>
      </c>
      <c r="G275" s="6">
        <f t="shared" si="72"/>
        <v>16.931774704496931</v>
      </c>
      <c r="H275" s="1">
        <v>0.4</v>
      </c>
      <c r="I275" s="1">
        <v>1.5</v>
      </c>
      <c r="J275" s="1">
        <v>1</v>
      </c>
      <c r="M275" s="1">
        <v>26</v>
      </c>
      <c r="N275" s="6">
        <f t="shared" si="76"/>
        <v>4966.4281563230406</v>
      </c>
      <c r="O275" s="6">
        <f t="shared" si="73"/>
        <v>256622.56348528859</v>
      </c>
      <c r="P275" s="6">
        <f t="shared" si="74"/>
        <v>2539.7662056745398</v>
      </c>
      <c r="Q275" s="1">
        <v>0.4</v>
      </c>
      <c r="R275" s="1">
        <v>1.5</v>
      </c>
      <c r="S275" s="1">
        <v>1</v>
      </c>
      <c r="T275" s="1">
        <v>0.8</v>
      </c>
      <c r="U275" s="1">
        <v>10</v>
      </c>
      <c r="V275" s="5">
        <f t="shared" si="75"/>
        <v>2.4999999999999987</v>
      </c>
      <c r="X275" s="1">
        <v>26</v>
      </c>
      <c r="Y275" s="6">
        <f t="shared" si="77"/>
        <v>993.28563126460813</v>
      </c>
      <c r="Z275" s="6">
        <f t="shared" si="78"/>
        <v>28513.618165032065</v>
      </c>
      <c r="AA275" s="6">
        <f t="shared" si="79"/>
        <v>2539.7662056745398</v>
      </c>
      <c r="AB275" s="1">
        <f t="shared" si="80"/>
        <v>0.4</v>
      </c>
      <c r="AC275" s="1">
        <f t="shared" si="70"/>
        <v>1.5</v>
      </c>
      <c r="AD275" s="1">
        <f t="shared" si="71"/>
        <v>1</v>
      </c>
      <c r="AE275" s="1">
        <f t="shared" si="81"/>
        <v>10</v>
      </c>
      <c r="AF275" s="36">
        <f t="shared" si="82"/>
        <v>2.4999999999999987</v>
      </c>
    </row>
    <row r="276" spans="4:32" ht="14.25" hidden="1" customHeight="1" outlineLevel="1" x14ac:dyDescent="0.2">
      <c r="D276" s="1">
        <v>27</v>
      </c>
      <c r="E276" s="6">
        <f t="shared" si="72"/>
        <v>52.147495641391913</v>
      </c>
      <c r="F276" s="6">
        <f t="shared" si="72"/>
        <v>2252.5908644444735</v>
      </c>
      <c r="G276" s="6">
        <f t="shared" si="72"/>
        <v>17.778363439721776</v>
      </c>
      <c r="H276" s="1">
        <v>0.4</v>
      </c>
      <c r="I276" s="1">
        <v>1.5</v>
      </c>
      <c r="J276" s="1">
        <v>1</v>
      </c>
      <c r="M276" s="1">
        <v>27</v>
      </c>
      <c r="N276" s="6">
        <f t="shared" si="76"/>
        <v>5214.7495641391915</v>
      </c>
      <c r="O276" s="6">
        <f t="shared" si="73"/>
        <v>266752.33126289811</v>
      </c>
      <c r="P276" s="6">
        <f t="shared" si="74"/>
        <v>2666.7545159582664</v>
      </c>
      <c r="Q276" s="1">
        <v>0.4</v>
      </c>
      <c r="R276" s="1">
        <v>1.5</v>
      </c>
      <c r="S276" s="1">
        <v>1</v>
      </c>
      <c r="T276" s="1">
        <v>0.8</v>
      </c>
      <c r="U276" s="1">
        <v>10</v>
      </c>
      <c r="V276" s="5">
        <f t="shared" si="75"/>
        <v>2.4999999999999991</v>
      </c>
      <c r="X276" s="1">
        <v>27</v>
      </c>
      <c r="Y276" s="6">
        <f t="shared" si="77"/>
        <v>1042.9499128278383</v>
      </c>
      <c r="Z276" s="6">
        <f t="shared" si="78"/>
        <v>29639.147918099789</v>
      </c>
      <c r="AA276" s="6">
        <f t="shared" si="79"/>
        <v>2666.7545159582664</v>
      </c>
      <c r="AB276" s="1">
        <f t="shared" si="80"/>
        <v>0.4</v>
      </c>
      <c r="AC276" s="1">
        <f t="shared" si="70"/>
        <v>1.5</v>
      </c>
      <c r="AD276" s="1">
        <f t="shared" si="71"/>
        <v>1</v>
      </c>
      <c r="AE276" s="1">
        <f t="shared" si="81"/>
        <v>10</v>
      </c>
      <c r="AF276" s="36">
        <f t="shared" si="82"/>
        <v>2.4999999999999991</v>
      </c>
    </row>
    <row r="277" spans="4:32" ht="14.25" hidden="1" customHeight="1" outlineLevel="1" x14ac:dyDescent="0.2">
      <c r="D277" s="1">
        <v>28</v>
      </c>
      <c r="E277" s="6">
        <f t="shared" si="72"/>
        <v>54.754870423461519</v>
      </c>
      <c r="F277" s="6">
        <f t="shared" si="72"/>
        <v>2365.2204076666976</v>
      </c>
      <c r="G277" s="6">
        <f t="shared" si="72"/>
        <v>18.667281611707867</v>
      </c>
      <c r="H277" s="1">
        <v>0.4</v>
      </c>
      <c r="I277" s="1">
        <v>1.5</v>
      </c>
      <c r="J277" s="1">
        <v>1</v>
      </c>
      <c r="M277" s="1">
        <v>28</v>
      </c>
      <c r="N277" s="6">
        <f t="shared" si="76"/>
        <v>5475.4870423461525</v>
      </c>
      <c r="O277" s="6">
        <f t="shared" si="73"/>
        <v>277172.26911274833</v>
      </c>
      <c r="P277" s="6">
        <f t="shared" si="74"/>
        <v>2800.0922417561801</v>
      </c>
      <c r="Q277" s="1">
        <v>0.4</v>
      </c>
      <c r="R277" s="1">
        <v>1.5</v>
      </c>
      <c r="S277" s="1">
        <v>1</v>
      </c>
      <c r="T277" s="1">
        <v>0.8</v>
      </c>
      <c r="U277" s="1">
        <v>10</v>
      </c>
      <c r="V277" s="5">
        <f t="shared" si="75"/>
        <v>2.4999999999999987</v>
      </c>
      <c r="X277" s="1">
        <v>28</v>
      </c>
      <c r="Y277" s="6">
        <f t="shared" si="77"/>
        <v>1095.0974084692305</v>
      </c>
      <c r="Z277" s="6">
        <f t="shared" si="78"/>
        <v>30796.918790305368</v>
      </c>
      <c r="AA277" s="6">
        <f t="shared" si="79"/>
        <v>2800.0922417561801</v>
      </c>
      <c r="AB277" s="1">
        <f t="shared" si="80"/>
        <v>0.4</v>
      </c>
      <c r="AC277" s="1">
        <f t="shared" si="70"/>
        <v>1.5</v>
      </c>
      <c r="AD277" s="1">
        <f t="shared" si="71"/>
        <v>1</v>
      </c>
      <c r="AE277" s="1">
        <f t="shared" si="81"/>
        <v>10</v>
      </c>
      <c r="AF277" s="36">
        <f t="shared" si="82"/>
        <v>2.4999999999999987</v>
      </c>
    </row>
    <row r="278" spans="4:32" ht="14.25" hidden="1" customHeight="1" outlineLevel="1" x14ac:dyDescent="0.2">
      <c r="D278" s="1">
        <v>29</v>
      </c>
      <c r="E278" s="6">
        <f t="shared" si="72"/>
        <v>57.492613944634584</v>
      </c>
      <c r="F278" s="6">
        <f t="shared" si="72"/>
        <v>2483.4814280500318</v>
      </c>
      <c r="G278" s="6">
        <f t="shared" si="72"/>
        <v>19.600645692293256</v>
      </c>
      <c r="H278" s="1">
        <v>0.4</v>
      </c>
      <c r="I278" s="1">
        <v>1.5</v>
      </c>
      <c r="J278" s="1">
        <v>1</v>
      </c>
      <c r="M278" s="1">
        <v>29</v>
      </c>
      <c r="N278" s="6">
        <f t="shared" si="76"/>
        <v>5749.2613944634595</v>
      </c>
      <c r="O278" s="6">
        <f t="shared" si="73"/>
        <v>287882.09115826152</v>
      </c>
      <c r="P278" s="6">
        <f t="shared" si="74"/>
        <v>2940.0968538439884</v>
      </c>
      <c r="Q278" s="1">
        <v>0.4</v>
      </c>
      <c r="R278" s="1">
        <v>1.5</v>
      </c>
      <c r="S278" s="1">
        <v>1</v>
      </c>
      <c r="T278" s="1">
        <v>0.8</v>
      </c>
      <c r="U278" s="1">
        <v>10</v>
      </c>
      <c r="V278" s="5">
        <f t="shared" si="75"/>
        <v>2.4999999999999991</v>
      </c>
      <c r="X278" s="1">
        <v>29</v>
      </c>
      <c r="Y278" s="6">
        <f t="shared" si="77"/>
        <v>1149.8522788926919</v>
      </c>
      <c r="Z278" s="6">
        <f t="shared" si="78"/>
        <v>31986.899017584612</v>
      </c>
      <c r="AA278" s="6">
        <f t="shared" si="79"/>
        <v>2940.0968538439884</v>
      </c>
      <c r="AB278" s="1">
        <f t="shared" si="80"/>
        <v>0.4</v>
      </c>
      <c r="AC278" s="1">
        <f t="shared" si="70"/>
        <v>1.5</v>
      </c>
      <c r="AD278" s="1">
        <f t="shared" si="71"/>
        <v>1</v>
      </c>
      <c r="AE278" s="1">
        <f t="shared" si="81"/>
        <v>10</v>
      </c>
      <c r="AF278" s="36">
        <f t="shared" si="82"/>
        <v>2.4999999999999991</v>
      </c>
    </row>
    <row r="279" spans="4:32" ht="14.25" hidden="1" customHeight="1" outlineLevel="1" x14ac:dyDescent="0.2">
      <c r="D279" s="1">
        <v>30</v>
      </c>
      <c r="E279" s="6">
        <f t="shared" si="72"/>
        <v>60.367244641866321</v>
      </c>
      <c r="F279" s="6">
        <f t="shared" si="72"/>
        <v>2607.6554994525341</v>
      </c>
      <c r="G279" s="6">
        <f t="shared" si="72"/>
        <v>20.580677976907925</v>
      </c>
      <c r="H279" s="1">
        <v>0.4</v>
      </c>
      <c r="I279" s="1">
        <v>1.5</v>
      </c>
      <c r="J279" s="1">
        <v>1</v>
      </c>
      <c r="M279" s="1">
        <v>30</v>
      </c>
      <c r="N279" s="6">
        <f t="shared" si="76"/>
        <v>6036.7244641866328</v>
      </c>
      <c r="O279" s="6">
        <f t="shared" si="73"/>
        <v>298880.78658501356</v>
      </c>
      <c r="P279" s="6">
        <f t="shared" si="74"/>
        <v>3087.1016965361887</v>
      </c>
      <c r="Q279" s="1">
        <v>0.4</v>
      </c>
      <c r="R279" s="1">
        <v>1.5</v>
      </c>
      <c r="S279" s="1">
        <v>1</v>
      </c>
      <c r="T279" s="1">
        <v>0.8</v>
      </c>
      <c r="U279" s="1">
        <v>10</v>
      </c>
      <c r="V279" s="5">
        <f t="shared" si="75"/>
        <v>2.4999999999999991</v>
      </c>
      <c r="X279" s="1">
        <v>30</v>
      </c>
      <c r="Y279" s="6">
        <f t="shared" si="77"/>
        <v>1207.3448928373266</v>
      </c>
      <c r="Z279" s="6">
        <f t="shared" si="78"/>
        <v>33208.976287223726</v>
      </c>
      <c r="AA279" s="6">
        <f t="shared" si="79"/>
        <v>3087.1016965361887</v>
      </c>
      <c r="AB279" s="1">
        <f t="shared" si="80"/>
        <v>0.4</v>
      </c>
      <c r="AC279" s="1">
        <f t="shared" si="70"/>
        <v>1.5</v>
      </c>
      <c r="AD279" s="1">
        <f t="shared" si="71"/>
        <v>1</v>
      </c>
      <c r="AE279" s="1">
        <f t="shared" si="81"/>
        <v>10</v>
      </c>
      <c r="AF279" s="36">
        <f t="shared" si="82"/>
        <v>2.4999999999999991</v>
      </c>
    </row>
    <row r="280" spans="4:32" ht="14.25" hidden="1" customHeight="1" outlineLevel="1" x14ac:dyDescent="0.2">
      <c r="D280" s="1">
        <v>31</v>
      </c>
      <c r="E280" s="6">
        <f t="shared" si="72"/>
        <v>63.385606873959617</v>
      </c>
      <c r="F280" s="6">
        <f t="shared" si="72"/>
        <v>2738.0382744251597</v>
      </c>
      <c r="G280" s="6">
        <f t="shared" si="72"/>
        <v>21.609711875753312</v>
      </c>
      <c r="H280" s="1">
        <v>0.4</v>
      </c>
      <c r="I280" s="1">
        <v>1.5</v>
      </c>
      <c r="J280" s="1">
        <v>1</v>
      </c>
      <c r="M280" s="1">
        <v>31</v>
      </c>
      <c r="N280" s="6">
        <f t="shared" si="76"/>
        <v>6338.5606873959614</v>
      </c>
      <c r="O280" s="6">
        <f t="shared" si="73"/>
        <v>310166.58359058457</v>
      </c>
      <c r="P280" s="6">
        <f t="shared" si="74"/>
        <v>3241.4567813629969</v>
      </c>
      <c r="Q280" s="1">
        <v>0.4</v>
      </c>
      <c r="R280" s="1">
        <v>1.5</v>
      </c>
      <c r="S280" s="1">
        <v>1</v>
      </c>
      <c r="T280" s="1">
        <v>0.8</v>
      </c>
      <c r="U280" s="1">
        <v>10</v>
      </c>
      <c r="V280" s="5">
        <f t="shared" si="75"/>
        <v>2.4999999999999996</v>
      </c>
      <c r="X280" s="1">
        <v>31</v>
      </c>
      <c r="Y280" s="6">
        <f t="shared" si="77"/>
        <v>1267.7121374791923</v>
      </c>
      <c r="Z280" s="6">
        <f t="shared" si="78"/>
        <v>34462.953732287177</v>
      </c>
      <c r="AA280" s="6">
        <f t="shared" si="79"/>
        <v>3241.4567813629969</v>
      </c>
      <c r="AB280" s="1">
        <f t="shared" si="80"/>
        <v>0.4</v>
      </c>
      <c r="AC280" s="1">
        <f t="shared" si="70"/>
        <v>1.5</v>
      </c>
      <c r="AD280" s="1">
        <f t="shared" si="71"/>
        <v>1</v>
      </c>
      <c r="AE280" s="1">
        <f t="shared" si="81"/>
        <v>10</v>
      </c>
      <c r="AF280" s="36">
        <f t="shared" si="82"/>
        <v>2.4999999999999996</v>
      </c>
    </row>
    <row r="281" spans="4:32" ht="14.25" hidden="1" customHeight="1" outlineLevel="1" x14ac:dyDescent="0.2">
      <c r="D281" s="1">
        <v>32</v>
      </c>
      <c r="E281" s="6">
        <f t="shared" si="72"/>
        <v>66.554887217657623</v>
      </c>
      <c r="F281" s="6">
        <f t="shared" si="72"/>
        <v>2874.9401881464191</v>
      </c>
      <c r="G281" s="6">
        <f t="shared" si="72"/>
        <v>22.690197469540987</v>
      </c>
      <c r="H281" s="1">
        <v>0.4</v>
      </c>
      <c r="I281" s="1">
        <v>1.5</v>
      </c>
      <c r="J281" s="1">
        <v>1</v>
      </c>
      <c r="M281" s="1">
        <v>32</v>
      </c>
      <c r="N281" s="6">
        <f t="shared" si="76"/>
        <v>6655.4887217657633</v>
      </c>
      <c r="O281" s="6">
        <f t="shared" si="73"/>
        <v>321736.91589759866</v>
      </c>
      <c r="P281" s="6">
        <f t="shared" si="74"/>
        <v>3403.529620431148</v>
      </c>
      <c r="Q281" s="1">
        <v>0.4</v>
      </c>
      <c r="R281" s="1">
        <v>1.5</v>
      </c>
      <c r="S281" s="1">
        <v>1</v>
      </c>
      <c r="T281" s="1">
        <v>0.8</v>
      </c>
      <c r="U281" s="1">
        <v>10</v>
      </c>
      <c r="V281" s="5">
        <f t="shared" si="75"/>
        <v>2.4999999999999987</v>
      </c>
      <c r="X281" s="1">
        <v>32</v>
      </c>
      <c r="Y281" s="6">
        <f t="shared" si="77"/>
        <v>1331.0977443531526</v>
      </c>
      <c r="Z281" s="6">
        <f t="shared" si="78"/>
        <v>35748.546210844295</v>
      </c>
      <c r="AA281" s="6">
        <f t="shared" si="79"/>
        <v>3403.529620431148</v>
      </c>
      <c r="AB281" s="1">
        <f t="shared" si="80"/>
        <v>0.4</v>
      </c>
      <c r="AC281" s="1">
        <f t="shared" si="70"/>
        <v>1.5</v>
      </c>
      <c r="AD281" s="1">
        <f t="shared" si="71"/>
        <v>1</v>
      </c>
      <c r="AE281" s="1">
        <f t="shared" si="81"/>
        <v>10</v>
      </c>
      <c r="AF281" s="36">
        <f t="shared" si="82"/>
        <v>2.4999999999999987</v>
      </c>
    </row>
    <row r="282" spans="4:32" ht="14.25" hidden="1" customHeight="1" outlineLevel="1" x14ac:dyDescent="0.2">
      <c r="D282" s="1">
        <v>33</v>
      </c>
      <c r="E282" s="6">
        <f t="shared" si="72"/>
        <v>69.882631578540497</v>
      </c>
      <c r="F282" s="6">
        <f t="shared" si="72"/>
        <v>3018.6871975537397</v>
      </c>
      <c r="G282" s="6">
        <f t="shared" si="72"/>
        <v>23.824707343018034</v>
      </c>
      <c r="H282" s="1">
        <v>0.4</v>
      </c>
      <c r="I282" s="1">
        <v>1.5</v>
      </c>
      <c r="J282" s="1">
        <v>1</v>
      </c>
      <c r="M282" s="1">
        <v>33</v>
      </c>
      <c r="N282" s="6">
        <f t="shared" si="76"/>
        <v>6988.2631578540504</v>
      </c>
      <c r="O282" s="6">
        <f t="shared" si="73"/>
        <v>333588.39232904889</v>
      </c>
      <c r="P282" s="6">
        <f t="shared" si="74"/>
        <v>3573.7061014527048</v>
      </c>
      <c r="Q282" s="1">
        <v>0.4</v>
      </c>
      <c r="R282" s="1">
        <v>1.5</v>
      </c>
      <c r="S282" s="1">
        <v>1</v>
      </c>
      <c r="T282" s="1">
        <v>0.8</v>
      </c>
      <c r="U282" s="1">
        <v>10</v>
      </c>
      <c r="V282" s="5">
        <f t="shared" si="75"/>
        <v>2.4999999999999996</v>
      </c>
      <c r="X282" s="1">
        <v>33</v>
      </c>
      <c r="Y282" s="6">
        <f t="shared" si="77"/>
        <v>1397.6526315708102</v>
      </c>
      <c r="Z282" s="6">
        <f t="shared" si="78"/>
        <v>37065.376925449877</v>
      </c>
      <c r="AA282" s="6">
        <f t="shared" si="79"/>
        <v>3573.7061014527048</v>
      </c>
      <c r="AB282" s="1">
        <f t="shared" si="80"/>
        <v>0.4</v>
      </c>
      <c r="AC282" s="1">
        <f t="shared" si="70"/>
        <v>1.5</v>
      </c>
      <c r="AD282" s="1">
        <f t="shared" si="71"/>
        <v>1</v>
      </c>
      <c r="AE282" s="1">
        <f t="shared" si="81"/>
        <v>10</v>
      </c>
      <c r="AF282" s="36">
        <f t="shared" si="82"/>
        <v>2.4999999999999996</v>
      </c>
    </row>
    <row r="283" spans="4:32" ht="14.25" hidden="1" customHeight="1" outlineLevel="1" x14ac:dyDescent="0.2">
      <c r="D283" s="1">
        <v>34</v>
      </c>
      <c r="E283" s="6">
        <f t="shared" ref="E283:G314" si="83">E$247*E$248^($D283-1)</f>
        <v>73.376763157467522</v>
      </c>
      <c r="F283" s="6">
        <f t="shared" si="83"/>
        <v>3169.6215574314269</v>
      </c>
      <c r="G283" s="6">
        <f t="shared" si="83"/>
        <v>25.015942710168936</v>
      </c>
      <c r="H283" s="1">
        <v>0.4</v>
      </c>
      <c r="I283" s="1">
        <v>1.5</v>
      </c>
      <c r="J283" s="1">
        <v>1</v>
      </c>
      <c r="M283" s="1">
        <v>34</v>
      </c>
      <c r="N283" s="6">
        <f t="shared" si="76"/>
        <v>7337.6763157467531</v>
      </c>
      <c r="O283" s="6">
        <f t="shared" si="73"/>
        <v>345716.76994964102</v>
      </c>
      <c r="P283" s="6">
        <f t="shared" si="74"/>
        <v>3752.3914065253402</v>
      </c>
      <c r="Q283" s="1">
        <v>0.4</v>
      </c>
      <c r="R283" s="1">
        <v>1.5</v>
      </c>
      <c r="S283" s="1">
        <v>1</v>
      </c>
      <c r="T283" s="1">
        <v>0.8</v>
      </c>
      <c r="U283" s="1">
        <v>10</v>
      </c>
      <c r="V283" s="5">
        <f t="shared" si="75"/>
        <v>2.4999999999999996</v>
      </c>
      <c r="X283" s="1">
        <v>34</v>
      </c>
      <c r="Y283" s="6">
        <f t="shared" si="77"/>
        <v>1467.5352631493506</v>
      </c>
      <c r="Z283" s="6">
        <f t="shared" si="78"/>
        <v>38412.974438849</v>
      </c>
      <c r="AA283" s="6">
        <f t="shared" si="79"/>
        <v>3752.3914065253402</v>
      </c>
      <c r="AB283" s="1">
        <f t="shared" si="80"/>
        <v>0.4</v>
      </c>
      <c r="AC283" s="1">
        <f t="shared" si="70"/>
        <v>1.5</v>
      </c>
      <c r="AD283" s="1">
        <f t="shared" si="71"/>
        <v>1</v>
      </c>
      <c r="AE283" s="1">
        <f t="shared" si="81"/>
        <v>10</v>
      </c>
      <c r="AF283" s="36">
        <f t="shared" si="82"/>
        <v>2.4999999999999996</v>
      </c>
    </row>
    <row r="284" spans="4:32" ht="14.25" hidden="1" customHeight="1" outlineLevel="1" x14ac:dyDescent="0.2">
      <c r="D284" s="1">
        <v>35</v>
      </c>
      <c r="E284" s="6">
        <f t="shared" si="83"/>
        <v>77.045601315340903</v>
      </c>
      <c r="F284" s="6">
        <f t="shared" si="83"/>
        <v>3328.1026353029979</v>
      </c>
      <c r="G284" s="6">
        <f t="shared" si="83"/>
        <v>26.266739845677382</v>
      </c>
      <c r="H284" s="1">
        <v>0.4</v>
      </c>
      <c r="I284" s="1">
        <v>1.5</v>
      </c>
      <c r="J284" s="1">
        <v>1</v>
      </c>
      <c r="M284" s="1">
        <v>35</v>
      </c>
      <c r="N284" s="6">
        <f t="shared" si="76"/>
        <v>7704.5601315340919</v>
      </c>
      <c r="O284" s="6">
        <f t="shared" si="73"/>
        <v>358116.93127389415</v>
      </c>
      <c r="P284" s="6">
        <f t="shared" si="74"/>
        <v>3940.0109768516072</v>
      </c>
      <c r="Q284" s="1">
        <v>0.4</v>
      </c>
      <c r="R284" s="1">
        <v>1.5</v>
      </c>
      <c r="S284" s="1">
        <v>1</v>
      </c>
      <c r="T284" s="1">
        <v>0.8</v>
      </c>
      <c r="U284" s="1">
        <v>10</v>
      </c>
      <c r="V284" s="5">
        <f t="shared" si="75"/>
        <v>2.4999999999999991</v>
      </c>
      <c r="X284" s="1">
        <v>35</v>
      </c>
      <c r="Y284" s="6">
        <f t="shared" si="77"/>
        <v>1540.9120263068185</v>
      </c>
      <c r="Z284" s="6">
        <f t="shared" si="78"/>
        <v>39790.770141543791</v>
      </c>
      <c r="AA284" s="6">
        <f t="shared" si="79"/>
        <v>3940.0109768516072</v>
      </c>
      <c r="AB284" s="1">
        <f t="shared" si="80"/>
        <v>0.4</v>
      </c>
      <c r="AC284" s="1">
        <f t="shared" si="70"/>
        <v>1.5</v>
      </c>
      <c r="AD284" s="1">
        <f t="shared" si="71"/>
        <v>1</v>
      </c>
      <c r="AE284" s="1">
        <f t="shared" si="81"/>
        <v>10</v>
      </c>
      <c r="AF284" s="36">
        <f t="shared" si="82"/>
        <v>2.4999999999999991</v>
      </c>
    </row>
    <row r="285" spans="4:32" ht="14.25" hidden="1" customHeight="1" outlineLevel="1" x14ac:dyDescent="0.2">
      <c r="D285" s="1">
        <v>36</v>
      </c>
      <c r="E285" s="6">
        <f t="shared" si="83"/>
        <v>80.897881381107965</v>
      </c>
      <c r="F285" s="6">
        <f t="shared" si="83"/>
        <v>3494.5077670681485</v>
      </c>
      <c r="G285" s="6">
        <f t="shared" si="83"/>
        <v>27.580076837961258</v>
      </c>
      <c r="H285" s="1">
        <v>0.4</v>
      </c>
      <c r="I285" s="1">
        <v>1.5</v>
      </c>
      <c r="J285" s="1">
        <v>1</v>
      </c>
      <c r="M285" s="1">
        <v>36</v>
      </c>
      <c r="N285" s="6">
        <f t="shared" si="76"/>
        <v>8089.7881381107973</v>
      </c>
      <c r="O285" s="6">
        <f t="shared" si="73"/>
        <v>370782.8660304377</v>
      </c>
      <c r="P285" s="6">
        <f t="shared" si="74"/>
        <v>4137.011525694189</v>
      </c>
      <c r="Q285" s="1">
        <v>0.4</v>
      </c>
      <c r="R285" s="1">
        <v>1.5</v>
      </c>
      <c r="S285" s="1">
        <v>1</v>
      </c>
      <c r="T285" s="1">
        <v>0.8</v>
      </c>
      <c r="U285" s="1">
        <v>10</v>
      </c>
      <c r="V285" s="5">
        <f t="shared" si="75"/>
        <v>2.4999999999999991</v>
      </c>
      <c r="X285" s="1">
        <v>36</v>
      </c>
      <c r="Y285" s="6">
        <f t="shared" si="77"/>
        <v>1617.9576276221594</v>
      </c>
      <c r="Z285" s="6">
        <f t="shared" si="78"/>
        <v>41198.096225604189</v>
      </c>
      <c r="AA285" s="6">
        <f t="shared" si="79"/>
        <v>4137.011525694189</v>
      </c>
      <c r="AB285" s="1">
        <f t="shared" si="80"/>
        <v>0.4</v>
      </c>
      <c r="AC285" s="1">
        <f t="shared" si="70"/>
        <v>1.5</v>
      </c>
      <c r="AD285" s="1">
        <f t="shared" si="71"/>
        <v>1</v>
      </c>
      <c r="AE285" s="1">
        <f t="shared" si="81"/>
        <v>10</v>
      </c>
      <c r="AF285" s="36">
        <f t="shared" si="82"/>
        <v>2.4999999999999991</v>
      </c>
    </row>
    <row r="286" spans="4:32" ht="14.25" hidden="1" customHeight="1" outlineLevel="1" x14ac:dyDescent="0.2">
      <c r="D286" s="1">
        <v>37</v>
      </c>
      <c r="E286" s="6">
        <f t="shared" si="83"/>
        <v>84.942775450163339</v>
      </c>
      <c r="F286" s="6">
        <f t="shared" si="83"/>
        <v>3669.2331554215552</v>
      </c>
      <c r="G286" s="6">
        <f t="shared" si="83"/>
        <v>28.959080679859316</v>
      </c>
      <c r="H286" s="1">
        <v>0.4</v>
      </c>
      <c r="I286" s="1">
        <v>1.5</v>
      </c>
      <c r="J286" s="1">
        <v>1</v>
      </c>
      <c r="M286" s="1">
        <v>37</v>
      </c>
      <c r="N286" s="6">
        <f t="shared" si="76"/>
        <v>8494.2775450163354</v>
      </c>
      <c r="O286" s="6">
        <f t="shared" si="73"/>
        <v>383707.65795169031</v>
      </c>
      <c r="P286" s="6">
        <f t="shared" si="74"/>
        <v>4343.862101978897</v>
      </c>
      <c r="Q286" s="1">
        <v>0.4</v>
      </c>
      <c r="R286" s="1">
        <v>1.5</v>
      </c>
      <c r="S286" s="1">
        <v>1</v>
      </c>
      <c r="T286" s="1">
        <v>0.8</v>
      </c>
      <c r="U286" s="1">
        <v>10</v>
      </c>
      <c r="V286" s="5">
        <f t="shared" si="75"/>
        <v>2.4999999999999996</v>
      </c>
      <c r="X286" s="1">
        <v>37</v>
      </c>
      <c r="Y286" s="6">
        <f t="shared" si="77"/>
        <v>1698.8555090032671</v>
      </c>
      <c r="Z286" s="6">
        <f t="shared" si="78"/>
        <v>42634.184216854483</v>
      </c>
      <c r="AA286" s="6">
        <f t="shared" si="79"/>
        <v>4343.862101978897</v>
      </c>
      <c r="AB286" s="1">
        <f t="shared" si="80"/>
        <v>0.4</v>
      </c>
      <c r="AC286" s="1">
        <f t="shared" si="70"/>
        <v>1.5</v>
      </c>
      <c r="AD286" s="1">
        <f t="shared" si="71"/>
        <v>1</v>
      </c>
      <c r="AE286" s="1">
        <f t="shared" si="81"/>
        <v>10</v>
      </c>
      <c r="AF286" s="36">
        <f t="shared" si="82"/>
        <v>2.4999999999999996</v>
      </c>
    </row>
    <row r="287" spans="4:32" ht="14.25" hidden="1" customHeight="1" outlineLevel="1" x14ac:dyDescent="0.2">
      <c r="D287" s="1">
        <v>38</v>
      </c>
      <c r="E287" s="6">
        <f t="shared" si="83"/>
        <v>89.189914222671518</v>
      </c>
      <c r="F287" s="6">
        <f t="shared" si="83"/>
        <v>3852.6948131926333</v>
      </c>
      <c r="G287" s="6">
        <f t="shared" si="83"/>
        <v>30.407034713852283</v>
      </c>
      <c r="H287" s="1">
        <v>0.4</v>
      </c>
      <c r="I287" s="1">
        <v>1.5</v>
      </c>
      <c r="J287" s="1">
        <v>1</v>
      </c>
      <c r="M287" s="1">
        <v>38</v>
      </c>
      <c r="N287" s="6">
        <f t="shared" si="76"/>
        <v>8918.9914222671523</v>
      </c>
      <c r="O287" s="6">
        <f t="shared" si="73"/>
        <v>396883.47702849662</v>
      </c>
      <c r="P287" s="6">
        <f t="shared" si="74"/>
        <v>4561.0552070778422</v>
      </c>
      <c r="Q287" s="1">
        <v>0.4</v>
      </c>
      <c r="R287" s="1">
        <v>1.5</v>
      </c>
      <c r="S287" s="1">
        <v>1</v>
      </c>
      <c r="T287" s="1">
        <v>0.8</v>
      </c>
      <c r="U287" s="1">
        <v>10</v>
      </c>
      <c r="V287" s="5">
        <f t="shared" si="75"/>
        <v>2.4999999999999991</v>
      </c>
      <c r="X287" s="1">
        <v>38</v>
      </c>
      <c r="Y287" s="6">
        <f t="shared" si="77"/>
        <v>1783.7982844534304</v>
      </c>
      <c r="Z287" s="6">
        <f t="shared" si="78"/>
        <v>44098.164114277402</v>
      </c>
      <c r="AA287" s="6">
        <f t="shared" si="79"/>
        <v>4561.0552070778422</v>
      </c>
      <c r="AB287" s="1">
        <f t="shared" si="80"/>
        <v>0.4</v>
      </c>
      <c r="AC287" s="1">
        <f t="shared" si="70"/>
        <v>1.5</v>
      </c>
      <c r="AD287" s="1">
        <f t="shared" si="71"/>
        <v>1</v>
      </c>
      <c r="AE287" s="1">
        <f t="shared" si="81"/>
        <v>10</v>
      </c>
      <c r="AF287" s="36">
        <f t="shared" si="82"/>
        <v>2.4999999999999991</v>
      </c>
    </row>
    <row r="288" spans="4:32" ht="14.25" hidden="1" customHeight="1" outlineLevel="1" x14ac:dyDescent="0.2">
      <c r="D288" s="1">
        <v>39</v>
      </c>
      <c r="E288" s="6">
        <f t="shared" si="83"/>
        <v>93.649409933805075</v>
      </c>
      <c r="F288" s="6">
        <f t="shared" si="83"/>
        <v>4045.3295538522643</v>
      </c>
      <c r="G288" s="6">
        <f t="shared" si="83"/>
        <v>31.92738644954489</v>
      </c>
      <c r="H288" s="1">
        <v>0.4</v>
      </c>
      <c r="I288" s="1">
        <v>1.5</v>
      </c>
      <c r="J288" s="1">
        <v>1</v>
      </c>
      <c r="M288" s="1">
        <v>39</v>
      </c>
      <c r="N288" s="6">
        <f t="shared" si="76"/>
        <v>9364.9409933805073</v>
      </c>
      <c r="O288" s="6">
        <f t="shared" si="73"/>
        <v>410301.57763005095</v>
      </c>
      <c r="P288" s="6">
        <f t="shared" si="74"/>
        <v>4789.1079674317334</v>
      </c>
      <c r="Q288" s="1">
        <v>0.4</v>
      </c>
      <c r="R288" s="1">
        <v>1.5</v>
      </c>
      <c r="S288" s="1">
        <v>1</v>
      </c>
      <c r="T288" s="1">
        <v>0.8</v>
      </c>
      <c r="U288" s="1">
        <v>10</v>
      </c>
      <c r="V288" s="5">
        <f t="shared" si="75"/>
        <v>2.4999999999999996</v>
      </c>
      <c r="X288" s="1">
        <v>39</v>
      </c>
      <c r="Y288" s="6">
        <f t="shared" si="77"/>
        <v>1872.9881986761015</v>
      </c>
      <c r="Z288" s="6">
        <f t="shared" si="78"/>
        <v>45589.064181116773</v>
      </c>
      <c r="AA288" s="6">
        <f t="shared" si="79"/>
        <v>4789.1079674317334</v>
      </c>
      <c r="AB288" s="1">
        <f t="shared" si="80"/>
        <v>0.4</v>
      </c>
      <c r="AC288" s="1">
        <f t="shared" si="70"/>
        <v>1.5</v>
      </c>
      <c r="AD288" s="1">
        <f t="shared" si="71"/>
        <v>1</v>
      </c>
      <c r="AE288" s="1">
        <f t="shared" si="81"/>
        <v>10</v>
      </c>
      <c r="AF288" s="36">
        <f t="shared" si="82"/>
        <v>2.4999999999999996</v>
      </c>
    </row>
    <row r="289" spans="4:32" ht="14.25" hidden="1" customHeight="1" outlineLevel="1" x14ac:dyDescent="0.2">
      <c r="D289" s="1">
        <v>40</v>
      </c>
      <c r="E289" s="6">
        <f t="shared" si="83"/>
        <v>98.33188043049536</v>
      </c>
      <c r="F289" s="6">
        <f t="shared" si="83"/>
        <v>4247.5960315448783</v>
      </c>
      <c r="G289" s="6">
        <f t="shared" si="83"/>
        <v>33.523755772022142</v>
      </c>
      <c r="H289" s="1">
        <v>0.4</v>
      </c>
      <c r="I289" s="1">
        <v>1.5</v>
      </c>
      <c r="J289" s="1">
        <v>1</v>
      </c>
      <c r="M289" s="1">
        <v>40</v>
      </c>
      <c r="N289" s="6">
        <f t="shared" si="76"/>
        <v>9833.1880430495385</v>
      </c>
      <c r="O289" s="6">
        <f t="shared" si="73"/>
        <v>423952.30284054152</v>
      </c>
      <c r="P289" s="6">
        <f t="shared" si="74"/>
        <v>5028.5633658033212</v>
      </c>
      <c r="Q289" s="1">
        <v>0.4</v>
      </c>
      <c r="R289" s="1">
        <v>1.5</v>
      </c>
      <c r="S289" s="1">
        <v>1</v>
      </c>
      <c r="T289" s="1">
        <v>0.8</v>
      </c>
      <c r="U289" s="1">
        <v>10</v>
      </c>
      <c r="V289" s="5">
        <f t="shared" si="75"/>
        <v>2.4999999999999982</v>
      </c>
      <c r="X289" s="1">
        <v>40</v>
      </c>
      <c r="Y289" s="6">
        <f t="shared" si="77"/>
        <v>1966.6376086099076</v>
      </c>
      <c r="Z289" s="6">
        <f t="shared" si="78"/>
        <v>47105.811426726839</v>
      </c>
      <c r="AA289" s="6">
        <f t="shared" si="79"/>
        <v>5028.5633658033212</v>
      </c>
      <c r="AB289" s="1">
        <f t="shared" si="80"/>
        <v>0.4</v>
      </c>
      <c r="AC289" s="1">
        <f t="shared" si="70"/>
        <v>1.5</v>
      </c>
      <c r="AD289" s="1">
        <f t="shared" si="71"/>
        <v>1</v>
      </c>
      <c r="AE289" s="1">
        <f t="shared" si="81"/>
        <v>10</v>
      </c>
      <c r="AF289" s="36">
        <f t="shared" si="82"/>
        <v>2.4999999999999982</v>
      </c>
    </row>
    <row r="290" spans="4:32" ht="14.25" hidden="1" customHeight="1" outlineLevel="1" x14ac:dyDescent="0.2">
      <c r="D290" s="1">
        <v>41</v>
      </c>
      <c r="E290" s="6">
        <f t="shared" si="83"/>
        <v>103.2484744520201</v>
      </c>
      <c r="F290" s="6">
        <f t="shared" si="83"/>
        <v>4459.9758331221219</v>
      </c>
      <c r="G290" s="6">
        <f t="shared" si="83"/>
        <v>35.199943560623247</v>
      </c>
      <c r="H290" s="1">
        <v>0.4</v>
      </c>
      <c r="I290" s="1">
        <v>1.5</v>
      </c>
      <c r="J290" s="1">
        <v>1</v>
      </c>
      <c r="M290" s="1">
        <v>41</v>
      </c>
      <c r="N290" s="6">
        <f t="shared" si="76"/>
        <v>10324.847445202011</v>
      </c>
      <c r="O290" s="6">
        <f t="shared" si="73"/>
        <v>437825.09530559613</v>
      </c>
      <c r="P290" s="6">
        <f t="shared" si="74"/>
        <v>5279.9915340934867</v>
      </c>
      <c r="Q290" s="1">
        <v>0.4</v>
      </c>
      <c r="R290" s="1">
        <v>1.5</v>
      </c>
      <c r="S290" s="1">
        <v>1</v>
      </c>
      <c r="T290" s="1">
        <v>0.8</v>
      </c>
      <c r="U290" s="1">
        <v>10</v>
      </c>
      <c r="V290" s="5">
        <f t="shared" si="75"/>
        <v>2.4999999999999991</v>
      </c>
      <c r="X290" s="1">
        <v>41</v>
      </c>
      <c r="Y290" s="6">
        <f t="shared" si="77"/>
        <v>2064.9694890404021</v>
      </c>
      <c r="Z290" s="6">
        <f t="shared" si="78"/>
        <v>48647.232811732902</v>
      </c>
      <c r="AA290" s="6">
        <f t="shared" si="79"/>
        <v>5279.9915340934867</v>
      </c>
      <c r="AB290" s="1">
        <f t="shared" si="80"/>
        <v>0.4</v>
      </c>
      <c r="AC290" s="1">
        <f t="shared" si="70"/>
        <v>1.5</v>
      </c>
      <c r="AD290" s="1">
        <f t="shared" si="71"/>
        <v>1</v>
      </c>
      <c r="AE290" s="1">
        <f t="shared" si="81"/>
        <v>10</v>
      </c>
      <c r="AF290" s="36">
        <f t="shared" si="82"/>
        <v>2.4999999999999991</v>
      </c>
    </row>
    <row r="291" spans="4:32" ht="14.25" hidden="1" customHeight="1" outlineLevel="1" x14ac:dyDescent="0.2">
      <c r="D291" s="1">
        <v>42</v>
      </c>
      <c r="E291" s="6">
        <f t="shared" si="83"/>
        <v>108.41089817462112</v>
      </c>
      <c r="F291" s="6">
        <f t="shared" si="83"/>
        <v>4682.9746247782286</v>
      </c>
      <c r="G291" s="6">
        <f t="shared" si="83"/>
        <v>36.95994073865441</v>
      </c>
      <c r="H291" s="1">
        <v>0.4</v>
      </c>
      <c r="I291" s="1">
        <v>1.5</v>
      </c>
      <c r="J291" s="1">
        <v>1</v>
      </c>
      <c r="M291" s="1">
        <v>42</v>
      </c>
      <c r="N291" s="6">
        <f t="shared" si="76"/>
        <v>10841.089817462114</v>
      </c>
      <c r="O291" s="6">
        <f t="shared" si="73"/>
        <v>451908.51481429132</v>
      </c>
      <c r="P291" s="6">
        <f t="shared" si="74"/>
        <v>5543.9911107981616</v>
      </c>
      <c r="Q291" s="1">
        <v>0.4</v>
      </c>
      <c r="R291" s="1">
        <v>1.5</v>
      </c>
      <c r="S291" s="1">
        <v>1</v>
      </c>
      <c r="T291" s="1">
        <v>0.8</v>
      </c>
      <c r="U291" s="1">
        <v>10</v>
      </c>
      <c r="V291" s="5">
        <f t="shared" si="75"/>
        <v>2.4999999999999987</v>
      </c>
      <c r="X291" s="1">
        <v>42</v>
      </c>
      <c r="Y291" s="6">
        <f t="shared" si="77"/>
        <v>2168.2179634924228</v>
      </c>
      <c r="Z291" s="6">
        <f t="shared" si="78"/>
        <v>50212.057201587922</v>
      </c>
      <c r="AA291" s="6">
        <f t="shared" si="79"/>
        <v>5543.9911107981616</v>
      </c>
      <c r="AB291" s="1">
        <f t="shared" si="80"/>
        <v>0.4</v>
      </c>
      <c r="AC291" s="1">
        <f t="shared" si="70"/>
        <v>1.5</v>
      </c>
      <c r="AD291" s="1">
        <f t="shared" si="71"/>
        <v>1</v>
      </c>
      <c r="AE291" s="1">
        <f t="shared" si="81"/>
        <v>10</v>
      </c>
      <c r="AF291" s="36">
        <f t="shared" si="82"/>
        <v>2.4999999999999987</v>
      </c>
    </row>
    <row r="292" spans="4:32" ht="14.25" hidden="1" customHeight="1" outlineLevel="1" x14ac:dyDescent="0.2">
      <c r="D292" s="1">
        <v>43</v>
      </c>
      <c r="E292" s="6">
        <f t="shared" si="83"/>
        <v>113.83144308335217</v>
      </c>
      <c r="F292" s="6">
        <f t="shared" si="83"/>
        <v>4917.1233560171395</v>
      </c>
      <c r="G292" s="6">
        <f t="shared" si="83"/>
        <v>38.807937775587135</v>
      </c>
      <c r="H292" s="1">
        <v>0.4</v>
      </c>
      <c r="I292" s="1">
        <v>1.5</v>
      </c>
      <c r="J292" s="1">
        <v>1</v>
      </c>
      <c r="M292" s="1">
        <v>43</v>
      </c>
      <c r="N292" s="6">
        <f t="shared" si="76"/>
        <v>11383.144308335219</v>
      </c>
      <c r="O292" s="6">
        <f t="shared" si="73"/>
        <v>466190.26276692143</v>
      </c>
      <c r="P292" s="6">
        <f t="shared" si="74"/>
        <v>5821.1906663380705</v>
      </c>
      <c r="Q292" s="1">
        <v>0.4</v>
      </c>
      <c r="R292" s="1">
        <v>1.5</v>
      </c>
      <c r="S292" s="1">
        <v>1</v>
      </c>
      <c r="T292" s="1">
        <v>0.8</v>
      </c>
      <c r="U292" s="1">
        <v>10</v>
      </c>
      <c r="V292" s="5">
        <f t="shared" si="75"/>
        <v>2.4999999999999996</v>
      </c>
      <c r="X292" s="1">
        <v>43</v>
      </c>
      <c r="Y292" s="6">
        <f t="shared" si="77"/>
        <v>2276.6288616670436</v>
      </c>
      <c r="Z292" s="6">
        <f t="shared" si="78"/>
        <v>51798.918085213489</v>
      </c>
      <c r="AA292" s="6">
        <f t="shared" si="79"/>
        <v>5821.1906663380705</v>
      </c>
      <c r="AB292" s="1">
        <f t="shared" si="80"/>
        <v>0.4</v>
      </c>
      <c r="AC292" s="1">
        <f t="shared" si="70"/>
        <v>1.5</v>
      </c>
      <c r="AD292" s="1">
        <f t="shared" si="71"/>
        <v>1</v>
      </c>
      <c r="AE292" s="1">
        <f t="shared" si="81"/>
        <v>10</v>
      </c>
      <c r="AF292" s="36">
        <f t="shared" si="82"/>
        <v>2.4999999999999996</v>
      </c>
    </row>
    <row r="293" spans="4:32" ht="14.25" hidden="1" customHeight="1" outlineLevel="1" x14ac:dyDescent="0.2">
      <c r="D293" s="1">
        <v>44</v>
      </c>
      <c r="E293" s="6">
        <f t="shared" si="83"/>
        <v>119.5230152375198</v>
      </c>
      <c r="F293" s="6">
        <f t="shared" si="83"/>
        <v>5162.9795238179968</v>
      </c>
      <c r="G293" s="6">
        <f t="shared" si="83"/>
        <v>40.748334664366496</v>
      </c>
      <c r="H293" s="1">
        <v>0.4</v>
      </c>
      <c r="I293" s="1">
        <v>1.5</v>
      </c>
      <c r="J293" s="1">
        <v>1</v>
      </c>
      <c r="M293" s="1">
        <v>44</v>
      </c>
      <c r="N293" s="6">
        <f t="shared" si="76"/>
        <v>11952.301523751981</v>
      </c>
      <c r="O293" s="6">
        <f t="shared" si="73"/>
        <v>480657.2135959529</v>
      </c>
      <c r="P293" s="6">
        <f t="shared" si="74"/>
        <v>6112.2501996549745</v>
      </c>
      <c r="Q293" s="1">
        <v>0.4</v>
      </c>
      <c r="R293" s="1">
        <v>1.5</v>
      </c>
      <c r="S293" s="1">
        <v>1</v>
      </c>
      <c r="T293" s="1">
        <v>0.8</v>
      </c>
      <c r="U293" s="1">
        <v>10</v>
      </c>
      <c r="V293" s="5">
        <f t="shared" si="75"/>
        <v>2.4999999999999991</v>
      </c>
      <c r="X293" s="1">
        <v>44</v>
      </c>
      <c r="Y293" s="6">
        <f t="shared" si="77"/>
        <v>2390.4603047503961</v>
      </c>
      <c r="Z293" s="6">
        <f t="shared" si="78"/>
        <v>53406.357066216988</v>
      </c>
      <c r="AA293" s="6">
        <f t="shared" si="79"/>
        <v>6112.2501996549745</v>
      </c>
      <c r="AB293" s="1">
        <f t="shared" si="80"/>
        <v>0.4</v>
      </c>
      <c r="AC293" s="1">
        <f t="shared" si="70"/>
        <v>1.5</v>
      </c>
      <c r="AD293" s="1">
        <f t="shared" si="71"/>
        <v>1</v>
      </c>
      <c r="AE293" s="1">
        <f t="shared" si="81"/>
        <v>10</v>
      </c>
      <c r="AF293" s="36">
        <f t="shared" si="82"/>
        <v>2.4999999999999991</v>
      </c>
    </row>
    <row r="294" spans="4:32" ht="14.25" hidden="1" customHeight="1" outlineLevel="1" x14ac:dyDescent="0.2">
      <c r="D294" s="1">
        <v>45</v>
      </c>
      <c r="E294" s="6">
        <f t="shared" si="83"/>
        <v>125.49916599939577</v>
      </c>
      <c r="F294" s="6">
        <f t="shared" si="83"/>
        <v>5421.1285000088965</v>
      </c>
      <c r="G294" s="6">
        <f t="shared" si="83"/>
        <v>42.785751397584811</v>
      </c>
      <c r="H294" s="1">
        <v>0.4</v>
      </c>
      <c r="I294" s="1">
        <v>1.5</v>
      </c>
      <c r="J294" s="1">
        <v>1</v>
      </c>
      <c r="M294" s="1">
        <v>45</v>
      </c>
      <c r="N294" s="6">
        <f t="shared" si="76"/>
        <v>12549.916599939579</v>
      </c>
      <c r="O294" s="6">
        <f t="shared" si="73"/>
        <v>495295.45311886584</v>
      </c>
      <c r="P294" s="6">
        <f t="shared" si="74"/>
        <v>6417.8627096377213</v>
      </c>
      <c r="Q294" s="1">
        <v>0.4</v>
      </c>
      <c r="R294" s="1">
        <v>1.5</v>
      </c>
      <c r="S294" s="1">
        <v>1</v>
      </c>
      <c r="T294" s="1">
        <v>0.8</v>
      </c>
      <c r="U294" s="1">
        <v>10</v>
      </c>
      <c r="V294" s="5">
        <f t="shared" si="75"/>
        <v>2.4999999999999996</v>
      </c>
      <c r="X294" s="1">
        <v>45</v>
      </c>
      <c r="Y294" s="6">
        <f t="shared" si="77"/>
        <v>2509.9833199879158</v>
      </c>
      <c r="Z294" s="6">
        <f t="shared" si="78"/>
        <v>55032.828124318425</v>
      </c>
      <c r="AA294" s="6">
        <f t="shared" si="79"/>
        <v>6417.8627096377213</v>
      </c>
      <c r="AB294" s="1">
        <f t="shared" si="80"/>
        <v>0.4</v>
      </c>
      <c r="AC294" s="1">
        <f t="shared" si="70"/>
        <v>1.5</v>
      </c>
      <c r="AD294" s="1">
        <f t="shared" si="71"/>
        <v>1</v>
      </c>
      <c r="AE294" s="1">
        <f t="shared" si="81"/>
        <v>10</v>
      </c>
      <c r="AF294" s="36">
        <f t="shared" si="82"/>
        <v>2.4999999999999996</v>
      </c>
    </row>
    <row r="295" spans="4:32" ht="14.25" hidden="1" customHeight="1" outlineLevel="1" x14ac:dyDescent="0.2">
      <c r="D295" s="1">
        <v>46</v>
      </c>
      <c r="E295" s="6">
        <f t="shared" si="83"/>
        <v>131.77412429936558</v>
      </c>
      <c r="F295" s="6">
        <f t="shared" si="83"/>
        <v>5692.1849250093419</v>
      </c>
      <c r="G295" s="6">
        <f t="shared" si="83"/>
        <v>44.925038967464062</v>
      </c>
      <c r="H295" s="1">
        <v>0.4</v>
      </c>
      <c r="I295" s="1">
        <v>1.5</v>
      </c>
      <c r="J295" s="1">
        <v>1</v>
      </c>
      <c r="M295" s="1">
        <v>46</v>
      </c>
      <c r="N295" s="6">
        <f t="shared" si="76"/>
        <v>13177.412429936559</v>
      </c>
      <c r="O295" s="6">
        <f t="shared" si="73"/>
        <v>510090.32370846451</v>
      </c>
      <c r="P295" s="6">
        <f t="shared" si="74"/>
        <v>6738.7558451196091</v>
      </c>
      <c r="Q295" s="1">
        <v>0.4</v>
      </c>
      <c r="R295" s="1">
        <v>1.5</v>
      </c>
      <c r="S295" s="1">
        <v>1</v>
      </c>
      <c r="T295" s="1">
        <v>0.8</v>
      </c>
      <c r="U295" s="1">
        <v>10</v>
      </c>
      <c r="V295" s="5">
        <f t="shared" si="75"/>
        <v>2.4999999999999987</v>
      </c>
      <c r="X295" s="1">
        <v>46</v>
      </c>
      <c r="Y295" s="6">
        <f t="shared" si="77"/>
        <v>2635.482485987312</v>
      </c>
      <c r="Z295" s="6">
        <f t="shared" si="78"/>
        <v>56676.702634273832</v>
      </c>
      <c r="AA295" s="6">
        <f t="shared" si="79"/>
        <v>6738.7558451196091</v>
      </c>
      <c r="AB295" s="1">
        <f t="shared" si="80"/>
        <v>0.4</v>
      </c>
      <c r="AC295" s="1">
        <f t="shared" si="70"/>
        <v>1.5</v>
      </c>
      <c r="AD295" s="1">
        <f t="shared" si="71"/>
        <v>1</v>
      </c>
      <c r="AE295" s="1">
        <f t="shared" si="81"/>
        <v>10</v>
      </c>
      <c r="AF295" s="36">
        <f t="shared" si="82"/>
        <v>2.4999999999999987</v>
      </c>
    </row>
    <row r="296" spans="4:32" ht="14.25" hidden="1" customHeight="1" outlineLevel="1" x14ac:dyDescent="0.2">
      <c r="D296" s="1">
        <v>47</v>
      </c>
      <c r="E296" s="6">
        <f t="shared" si="83"/>
        <v>138.36283051433384</v>
      </c>
      <c r="F296" s="6">
        <f t="shared" si="83"/>
        <v>5976.7941712598085</v>
      </c>
      <c r="G296" s="6">
        <f t="shared" si="83"/>
        <v>47.171290915837254</v>
      </c>
      <c r="H296" s="1">
        <v>0.4</v>
      </c>
      <c r="I296" s="1">
        <v>1.5</v>
      </c>
      <c r="J296" s="1">
        <v>1</v>
      </c>
      <c r="M296" s="1">
        <v>47</v>
      </c>
      <c r="N296" s="6">
        <f t="shared" si="76"/>
        <v>13836.283051433384</v>
      </c>
      <c r="O296" s="6">
        <f t="shared" si="73"/>
        <v>525026.47607043851</v>
      </c>
      <c r="P296" s="6">
        <f t="shared" si="74"/>
        <v>7075.693637375588</v>
      </c>
      <c r="Q296" s="1">
        <v>0.4</v>
      </c>
      <c r="R296" s="1">
        <v>1.5</v>
      </c>
      <c r="S296" s="1">
        <v>1</v>
      </c>
      <c r="T296" s="1">
        <v>0.8</v>
      </c>
      <c r="U296" s="1">
        <v>10</v>
      </c>
      <c r="V296" s="5">
        <f t="shared" si="75"/>
        <v>2.4999999999999991</v>
      </c>
      <c r="X296" s="1">
        <v>47</v>
      </c>
      <c r="Y296" s="6">
        <f t="shared" si="77"/>
        <v>2767.2566102866767</v>
      </c>
      <c r="Z296" s="6">
        <f t="shared" si="78"/>
        <v>58336.275118937614</v>
      </c>
      <c r="AA296" s="6">
        <f t="shared" si="79"/>
        <v>7075.693637375588</v>
      </c>
      <c r="AB296" s="1">
        <f t="shared" si="80"/>
        <v>0.4</v>
      </c>
      <c r="AC296" s="1">
        <f t="shared" si="70"/>
        <v>1.5</v>
      </c>
      <c r="AD296" s="1">
        <f t="shared" si="71"/>
        <v>1</v>
      </c>
      <c r="AE296" s="1">
        <f t="shared" si="81"/>
        <v>10</v>
      </c>
      <c r="AF296" s="36">
        <f t="shared" si="82"/>
        <v>2.4999999999999991</v>
      </c>
    </row>
    <row r="297" spans="4:32" ht="14.25" hidden="1" customHeight="1" outlineLevel="1" x14ac:dyDescent="0.2">
      <c r="D297" s="1">
        <v>48</v>
      </c>
      <c r="E297" s="6">
        <f t="shared" si="83"/>
        <v>145.28097204005056</v>
      </c>
      <c r="F297" s="6">
        <f t="shared" si="83"/>
        <v>6275.6338798228007</v>
      </c>
      <c r="G297" s="6">
        <f t="shared" si="83"/>
        <v>49.529855461629133</v>
      </c>
      <c r="H297" s="1">
        <v>0.4</v>
      </c>
      <c r="I297" s="1">
        <v>1.5</v>
      </c>
      <c r="J297" s="1">
        <v>1</v>
      </c>
      <c r="M297" s="1">
        <v>48</v>
      </c>
      <c r="N297" s="6">
        <f t="shared" si="76"/>
        <v>14528.097204005056</v>
      </c>
      <c r="O297" s="6">
        <f t="shared" si="73"/>
        <v>540087.9273214133</v>
      </c>
      <c r="P297" s="6">
        <f t="shared" si="74"/>
        <v>7429.4783192443701</v>
      </c>
      <c r="Q297" s="1">
        <v>0.4</v>
      </c>
      <c r="R297" s="1">
        <v>1.5</v>
      </c>
      <c r="S297" s="1">
        <v>1</v>
      </c>
      <c r="T297" s="1">
        <v>0.8</v>
      </c>
      <c r="U297" s="1">
        <v>10</v>
      </c>
      <c r="V297" s="5">
        <f t="shared" si="75"/>
        <v>2.4999999999999991</v>
      </c>
      <c r="X297" s="1">
        <v>48</v>
      </c>
      <c r="Y297" s="6">
        <f t="shared" si="77"/>
        <v>2905.6194408010115</v>
      </c>
      <c r="Z297" s="6">
        <f t="shared" si="78"/>
        <v>60009.769702379257</v>
      </c>
      <c r="AA297" s="6">
        <f t="shared" si="79"/>
        <v>7429.4783192443701</v>
      </c>
      <c r="AB297" s="1">
        <f t="shared" si="80"/>
        <v>0.4</v>
      </c>
      <c r="AC297" s="1">
        <f t="shared" si="70"/>
        <v>1.5</v>
      </c>
      <c r="AD297" s="1">
        <f t="shared" si="71"/>
        <v>1</v>
      </c>
      <c r="AE297" s="1">
        <f t="shared" si="81"/>
        <v>10</v>
      </c>
      <c r="AF297" s="36">
        <f t="shared" si="82"/>
        <v>2.4999999999999991</v>
      </c>
    </row>
    <row r="298" spans="4:32" ht="14.25" hidden="1" customHeight="1" outlineLevel="1" x14ac:dyDescent="0.2">
      <c r="D298" s="1">
        <v>49</v>
      </c>
      <c r="E298" s="6">
        <f t="shared" si="83"/>
        <v>152.54502064205309</v>
      </c>
      <c r="F298" s="6">
        <f t="shared" si="83"/>
        <v>6589.4155738139398</v>
      </c>
      <c r="G298" s="6">
        <f t="shared" si="83"/>
        <v>52.006348234710586</v>
      </c>
      <c r="H298" s="1">
        <v>0.4</v>
      </c>
      <c r="I298" s="1">
        <v>1.5</v>
      </c>
      <c r="J298" s="1">
        <v>1</v>
      </c>
      <c r="M298" s="1">
        <v>49</v>
      </c>
      <c r="N298" s="6">
        <f t="shared" si="76"/>
        <v>15254.502064205311</v>
      </c>
      <c r="O298" s="6">
        <f t="shared" si="73"/>
        <v>555258.12496548169</v>
      </c>
      <c r="P298" s="6">
        <f t="shared" si="74"/>
        <v>7800.9522352065878</v>
      </c>
      <c r="Q298" s="1">
        <v>0.4</v>
      </c>
      <c r="R298" s="1">
        <v>1.5</v>
      </c>
      <c r="S298" s="1">
        <v>1</v>
      </c>
      <c r="T298" s="1">
        <v>0.8</v>
      </c>
      <c r="U298" s="1">
        <v>10</v>
      </c>
      <c r="V298" s="5">
        <f t="shared" si="75"/>
        <v>2.4999999999999987</v>
      </c>
      <c r="X298" s="1">
        <v>49</v>
      </c>
      <c r="Y298" s="6">
        <f t="shared" si="77"/>
        <v>3050.9004128410625</v>
      </c>
      <c r="Z298" s="6">
        <f t="shared" si="78"/>
        <v>61695.347218386858</v>
      </c>
      <c r="AA298" s="6">
        <f t="shared" si="79"/>
        <v>7800.9522352065878</v>
      </c>
      <c r="AB298" s="1">
        <f t="shared" si="80"/>
        <v>0.4</v>
      </c>
      <c r="AC298" s="1">
        <f t="shared" si="70"/>
        <v>1.5</v>
      </c>
      <c r="AD298" s="1">
        <f t="shared" si="71"/>
        <v>1</v>
      </c>
      <c r="AE298" s="1">
        <f t="shared" si="81"/>
        <v>10</v>
      </c>
      <c r="AF298" s="36">
        <f t="shared" si="82"/>
        <v>2.4999999999999987</v>
      </c>
    </row>
    <row r="299" spans="4:32" ht="14.25" hidden="1" customHeight="1" outlineLevel="1" x14ac:dyDescent="0.2">
      <c r="D299" s="1">
        <v>50</v>
      </c>
      <c r="E299" s="6">
        <f t="shared" si="83"/>
        <v>160.17227167415575</v>
      </c>
      <c r="F299" s="6">
        <f t="shared" si="83"/>
        <v>6918.8863525046372</v>
      </c>
      <c r="G299" s="6">
        <f t="shared" si="83"/>
        <v>54.606665646446118</v>
      </c>
      <c r="H299" s="1">
        <v>0.4</v>
      </c>
      <c r="I299" s="1">
        <v>1.5</v>
      </c>
      <c r="J299" s="1">
        <v>1</v>
      </c>
      <c r="M299" s="1">
        <v>50</v>
      </c>
      <c r="N299" s="6">
        <f t="shared" si="76"/>
        <v>16017.227167415576</v>
      </c>
      <c r="O299" s="6">
        <f t="shared" si="73"/>
        <v>570520.01627537748</v>
      </c>
      <c r="P299" s="6">
        <f t="shared" si="74"/>
        <v>8190.9998469669172</v>
      </c>
      <c r="Q299" s="1">
        <v>0.4</v>
      </c>
      <c r="R299" s="1">
        <v>1.5</v>
      </c>
      <c r="S299" s="1">
        <v>1</v>
      </c>
      <c r="T299" s="1">
        <v>0.8</v>
      </c>
      <c r="U299" s="1">
        <v>10</v>
      </c>
      <c r="V299" s="5">
        <f t="shared" si="75"/>
        <v>2.5</v>
      </c>
      <c r="X299" s="1">
        <v>50</v>
      </c>
      <c r="Y299" s="6">
        <f t="shared" si="77"/>
        <v>3203.4454334831153</v>
      </c>
      <c r="Z299" s="6">
        <f t="shared" si="78"/>
        <v>63391.11291948639</v>
      </c>
      <c r="AA299" s="6">
        <f t="shared" si="79"/>
        <v>8190.9998469669172</v>
      </c>
      <c r="AB299" s="1">
        <f t="shared" si="80"/>
        <v>0.4</v>
      </c>
      <c r="AC299" s="1">
        <f t="shared" si="70"/>
        <v>1.5</v>
      </c>
      <c r="AD299" s="1">
        <f t="shared" si="71"/>
        <v>1</v>
      </c>
      <c r="AE299" s="1">
        <f t="shared" si="81"/>
        <v>10</v>
      </c>
      <c r="AF299" s="36">
        <f t="shared" si="82"/>
        <v>2.5</v>
      </c>
    </row>
    <row r="300" spans="4:32" ht="14.25" hidden="1" customHeight="1" outlineLevel="1" x14ac:dyDescent="0.2">
      <c r="D300" s="1">
        <v>51</v>
      </c>
      <c r="E300" s="6">
        <f t="shared" si="83"/>
        <v>168.18088525786354</v>
      </c>
      <c r="F300" s="6">
        <f t="shared" si="83"/>
        <v>7264.8306701298688</v>
      </c>
      <c r="G300" s="6">
        <f t="shared" si="83"/>
        <v>57.336998928768423</v>
      </c>
      <c r="H300" s="1">
        <v>0.4</v>
      </c>
      <c r="I300" s="1">
        <v>1.5</v>
      </c>
      <c r="J300" s="1">
        <v>1</v>
      </c>
      <c r="M300" s="1">
        <v>51</v>
      </c>
      <c r="N300" s="6">
        <f t="shared" si="76"/>
        <v>16818.088525786356</v>
      </c>
      <c r="O300" s="6">
        <f t="shared" si="73"/>
        <v>585856.1224981487</v>
      </c>
      <c r="P300" s="6">
        <f t="shared" si="74"/>
        <v>8600.5498393152629</v>
      </c>
      <c r="Q300" s="1">
        <v>0.4</v>
      </c>
      <c r="R300" s="1">
        <v>1.5</v>
      </c>
      <c r="S300" s="1">
        <v>1</v>
      </c>
      <c r="T300" s="1">
        <v>0.8</v>
      </c>
      <c r="U300" s="1">
        <v>10</v>
      </c>
      <c r="V300" s="5">
        <f t="shared" si="75"/>
        <v>2.4999999999999991</v>
      </c>
      <c r="X300" s="1">
        <v>51</v>
      </c>
      <c r="Y300" s="6">
        <f t="shared" si="77"/>
        <v>3363.6177051572713</v>
      </c>
      <c r="Z300" s="6">
        <f t="shared" si="78"/>
        <v>65095.124722016524</v>
      </c>
      <c r="AA300" s="6">
        <f t="shared" si="79"/>
        <v>8600.5498393152629</v>
      </c>
      <c r="AB300" s="1">
        <f t="shared" si="80"/>
        <v>0.4</v>
      </c>
      <c r="AC300" s="1">
        <f t="shared" si="70"/>
        <v>1.5</v>
      </c>
      <c r="AD300" s="1">
        <f t="shared" si="71"/>
        <v>1</v>
      </c>
      <c r="AE300" s="1">
        <f t="shared" si="81"/>
        <v>10</v>
      </c>
      <c r="AF300" s="36">
        <f t="shared" si="82"/>
        <v>2.4999999999999991</v>
      </c>
    </row>
    <row r="301" spans="4:32" ht="14.25" hidden="1" customHeight="1" outlineLevel="1" x14ac:dyDescent="0.2">
      <c r="D301" s="1">
        <v>52</v>
      </c>
      <c r="E301" s="6">
        <f t="shared" si="83"/>
        <v>176.58992952075673</v>
      </c>
      <c r="F301" s="6">
        <f t="shared" si="83"/>
        <v>7628.0722036363632</v>
      </c>
      <c r="G301" s="6">
        <f t="shared" si="83"/>
        <v>60.203848875206845</v>
      </c>
      <c r="H301" s="1">
        <v>0.4</v>
      </c>
      <c r="I301" s="1">
        <v>1.5</v>
      </c>
      <c r="J301" s="1">
        <v>1</v>
      </c>
      <c r="M301" s="1">
        <v>52</v>
      </c>
      <c r="N301" s="6">
        <f t="shared" si="76"/>
        <v>17658.992952075674</v>
      </c>
      <c r="O301" s="6">
        <f t="shared" si="73"/>
        <v>601248.61722649215</v>
      </c>
      <c r="P301" s="6">
        <f t="shared" si="74"/>
        <v>9030.577331281027</v>
      </c>
      <c r="Q301" s="1">
        <v>0.4</v>
      </c>
      <c r="R301" s="1">
        <v>1.5</v>
      </c>
      <c r="S301" s="1">
        <v>1</v>
      </c>
      <c r="T301" s="1">
        <v>0.8</v>
      </c>
      <c r="U301" s="1">
        <v>10</v>
      </c>
      <c r="V301" s="5">
        <f t="shared" si="75"/>
        <v>2.4999999999999991</v>
      </c>
      <c r="X301" s="1">
        <v>52</v>
      </c>
      <c r="Y301" s="6">
        <f t="shared" si="77"/>
        <v>3531.7985904151346</v>
      </c>
      <c r="Z301" s="6">
        <f t="shared" si="78"/>
        <v>66805.401914054688</v>
      </c>
      <c r="AA301" s="6">
        <f t="shared" si="79"/>
        <v>9030.577331281027</v>
      </c>
      <c r="AB301" s="1">
        <f t="shared" si="80"/>
        <v>0.4</v>
      </c>
      <c r="AC301" s="1">
        <f t="shared" si="70"/>
        <v>1.5</v>
      </c>
      <c r="AD301" s="1">
        <f t="shared" si="71"/>
        <v>1</v>
      </c>
      <c r="AE301" s="1">
        <f t="shared" si="81"/>
        <v>10</v>
      </c>
      <c r="AF301" s="36">
        <f t="shared" si="82"/>
        <v>2.4999999999999991</v>
      </c>
    </row>
    <row r="302" spans="4:32" ht="14.25" hidden="1" customHeight="1" outlineLevel="1" x14ac:dyDescent="0.2">
      <c r="D302" s="1">
        <v>53</v>
      </c>
      <c r="E302" s="6">
        <f t="shared" si="83"/>
        <v>185.41942599679456</v>
      </c>
      <c r="F302" s="6">
        <f t="shared" si="83"/>
        <v>8009.4758138181805</v>
      </c>
      <c r="G302" s="6">
        <f t="shared" si="83"/>
        <v>63.21404131896719</v>
      </c>
      <c r="H302" s="1">
        <v>0.4</v>
      </c>
      <c r="I302" s="1">
        <v>1.5</v>
      </c>
      <c r="J302" s="1">
        <v>1</v>
      </c>
      <c r="M302" s="1">
        <v>53</v>
      </c>
      <c r="N302" s="6">
        <f t="shared" si="76"/>
        <v>18541.942599679456</v>
      </c>
      <c r="O302" s="6">
        <f t="shared" si="73"/>
        <v>616679.40820773109</v>
      </c>
      <c r="P302" s="6">
        <f t="shared" si="74"/>
        <v>9482.106197845078</v>
      </c>
      <c r="Q302" s="1">
        <v>0.4</v>
      </c>
      <c r="R302" s="1">
        <v>1.5</v>
      </c>
      <c r="S302" s="1">
        <v>1</v>
      </c>
      <c r="T302" s="1">
        <v>0.8</v>
      </c>
      <c r="U302" s="1">
        <v>10</v>
      </c>
      <c r="V302" s="5">
        <f t="shared" si="75"/>
        <v>2.4999999999999991</v>
      </c>
      <c r="X302" s="1">
        <v>53</v>
      </c>
      <c r="Y302" s="6">
        <f t="shared" si="77"/>
        <v>3708.3885199358911</v>
      </c>
      <c r="Z302" s="6">
        <f t="shared" si="78"/>
        <v>68519.934245303448</v>
      </c>
      <c r="AA302" s="6">
        <f t="shared" si="79"/>
        <v>9482.106197845078</v>
      </c>
      <c r="AB302" s="1">
        <f t="shared" si="80"/>
        <v>0.4</v>
      </c>
      <c r="AC302" s="1">
        <f t="shared" si="70"/>
        <v>1.5</v>
      </c>
      <c r="AD302" s="1">
        <f t="shared" si="71"/>
        <v>1</v>
      </c>
      <c r="AE302" s="1">
        <f t="shared" si="81"/>
        <v>10</v>
      </c>
      <c r="AF302" s="36">
        <f t="shared" si="82"/>
        <v>2.4999999999999991</v>
      </c>
    </row>
    <row r="303" spans="4:32" ht="14.25" hidden="1" customHeight="1" outlineLevel="1" x14ac:dyDescent="0.2">
      <c r="D303" s="1">
        <v>54</v>
      </c>
      <c r="E303" s="6">
        <f t="shared" si="83"/>
        <v>194.69039729663427</v>
      </c>
      <c r="F303" s="6">
        <f t="shared" si="83"/>
        <v>8409.9496045090891</v>
      </c>
      <c r="G303" s="6">
        <f t="shared" si="83"/>
        <v>66.374743384915547</v>
      </c>
      <c r="H303" s="1">
        <v>0.4</v>
      </c>
      <c r="I303" s="1">
        <v>1.5</v>
      </c>
      <c r="J303" s="1">
        <v>1</v>
      </c>
      <c r="M303" s="1">
        <v>54</v>
      </c>
      <c r="N303" s="6">
        <f t="shared" si="76"/>
        <v>19469.039729663429</v>
      </c>
      <c r="O303" s="6">
        <f t="shared" si="73"/>
        <v>632130.22180450591</v>
      </c>
      <c r="P303" s="6">
        <f t="shared" si="74"/>
        <v>9956.2115077373328</v>
      </c>
      <c r="Q303" s="1">
        <v>0.4</v>
      </c>
      <c r="R303" s="1">
        <v>1.5</v>
      </c>
      <c r="S303" s="1">
        <v>1</v>
      </c>
      <c r="T303" s="1">
        <v>0.8</v>
      </c>
      <c r="U303" s="1">
        <v>10</v>
      </c>
      <c r="V303" s="5">
        <f t="shared" si="75"/>
        <v>2.4999999999999996</v>
      </c>
      <c r="X303" s="1">
        <v>54</v>
      </c>
      <c r="Y303" s="6">
        <f t="shared" si="77"/>
        <v>3893.8079459326859</v>
      </c>
      <c r="Z303" s="6">
        <f t="shared" si="78"/>
        <v>70236.691311611765</v>
      </c>
      <c r="AA303" s="6">
        <f t="shared" si="79"/>
        <v>9956.2115077373328</v>
      </c>
      <c r="AB303" s="1">
        <f t="shared" si="80"/>
        <v>0.4</v>
      </c>
      <c r="AC303" s="1">
        <f t="shared" si="70"/>
        <v>1.5</v>
      </c>
      <c r="AD303" s="1">
        <f t="shared" si="71"/>
        <v>1</v>
      </c>
      <c r="AE303" s="1">
        <f t="shared" si="81"/>
        <v>10</v>
      </c>
      <c r="AF303" s="36">
        <f t="shared" si="82"/>
        <v>2.4999999999999996</v>
      </c>
    </row>
    <row r="304" spans="4:32" ht="14.25" hidden="1" customHeight="1" outlineLevel="1" x14ac:dyDescent="0.2">
      <c r="D304" s="1">
        <v>55</v>
      </c>
      <c r="E304" s="6">
        <f t="shared" si="83"/>
        <v>204.42491716146597</v>
      </c>
      <c r="F304" s="6">
        <f t="shared" si="83"/>
        <v>8830.4470847345438</v>
      </c>
      <c r="G304" s="6">
        <f t="shared" si="83"/>
        <v>69.693480554161312</v>
      </c>
      <c r="H304" s="1">
        <v>0.4</v>
      </c>
      <c r="I304" s="1">
        <v>1.5</v>
      </c>
      <c r="J304" s="1">
        <v>1</v>
      </c>
      <c r="M304" s="1">
        <v>55</v>
      </c>
      <c r="N304" s="6">
        <f t="shared" si="76"/>
        <v>20442.4917161466</v>
      </c>
      <c r="O304" s="6">
        <f t="shared" si="73"/>
        <v>647582.68927607604</v>
      </c>
      <c r="P304" s="6">
        <f t="shared" si="74"/>
        <v>10454.022083124197</v>
      </c>
      <c r="Q304" s="1">
        <v>0.4</v>
      </c>
      <c r="R304" s="1">
        <v>1.5</v>
      </c>
      <c r="S304" s="1">
        <v>1</v>
      </c>
      <c r="T304" s="1">
        <v>0.8</v>
      </c>
      <c r="U304" s="1">
        <v>10</v>
      </c>
      <c r="V304" s="5">
        <f t="shared" si="75"/>
        <v>2.4999999999999991</v>
      </c>
      <c r="X304" s="1">
        <v>55</v>
      </c>
      <c r="Y304" s="6">
        <f t="shared" si="77"/>
        <v>4088.4983432293202</v>
      </c>
      <c r="Z304" s="6">
        <f t="shared" si="78"/>
        <v>71953.63214178622</v>
      </c>
      <c r="AA304" s="6">
        <f t="shared" si="79"/>
        <v>10454.022083124197</v>
      </c>
      <c r="AB304" s="1">
        <f t="shared" si="80"/>
        <v>0.4</v>
      </c>
      <c r="AC304" s="1">
        <f t="shared" si="70"/>
        <v>1.5</v>
      </c>
      <c r="AD304" s="1">
        <f t="shared" si="71"/>
        <v>1</v>
      </c>
      <c r="AE304" s="1">
        <f t="shared" si="81"/>
        <v>10</v>
      </c>
      <c r="AF304" s="36">
        <f t="shared" si="82"/>
        <v>2.4999999999999991</v>
      </c>
    </row>
    <row r="305" spans="4:32" ht="14.25" hidden="1" customHeight="1" outlineLevel="1" x14ac:dyDescent="0.2">
      <c r="D305" s="1">
        <v>56</v>
      </c>
      <c r="E305" s="6">
        <f t="shared" si="83"/>
        <v>214.6461630195393</v>
      </c>
      <c r="F305" s="6">
        <f t="shared" si="83"/>
        <v>9271.9694389712731</v>
      </c>
      <c r="G305" s="6">
        <f t="shared" si="83"/>
        <v>73.178154581869393</v>
      </c>
      <c r="H305" s="1">
        <v>0.4</v>
      </c>
      <c r="I305" s="1">
        <v>1.5</v>
      </c>
      <c r="J305" s="1">
        <v>1</v>
      </c>
      <c r="M305" s="1">
        <v>56</v>
      </c>
      <c r="N305" s="6">
        <f t="shared" si="76"/>
        <v>21464.616301953934</v>
      </c>
      <c r="O305" s="6">
        <f t="shared" si="73"/>
        <v>663018.43401786569</v>
      </c>
      <c r="P305" s="6">
        <f t="shared" si="74"/>
        <v>10976.72318728041</v>
      </c>
      <c r="Q305" s="1">
        <v>0.4</v>
      </c>
      <c r="R305" s="1">
        <v>1.5</v>
      </c>
      <c r="S305" s="1">
        <v>1</v>
      </c>
      <c r="T305" s="1">
        <v>0.8</v>
      </c>
      <c r="U305" s="1">
        <v>10</v>
      </c>
      <c r="V305" s="5">
        <f t="shared" si="75"/>
        <v>2.4999999999999991</v>
      </c>
      <c r="X305" s="1">
        <v>56</v>
      </c>
      <c r="Y305" s="6">
        <f t="shared" si="77"/>
        <v>4292.9232603907867</v>
      </c>
      <c r="Z305" s="6">
        <f t="shared" si="78"/>
        <v>73668.714890873962</v>
      </c>
      <c r="AA305" s="6">
        <f t="shared" si="79"/>
        <v>10976.72318728041</v>
      </c>
      <c r="AB305" s="1">
        <f t="shared" si="80"/>
        <v>0.4</v>
      </c>
      <c r="AC305" s="1">
        <f t="shared" si="70"/>
        <v>1.5</v>
      </c>
      <c r="AD305" s="1">
        <f t="shared" si="71"/>
        <v>1</v>
      </c>
      <c r="AE305" s="1">
        <f t="shared" si="81"/>
        <v>10</v>
      </c>
      <c r="AF305" s="36">
        <f t="shared" si="82"/>
        <v>2.4999999999999991</v>
      </c>
    </row>
    <row r="306" spans="4:32" ht="14.25" hidden="1" customHeight="1" outlineLevel="1" x14ac:dyDescent="0.2">
      <c r="D306" s="1">
        <v>57</v>
      </c>
      <c r="E306" s="6">
        <f t="shared" si="83"/>
        <v>225.37847117051624</v>
      </c>
      <c r="F306" s="6">
        <f t="shared" si="83"/>
        <v>9735.5679109198336</v>
      </c>
      <c r="G306" s="6">
        <f t="shared" si="83"/>
        <v>76.83706231096285</v>
      </c>
      <c r="H306" s="1">
        <v>0.4</v>
      </c>
      <c r="I306" s="1">
        <v>1.5</v>
      </c>
      <c r="J306" s="1">
        <v>1</v>
      </c>
      <c r="M306" s="1">
        <v>57</v>
      </c>
      <c r="N306" s="6">
        <f t="shared" si="76"/>
        <v>22537.847117051628</v>
      </c>
      <c r="O306" s="6">
        <f t="shared" si="73"/>
        <v>678419.15888035845</v>
      </c>
      <c r="P306" s="6">
        <f t="shared" si="74"/>
        <v>11525.559346644428</v>
      </c>
      <c r="Q306" s="1">
        <v>0.4</v>
      </c>
      <c r="R306" s="1">
        <v>1.5</v>
      </c>
      <c r="S306" s="1">
        <v>1</v>
      </c>
      <c r="T306" s="1">
        <v>0.8</v>
      </c>
      <c r="U306" s="1">
        <v>10</v>
      </c>
      <c r="V306" s="5">
        <f t="shared" si="75"/>
        <v>2.4999999999999991</v>
      </c>
      <c r="X306" s="1">
        <v>57</v>
      </c>
      <c r="Y306" s="6">
        <f t="shared" si="77"/>
        <v>4507.5694234103257</v>
      </c>
      <c r="Z306" s="6">
        <f t="shared" si="78"/>
        <v>75379.906542262048</v>
      </c>
      <c r="AA306" s="6">
        <f t="shared" si="79"/>
        <v>11525.559346644428</v>
      </c>
      <c r="AB306" s="1">
        <f t="shared" si="80"/>
        <v>0.4</v>
      </c>
      <c r="AC306" s="1">
        <f t="shared" si="70"/>
        <v>1.5</v>
      </c>
      <c r="AD306" s="1">
        <f t="shared" si="71"/>
        <v>1</v>
      </c>
      <c r="AE306" s="1">
        <f t="shared" si="81"/>
        <v>10</v>
      </c>
      <c r="AF306" s="36">
        <f t="shared" si="82"/>
        <v>2.4999999999999991</v>
      </c>
    </row>
    <row r="307" spans="4:32" ht="14.25" hidden="1" customHeight="1" outlineLevel="1" x14ac:dyDescent="0.2">
      <c r="D307" s="1">
        <v>58</v>
      </c>
      <c r="E307" s="6">
        <f t="shared" si="83"/>
        <v>236.64739472904208</v>
      </c>
      <c r="F307" s="6">
        <f t="shared" si="83"/>
        <v>10222.346306465828</v>
      </c>
      <c r="G307" s="6">
        <f t="shared" si="83"/>
        <v>80.678915426510997</v>
      </c>
      <c r="H307" s="1">
        <v>0.4</v>
      </c>
      <c r="I307" s="1">
        <v>1.5</v>
      </c>
      <c r="J307" s="1">
        <v>1</v>
      </c>
      <c r="M307" s="1">
        <v>58</v>
      </c>
      <c r="N307" s="6">
        <f t="shared" si="76"/>
        <v>23664.73947290421</v>
      </c>
      <c r="O307" s="6">
        <f t="shared" si="73"/>
        <v>693766.7326870698</v>
      </c>
      <c r="P307" s="6">
        <f t="shared" si="74"/>
        <v>12101.83731397665</v>
      </c>
      <c r="Q307" s="1">
        <v>0.4</v>
      </c>
      <c r="R307" s="1">
        <v>1.5</v>
      </c>
      <c r="S307" s="1">
        <v>1</v>
      </c>
      <c r="T307" s="1">
        <v>0.8</v>
      </c>
      <c r="U307" s="1">
        <v>10</v>
      </c>
      <c r="V307" s="5">
        <f t="shared" si="75"/>
        <v>2.4999999999999987</v>
      </c>
      <c r="X307" s="1">
        <v>58</v>
      </c>
      <c r="Y307" s="6">
        <f t="shared" si="77"/>
        <v>4732.9478945808423</v>
      </c>
      <c r="Z307" s="6">
        <f t="shared" si="78"/>
        <v>77085.192520785538</v>
      </c>
      <c r="AA307" s="6">
        <f t="shared" si="79"/>
        <v>12101.83731397665</v>
      </c>
      <c r="AB307" s="1">
        <f t="shared" si="80"/>
        <v>0.4</v>
      </c>
      <c r="AC307" s="1">
        <f t="shared" si="70"/>
        <v>1.5</v>
      </c>
      <c r="AD307" s="1">
        <f t="shared" si="71"/>
        <v>1</v>
      </c>
      <c r="AE307" s="1">
        <f t="shared" si="81"/>
        <v>10</v>
      </c>
      <c r="AF307" s="36">
        <f t="shared" si="82"/>
        <v>2.4999999999999987</v>
      </c>
    </row>
    <row r="308" spans="4:32" ht="14.25" hidden="1" customHeight="1" outlineLevel="1" x14ac:dyDescent="0.2">
      <c r="D308" s="1">
        <v>59</v>
      </c>
      <c r="E308" s="6">
        <f t="shared" si="83"/>
        <v>248.47976446549421</v>
      </c>
      <c r="F308" s="6">
        <f t="shared" si="83"/>
        <v>10733.463621789118</v>
      </c>
      <c r="G308" s="6">
        <f t="shared" si="83"/>
        <v>84.71286119783656</v>
      </c>
      <c r="H308" s="1">
        <v>0.4</v>
      </c>
      <c r="I308" s="1">
        <v>1.5</v>
      </c>
      <c r="J308" s="1">
        <v>1</v>
      </c>
      <c r="M308" s="1">
        <v>59</v>
      </c>
      <c r="N308" s="6">
        <f t="shared" si="76"/>
        <v>24847.976446549426</v>
      </c>
      <c r="O308" s="6">
        <f t="shared" si="73"/>
        <v>709043.2750851505</v>
      </c>
      <c r="P308" s="6">
        <f t="shared" si="74"/>
        <v>12706.929179675484</v>
      </c>
      <c r="Q308" s="1">
        <v>0.4</v>
      </c>
      <c r="R308" s="1">
        <v>1.5</v>
      </c>
      <c r="S308" s="1">
        <v>1</v>
      </c>
      <c r="T308" s="1">
        <v>0.8</v>
      </c>
      <c r="U308" s="1">
        <v>10</v>
      </c>
      <c r="V308" s="5">
        <f t="shared" si="75"/>
        <v>2.4999999999999987</v>
      </c>
      <c r="X308" s="1">
        <v>59</v>
      </c>
      <c r="Y308" s="6">
        <f t="shared" si="77"/>
        <v>4969.5952893098856</v>
      </c>
      <c r="Z308" s="6">
        <f t="shared" si="78"/>
        <v>78782.586120572276</v>
      </c>
      <c r="AA308" s="6">
        <f t="shared" si="79"/>
        <v>12706.929179675484</v>
      </c>
      <c r="AB308" s="1">
        <f t="shared" si="80"/>
        <v>0.4</v>
      </c>
      <c r="AC308" s="1">
        <f t="shared" si="70"/>
        <v>1.5</v>
      </c>
      <c r="AD308" s="1">
        <f t="shared" si="71"/>
        <v>1</v>
      </c>
      <c r="AE308" s="1">
        <f t="shared" si="81"/>
        <v>10</v>
      </c>
      <c r="AF308" s="36">
        <f t="shared" si="82"/>
        <v>2.4999999999999987</v>
      </c>
    </row>
    <row r="309" spans="4:32" ht="14.25" hidden="1" customHeight="1" outlineLevel="1" x14ac:dyDescent="0.2">
      <c r="D309" s="1">
        <v>60</v>
      </c>
      <c r="E309" s="6">
        <f t="shared" si="83"/>
        <v>260.90375268876892</v>
      </c>
      <c r="F309" s="6">
        <f t="shared" si="83"/>
        <v>11270.136802878576</v>
      </c>
      <c r="G309" s="6">
        <f t="shared" si="83"/>
        <v>88.948504257728388</v>
      </c>
      <c r="H309" s="1">
        <v>0.4</v>
      </c>
      <c r="I309" s="1">
        <v>1.5</v>
      </c>
      <c r="J309" s="1">
        <v>1</v>
      </c>
      <c r="M309" s="1">
        <v>60</v>
      </c>
      <c r="N309" s="6">
        <f t="shared" si="76"/>
        <v>26090.375268876895</v>
      </c>
      <c r="O309" s="6">
        <f t="shared" si="73"/>
        <v>724231.23889084847</v>
      </c>
      <c r="P309" s="6">
        <f t="shared" si="74"/>
        <v>13342.275638659257</v>
      </c>
      <c r="Q309" s="1">
        <v>0.4</v>
      </c>
      <c r="R309" s="1">
        <v>1.5</v>
      </c>
      <c r="S309" s="1">
        <v>1</v>
      </c>
      <c r="T309" s="1">
        <v>0.8</v>
      </c>
      <c r="U309" s="1">
        <v>10</v>
      </c>
      <c r="V309" s="5">
        <f t="shared" si="75"/>
        <v>2.4999999999999991</v>
      </c>
      <c r="X309" s="1">
        <v>60</v>
      </c>
      <c r="Y309" s="6">
        <f t="shared" si="77"/>
        <v>5218.0750537753793</v>
      </c>
      <c r="Z309" s="6">
        <f t="shared" si="78"/>
        <v>80470.137654538717</v>
      </c>
      <c r="AA309" s="6">
        <f t="shared" si="79"/>
        <v>13342.275638659257</v>
      </c>
      <c r="AB309" s="1">
        <f t="shared" si="80"/>
        <v>0.4</v>
      </c>
      <c r="AC309" s="1">
        <f t="shared" si="70"/>
        <v>1.5</v>
      </c>
      <c r="AD309" s="1">
        <f t="shared" si="71"/>
        <v>1</v>
      </c>
      <c r="AE309" s="1">
        <f t="shared" si="81"/>
        <v>10</v>
      </c>
      <c r="AF309" s="36">
        <f t="shared" si="82"/>
        <v>2.4999999999999991</v>
      </c>
    </row>
    <row r="310" spans="4:32" ht="14.25" hidden="1" customHeight="1" outlineLevel="1" x14ac:dyDescent="0.2">
      <c r="D310" s="1">
        <v>61</v>
      </c>
      <c r="E310" s="6">
        <f t="shared" si="83"/>
        <v>273.94894032320735</v>
      </c>
      <c r="F310" s="6">
        <f t="shared" si="83"/>
        <v>11833.643643022502</v>
      </c>
      <c r="G310" s="6">
        <f t="shared" si="83"/>
        <v>93.395929470614789</v>
      </c>
      <c r="H310" s="1">
        <v>0.4</v>
      </c>
      <c r="I310" s="1">
        <v>1.5</v>
      </c>
      <c r="J310" s="1">
        <v>1</v>
      </c>
      <c r="M310" s="1">
        <v>61</v>
      </c>
      <c r="N310" s="6">
        <f t="shared" si="76"/>
        <v>27394.894032320735</v>
      </c>
      <c r="O310" s="6">
        <f t="shared" si="73"/>
        <v>739313.48913478199</v>
      </c>
      <c r="P310" s="6">
        <f t="shared" si="74"/>
        <v>14009.389420592219</v>
      </c>
      <c r="Q310" s="1">
        <v>0.4</v>
      </c>
      <c r="R310" s="1">
        <v>1.5</v>
      </c>
      <c r="S310" s="1">
        <v>1</v>
      </c>
      <c r="T310" s="1">
        <v>0.8</v>
      </c>
      <c r="U310" s="1">
        <v>10</v>
      </c>
      <c r="V310" s="5">
        <f t="shared" si="75"/>
        <v>2.4999999999999996</v>
      </c>
      <c r="X310" s="1">
        <v>61</v>
      </c>
      <c r="Y310" s="6">
        <f t="shared" si="77"/>
        <v>5478.9788064641471</v>
      </c>
      <c r="Z310" s="6">
        <f t="shared" si="78"/>
        <v>82145.943237197993</v>
      </c>
      <c r="AA310" s="6">
        <f t="shared" si="79"/>
        <v>14009.389420592219</v>
      </c>
      <c r="AB310" s="1">
        <f t="shared" si="80"/>
        <v>0.4</v>
      </c>
      <c r="AC310" s="1">
        <f t="shared" si="70"/>
        <v>1.5</v>
      </c>
      <c r="AD310" s="1">
        <f t="shared" si="71"/>
        <v>1</v>
      </c>
      <c r="AE310" s="1">
        <f t="shared" si="81"/>
        <v>10</v>
      </c>
      <c r="AF310" s="36">
        <f t="shared" si="82"/>
        <v>2.4999999999999996</v>
      </c>
    </row>
    <row r="311" spans="4:32" ht="14.25" hidden="1" customHeight="1" outlineLevel="1" x14ac:dyDescent="0.2">
      <c r="D311" s="1">
        <v>62</v>
      </c>
      <c r="E311" s="6">
        <f t="shared" si="83"/>
        <v>287.64638733936778</v>
      </c>
      <c r="F311" s="6">
        <f t="shared" si="83"/>
        <v>12425.325825173632</v>
      </c>
      <c r="G311" s="6">
        <f t="shared" si="83"/>
        <v>98.065725944145555</v>
      </c>
      <c r="H311" s="1">
        <v>0.4</v>
      </c>
      <c r="I311" s="1">
        <v>1.5</v>
      </c>
      <c r="J311" s="1">
        <v>1</v>
      </c>
      <c r="M311" s="1">
        <v>62</v>
      </c>
      <c r="N311" s="6">
        <f t="shared" si="76"/>
        <v>28764.638733936779</v>
      </c>
      <c r="O311" s="6">
        <f t="shared" si="73"/>
        <v>754273.37806772639</v>
      </c>
      <c r="P311" s="6">
        <f t="shared" si="74"/>
        <v>14709.858891621834</v>
      </c>
      <c r="Q311" s="1">
        <v>0.4</v>
      </c>
      <c r="R311" s="1">
        <v>1.5</v>
      </c>
      <c r="S311" s="1">
        <v>1</v>
      </c>
      <c r="T311" s="1">
        <v>0.8</v>
      </c>
      <c r="U311" s="1">
        <v>10</v>
      </c>
      <c r="V311" s="5">
        <f t="shared" si="75"/>
        <v>2.4999999999999991</v>
      </c>
      <c r="X311" s="1">
        <v>62</v>
      </c>
      <c r="Y311" s="6">
        <f t="shared" si="77"/>
        <v>5752.9277467873562</v>
      </c>
      <c r="Z311" s="6">
        <f t="shared" si="78"/>
        <v>83808.15311863627</v>
      </c>
      <c r="AA311" s="6">
        <f t="shared" si="79"/>
        <v>14709.858891621834</v>
      </c>
      <c r="AB311" s="1">
        <f t="shared" si="80"/>
        <v>0.4</v>
      </c>
      <c r="AC311" s="1">
        <f t="shared" si="70"/>
        <v>1.5</v>
      </c>
      <c r="AD311" s="1">
        <f t="shared" si="71"/>
        <v>1</v>
      </c>
      <c r="AE311" s="1">
        <f t="shared" si="81"/>
        <v>10</v>
      </c>
      <c r="AF311" s="36">
        <f t="shared" si="82"/>
        <v>2.4999999999999991</v>
      </c>
    </row>
    <row r="312" spans="4:32" ht="14.25" hidden="1" customHeight="1" outlineLevel="1" x14ac:dyDescent="0.2">
      <c r="D312" s="1">
        <v>63</v>
      </c>
      <c r="E312" s="6">
        <f t="shared" si="83"/>
        <v>302.02870670633604</v>
      </c>
      <c r="F312" s="6">
        <f t="shared" si="83"/>
        <v>13046.592116432306</v>
      </c>
      <c r="G312" s="6">
        <f t="shared" si="83"/>
        <v>102.9690122413528</v>
      </c>
      <c r="H312" s="1">
        <v>0.4</v>
      </c>
      <c r="I312" s="1">
        <v>1.5</v>
      </c>
      <c r="J312" s="1">
        <v>1</v>
      </c>
      <c r="M312" s="1">
        <v>63</v>
      </c>
      <c r="N312" s="6">
        <f t="shared" si="76"/>
        <v>30202.870670633602</v>
      </c>
      <c r="O312" s="6">
        <f t="shared" si="73"/>
        <v>769094.81545485964</v>
      </c>
      <c r="P312" s="6">
        <f t="shared" si="74"/>
        <v>15445.351836202921</v>
      </c>
      <c r="Q312" s="1">
        <v>0.4</v>
      </c>
      <c r="R312" s="1">
        <v>1.5</v>
      </c>
      <c r="S312" s="1">
        <v>1</v>
      </c>
      <c r="T312" s="1">
        <v>0.8</v>
      </c>
      <c r="U312" s="1">
        <v>10</v>
      </c>
      <c r="V312" s="5">
        <f t="shared" si="75"/>
        <v>2.4999999999999996</v>
      </c>
      <c r="X312" s="1">
        <v>63</v>
      </c>
      <c r="Y312" s="6">
        <f t="shared" si="77"/>
        <v>6040.5741341267203</v>
      </c>
      <c r="Z312" s="6">
        <f t="shared" si="78"/>
        <v>85454.979494984407</v>
      </c>
      <c r="AA312" s="6">
        <f t="shared" si="79"/>
        <v>15445.351836202921</v>
      </c>
      <c r="AB312" s="1">
        <f t="shared" si="80"/>
        <v>0.4</v>
      </c>
      <c r="AC312" s="1">
        <f t="shared" si="70"/>
        <v>1.5</v>
      </c>
      <c r="AD312" s="1">
        <f t="shared" si="71"/>
        <v>1</v>
      </c>
      <c r="AE312" s="1">
        <f t="shared" si="81"/>
        <v>10</v>
      </c>
      <c r="AF312" s="36">
        <f t="shared" si="82"/>
        <v>2.4999999999999996</v>
      </c>
    </row>
    <row r="313" spans="4:32" ht="14.25" hidden="1" customHeight="1" outlineLevel="1" x14ac:dyDescent="0.2">
      <c r="D313" s="1">
        <v>64</v>
      </c>
      <c r="E313" s="6">
        <f t="shared" si="83"/>
        <v>317.13014204165296</v>
      </c>
      <c r="F313" s="6">
        <f t="shared" si="83"/>
        <v>13698.921722253928</v>
      </c>
      <c r="G313" s="6">
        <f t="shared" si="83"/>
        <v>108.11746285342048</v>
      </c>
      <c r="H313" s="1">
        <v>0.4</v>
      </c>
      <c r="I313" s="1">
        <v>1.5</v>
      </c>
      <c r="J313" s="1">
        <v>1</v>
      </c>
      <c r="M313" s="1">
        <v>64</v>
      </c>
      <c r="N313" s="6">
        <f t="shared" si="76"/>
        <v>31713.014204165298</v>
      </c>
      <c r="O313" s="6">
        <f t="shared" si="73"/>
        <v>783762.33356356155</v>
      </c>
      <c r="P313" s="6">
        <f t="shared" si="74"/>
        <v>16217.619428013071</v>
      </c>
      <c r="Q313" s="1">
        <v>0.4</v>
      </c>
      <c r="R313" s="1">
        <v>1.5</v>
      </c>
      <c r="S313" s="1">
        <v>1</v>
      </c>
      <c r="T313" s="1">
        <v>0.8</v>
      </c>
      <c r="U313" s="1">
        <v>10</v>
      </c>
      <c r="V313" s="5">
        <f t="shared" si="75"/>
        <v>2.4999999999999991</v>
      </c>
      <c r="X313" s="1">
        <v>64</v>
      </c>
      <c r="Y313" s="6">
        <f t="shared" si="77"/>
        <v>6342.6028408330594</v>
      </c>
      <c r="Z313" s="6">
        <f t="shared" si="78"/>
        <v>87084.703729284622</v>
      </c>
      <c r="AA313" s="6">
        <f t="shared" si="79"/>
        <v>16217.619428013071</v>
      </c>
      <c r="AB313" s="1">
        <f t="shared" si="80"/>
        <v>0.4</v>
      </c>
      <c r="AC313" s="1">
        <f t="shared" si="70"/>
        <v>1.5</v>
      </c>
      <c r="AD313" s="1">
        <f t="shared" si="71"/>
        <v>1</v>
      </c>
      <c r="AE313" s="1">
        <f t="shared" si="81"/>
        <v>10</v>
      </c>
      <c r="AF313" s="36">
        <f t="shared" si="82"/>
        <v>2.4999999999999991</v>
      </c>
    </row>
    <row r="314" spans="4:32" ht="14.25" hidden="1" customHeight="1" outlineLevel="1" x14ac:dyDescent="0.2">
      <c r="D314" s="1">
        <v>65</v>
      </c>
      <c r="E314" s="6">
        <f t="shared" si="83"/>
        <v>332.98664914373558</v>
      </c>
      <c r="F314" s="6">
        <f t="shared" si="83"/>
        <v>14383.867808366624</v>
      </c>
      <c r="G314" s="6">
        <f t="shared" si="83"/>
        <v>113.5233359960915</v>
      </c>
      <c r="H314" s="1">
        <v>0.4</v>
      </c>
      <c r="I314" s="1">
        <v>1.5</v>
      </c>
      <c r="J314" s="1">
        <v>1</v>
      </c>
      <c r="M314" s="1">
        <v>65</v>
      </c>
      <c r="N314" s="6">
        <f t="shared" si="76"/>
        <v>33298.664914373563</v>
      </c>
      <c r="O314" s="6">
        <f t="shared" si="73"/>
        <v>798261.14633492334</v>
      </c>
      <c r="P314" s="6">
        <f t="shared" si="74"/>
        <v>17028.500399413726</v>
      </c>
      <c r="Q314" s="1">
        <v>0.4</v>
      </c>
      <c r="R314" s="1">
        <v>1.5</v>
      </c>
      <c r="S314" s="1">
        <v>1</v>
      </c>
      <c r="T314" s="1">
        <v>0.8</v>
      </c>
      <c r="U314" s="1">
        <v>10</v>
      </c>
      <c r="V314" s="5">
        <f t="shared" si="75"/>
        <v>2.4999999999999987</v>
      </c>
      <c r="X314" s="1">
        <v>65</v>
      </c>
      <c r="Y314" s="6">
        <f t="shared" si="77"/>
        <v>6659.7329828747124</v>
      </c>
      <c r="Z314" s="6">
        <f t="shared" si="78"/>
        <v>88695.6829261026</v>
      </c>
      <c r="AA314" s="6">
        <f t="shared" si="79"/>
        <v>17028.500399413726</v>
      </c>
      <c r="AB314" s="1">
        <f t="shared" si="80"/>
        <v>0.4</v>
      </c>
      <c r="AC314" s="1">
        <f t="shared" ref="AC314:AC349" si="84">R314</f>
        <v>1.5</v>
      </c>
      <c r="AD314" s="1">
        <f t="shared" ref="AD314:AD349" si="85">S314</f>
        <v>1</v>
      </c>
      <c r="AE314" s="1">
        <f t="shared" si="81"/>
        <v>10</v>
      </c>
      <c r="AF314" s="36">
        <f t="shared" si="82"/>
        <v>2.4999999999999987</v>
      </c>
    </row>
    <row r="315" spans="4:32" ht="14.25" hidden="1" customHeight="1" outlineLevel="1" x14ac:dyDescent="0.2">
      <c r="D315" s="1">
        <v>66</v>
      </c>
      <c r="E315" s="6">
        <f t="shared" ref="E315:G349" si="86">E$247*E$248^($D315-1)</f>
        <v>349.63598160092238</v>
      </c>
      <c r="F315" s="6">
        <f t="shared" si="86"/>
        <v>15103.061198784957</v>
      </c>
      <c r="G315" s="6">
        <f t="shared" si="86"/>
        <v>119.19950279589608</v>
      </c>
      <c r="H315" s="1">
        <v>0.4</v>
      </c>
      <c r="I315" s="1">
        <v>1.5</v>
      </c>
      <c r="J315" s="1">
        <v>1</v>
      </c>
      <c r="M315" s="1">
        <v>66</v>
      </c>
      <c r="N315" s="6">
        <f t="shared" si="76"/>
        <v>34963.598160092239</v>
      </c>
      <c r="O315" s="6">
        <f t="shared" ref="O315:O349" si="87">F315*$K$21/(1+P315/$P$22)</f>
        <v>812577.20232013625</v>
      </c>
      <c r="P315" s="6">
        <f t="shared" ref="P315:P349" si="88">G315*$K$21</f>
        <v>17879.925419384414</v>
      </c>
      <c r="Q315" s="1">
        <v>0.4</v>
      </c>
      <c r="R315" s="1">
        <v>1.5</v>
      </c>
      <c r="S315" s="1">
        <v>1</v>
      </c>
      <c r="T315" s="1">
        <v>0.8</v>
      </c>
      <c r="U315" s="1">
        <v>10</v>
      </c>
      <c r="V315" s="5">
        <f t="shared" ref="V315:V349" si="89">E315*$K$21*(1-T315)/(1/U315)/(1+Q315*(R315-1))/N315</f>
        <v>2.4999999999999996</v>
      </c>
      <c r="X315" s="1">
        <v>66</v>
      </c>
      <c r="Y315" s="6">
        <f t="shared" si="77"/>
        <v>6992.7196320184476</v>
      </c>
      <c r="Z315" s="6">
        <f t="shared" si="78"/>
        <v>90286.355813348477</v>
      </c>
      <c r="AA315" s="6">
        <f t="shared" si="79"/>
        <v>17879.925419384414</v>
      </c>
      <c r="AB315" s="1">
        <f t="shared" si="80"/>
        <v>0.4</v>
      </c>
      <c r="AC315" s="1">
        <f t="shared" si="84"/>
        <v>1.5</v>
      </c>
      <c r="AD315" s="1">
        <f t="shared" si="85"/>
        <v>1</v>
      </c>
      <c r="AE315" s="1">
        <f t="shared" si="81"/>
        <v>10</v>
      </c>
      <c r="AF315" s="36">
        <f t="shared" si="82"/>
        <v>2.4999999999999996</v>
      </c>
    </row>
    <row r="316" spans="4:32" ht="14.25" hidden="1" customHeight="1" outlineLevel="1" x14ac:dyDescent="0.2">
      <c r="D316" s="1">
        <v>67</v>
      </c>
      <c r="E316" s="6">
        <f t="shared" si="86"/>
        <v>367.11778068096851</v>
      </c>
      <c r="F316" s="6">
        <f t="shared" si="86"/>
        <v>15858.214258724203</v>
      </c>
      <c r="G316" s="6">
        <f t="shared" si="86"/>
        <v>125.15947793569089</v>
      </c>
      <c r="H316" s="1">
        <v>0.4</v>
      </c>
      <c r="I316" s="1">
        <v>1.5</v>
      </c>
      <c r="J316" s="1">
        <v>1</v>
      </c>
      <c r="M316" s="1">
        <v>67</v>
      </c>
      <c r="N316" s="6">
        <f t="shared" ref="N316:N349" si="90">E316*T316*$K$21/S316/(1+Q316*(R316-1))</f>
        <v>36711.778068096857</v>
      </c>
      <c r="O316" s="6">
        <f t="shared" si="87"/>
        <v>826697.23105769523</v>
      </c>
      <c r="P316" s="6">
        <f t="shared" si="88"/>
        <v>18773.921690353633</v>
      </c>
      <c r="Q316" s="1">
        <v>0.4</v>
      </c>
      <c r="R316" s="1">
        <v>1.5</v>
      </c>
      <c r="S316" s="1">
        <v>1</v>
      </c>
      <c r="T316" s="1">
        <v>0.8</v>
      </c>
      <c r="U316" s="1">
        <v>10</v>
      </c>
      <c r="V316" s="5">
        <f t="shared" si="89"/>
        <v>2.4999999999999991</v>
      </c>
      <c r="X316" s="1">
        <v>67</v>
      </c>
      <c r="Y316" s="6">
        <f t="shared" ref="Y316:Y349" si="91">2*N316/(1+$X$22)</f>
        <v>7342.3556136193711</v>
      </c>
      <c r="Z316" s="6">
        <f t="shared" ref="Z316:Z349" si="92">O316/$X$22</f>
        <v>91855.247895299472</v>
      </c>
      <c r="AA316" s="6">
        <f t="shared" ref="AA316:AA349" si="93">P316</f>
        <v>18773.921690353633</v>
      </c>
      <c r="AB316" s="1">
        <f t="shared" ref="AB316:AB349" si="94">Q316</f>
        <v>0.4</v>
      </c>
      <c r="AC316" s="1">
        <f t="shared" si="84"/>
        <v>1.5</v>
      </c>
      <c r="AD316" s="1">
        <f t="shared" si="85"/>
        <v>1</v>
      </c>
      <c r="AE316" s="1">
        <f t="shared" ref="AE316:AE349" si="95">U316</f>
        <v>10</v>
      </c>
      <c r="AF316" s="36">
        <f t="shared" ref="AF316:AF349" si="96">V316</f>
        <v>2.4999999999999991</v>
      </c>
    </row>
    <row r="317" spans="4:32" ht="14.25" hidden="1" customHeight="1" outlineLevel="1" x14ac:dyDescent="0.2">
      <c r="D317" s="1">
        <v>68</v>
      </c>
      <c r="E317" s="6">
        <f t="shared" si="86"/>
        <v>385.47366971501697</v>
      </c>
      <c r="F317" s="6">
        <f t="shared" si="86"/>
        <v>16651.124971660414</v>
      </c>
      <c r="G317" s="6">
        <f t="shared" si="86"/>
        <v>131.41745183247542</v>
      </c>
      <c r="H317" s="1">
        <v>0.4</v>
      </c>
      <c r="I317" s="1">
        <v>1.5</v>
      </c>
      <c r="J317" s="1">
        <v>1</v>
      </c>
      <c r="M317" s="1">
        <v>68</v>
      </c>
      <c r="N317" s="6">
        <f t="shared" si="90"/>
        <v>38547.366971501702</v>
      </c>
      <c r="O317" s="6">
        <f t="shared" si="87"/>
        <v>840608.78266384243</v>
      </c>
      <c r="P317" s="6">
        <f t="shared" si="88"/>
        <v>19712.617774871313</v>
      </c>
      <c r="Q317" s="1">
        <v>0.4</v>
      </c>
      <c r="R317" s="1">
        <v>1.5</v>
      </c>
      <c r="S317" s="1">
        <v>1</v>
      </c>
      <c r="T317" s="1">
        <v>0.8</v>
      </c>
      <c r="U317" s="1">
        <v>10</v>
      </c>
      <c r="V317" s="5">
        <f t="shared" si="89"/>
        <v>2.4999999999999991</v>
      </c>
      <c r="X317" s="1">
        <v>68</v>
      </c>
      <c r="Y317" s="6">
        <f t="shared" si="91"/>
        <v>7709.4733943003403</v>
      </c>
      <c r="Z317" s="6">
        <f t="shared" si="92"/>
        <v>93400.975851538053</v>
      </c>
      <c r="AA317" s="6">
        <f t="shared" si="93"/>
        <v>19712.617774871313</v>
      </c>
      <c r="AB317" s="1">
        <f t="shared" si="94"/>
        <v>0.4</v>
      </c>
      <c r="AC317" s="1">
        <f t="shared" si="84"/>
        <v>1.5</v>
      </c>
      <c r="AD317" s="1">
        <f t="shared" si="85"/>
        <v>1</v>
      </c>
      <c r="AE317" s="1">
        <f t="shared" si="95"/>
        <v>10</v>
      </c>
      <c r="AF317" s="36">
        <f t="shared" si="96"/>
        <v>2.4999999999999991</v>
      </c>
    </row>
    <row r="318" spans="4:32" ht="14.25" hidden="1" customHeight="1" outlineLevel="1" x14ac:dyDescent="0.2">
      <c r="D318" s="1">
        <v>69</v>
      </c>
      <c r="E318" s="6">
        <f t="shared" si="86"/>
        <v>404.74735320076775</v>
      </c>
      <c r="F318" s="6">
        <f t="shared" si="86"/>
        <v>17483.681220243434</v>
      </c>
      <c r="G318" s="6">
        <f t="shared" si="86"/>
        <v>137.9883244240992</v>
      </c>
      <c r="H318" s="1">
        <v>0.4</v>
      </c>
      <c r="I318" s="1">
        <v>1.5</v>
      </c>
      <c r="J318" s="1">
        <v>1</v>
      </c>
      <c r="M318" s="1">
        <v>69</v>
      </c>
      <c r="N318" s="6">
        <f t="shared" si="90"/>
        <v>40474.735320076776</v>
      </c>
      <c r="O318" s="6">
        <f t="shared" si="87"/>
        <v>854300.26050472923</v>
      </c>
      <c r="P318" s="6">
        <f t="shared" si="88"/>
        <v>20698.248663614882</v>
      </c>
      <c r="Q318" s="1">
        <v>0.4</v>
      </c>
      <c r="R318" s="1">
        <v>1.5</v>
      </c>
      <c r="S318" s="1">
        <v>1</v>
      </c>
      <c r="T318" s="1">
        <v>0.8</v>
      </c>
      <c r="U318" s="1">
        <v>10</v>
      </c>
      <c r="V318" s="5">
        <f t="shared" si="89"/>
        <v>2.4999999999999996</v>
      </c>
      <c r="X318" s="1">
        <v>69</v>
      </c>
      <c r="Y318" s="6">
        <f t="shared" si="91"/>
        <v>8094.947064015355</v>
      </c>
      <c r="Z318" s="6">
        <f t="shared" si="92"/>
        <v>94922.251167192138</v>
      </c>
      <c r="AA318" s="6">
        <f t="shared" si="93"/>
        <v>20698.248663614882</v>
      </c>
      <c r="AB318" s="1">
        <f t="shared" si="94"/>
        <v>0.4</v>
      </c>
      <c r="AC318" s="1">
        <f t="shared" si="84"/>
        <v>1.5</v>
      </c>
      <c r="AD318" s="1">
        <f t="shared" si="85"/>
        <v>1</v>
      </c>
      <c r="AE318" s="1">
        <f t="shared" si="95"/>
        <v>10</v>
      </c>
      <c r="AF318" s="36">
        <f t="shared" si="96"/>
        <v>2.4999999999999996</v>
      </c>
    </row>
    <row r="319" spans="4:32" ht="14.25" hidden="1" customHeight="1" outlineLevel="1" x14ac:dyDescent="0.2">
      <c r="D319" s="1">
        <v>70</v>
      </c>
      <c r="E319" s="6">
        <f t="shared" si="86"/>
        <v>424.98472086080619</v>
      </c>
      <c r="F319" s="6">
        <f t="shared" si="86"/>
        <v>18357.865281255607</v>
      </c>
      <c r="G319" s="6">
        <f t="shared" si="86"/>
        <v>144.88774064530415</v>
      </c>
      <c r="H319" s="1">
        <v>0.4</v>
      </c>
      <c r="I319" s="1">
        <v>1.5</v>
      </c>
      <c r="J319" s="1">
        <v>1</v>
      </c>
      <c r="M319" s="1">
        <v>70</v>
      </c>
      <c r="N319" s="6">
        <f t="shared" si="90"/>
        <v>42498.472086080626</v>
      </c>
      <c r="O319" s="6">
        <f t="shared" si="87"/>
        <v>867760.9469125357</v>
      </c>
      <c r="P319" s="6">
        <f t="shared" si="88"/>
        <v>21733.161096795622</v>
      </c>
      <c r="Q319" s="1">
        <v>0.4</v>
      </c>
      <c r="R319" s="1">
        <v>1.5</v>
      </c>
      <c r="S319" s="1">
        <v>1</v>
      </c>
      <c r="T319" s="1">
        <v>0.8</v>
      </c>
      <c r="U319" s="1">
        <v>10</v>
      </c>
      <c r="V319" s="5">
        <f t="shared" si="89"/>
        <v>2.4999999999999991</v>
      </c>
      <c r="X319" s="1">
        <v>70</v>
      </c>
      <c r="Y319" s="6">
        <f t="shared" si="91"/>
        <v>8499.6944172161257</v>
      </c>
      <c r="Z319" s="6">
        <f t="shared" si="92"/>
        <v>96417.882990281738</v>
      </c>
      <c r="AA319" s="6">
        <f t="shared" si="93"/>
        <v>21733.161096795622</v>
      </c>
      <c r="AB319" s="1">
        <f t="shared" si="94"/>
        <v>0.4</v>
      </c>
      <c r="AC319" s="1">
        <f t="shared" si="84"/>
        <v>1.5</v>
      </c>
      <c r="AD319" s="1">
        <f t="shared" si="85"/>
        <v>1</v>
      </c>
      <c r="AE319" s="1">
        <f t="shared" si="95"/>
        <v>10</v>
      </c>
      <c r="AF319" s="36">
        <f t="shared" si="96"/>
        <v>2.4999999999999991</v>
      </c>
    </row>
    <row r="320" spans="4:32" ht="14.25" hidden="1" customHeight="1" outlineLevel="1" x14ac:dyDescent="0.2">
      <c r="D320" s="1">
        <v>71</v>
      </c>
      <c r="E320" s="6">
        <f t="shared" si="86"/>
        <v>446.23395690384643</v>
      </c>
      <c r="F320" s="6">
        <f t="shared" si="86"/>
        <v>19275.758545318386</v>
      </c>
      <c r="G320" s="6">
        <f t="shared" si="86"/>
        <v>152.13212767756937</v>
      </c>
      <c r="H320" s="1">
        <v>0.4</v>
      </c>
      <c r="I320" s="1">
        <v>1.5</v>
      </c>
      <c r="J320" s="1">
        <v>1</v>
      </c>
      <c r="M320" s="1">
        <v>71</v>
      </c>
      <c r="N320" s="6">
        <f t="shared" si="90"/>
        <v>44623.395690384648</v>
      </c>
      <c r="O320" s="6">
        <f t="shared" si="87"/>
        <v>880981.02199739928</v>
      </c>
      <c r="P320" s="6">
        <f t="shared" si="88"/>
        <v>22819.819151635405</v>
      </c>
      <c r="Q320" s="1">
        <v>0.4</v>
      </c>
      <c r="R320" s="1">
        <v>1.5</v>
      </c>
      <c r="S320" s="1">
        <v>1</v>
      </c>
      <c r="T320" s="1">
        <v>0.8</v>
      </c>
      <c r="U320" s="1">
        <v>10</v>
      </c>
      <c r="V320" s="5">
        <f t="shared" si="89"/>
        <v>2.4999999999999987</v>
      </c>
      <c r="X320" s="1">
        <v>71</v>
      </c>
      <c r="Y320" s="6">
        <f t="shared" si="91"/>
        <v>8924.67913807693</v>
      </c>
      <c r="Z320" s="6">
        <f t="shared" si="92"/>
        <v>97886.780221933252</v>
      </c>
      <c r="AA320" s="6">
        <f t="shared" si="93"/>
        <v>22819.819151635405</v>
      </c>
      <c r="AB320" s="1">
        <f t="shared" si="94"/>
        <v>0.4</v>
      </c>
      <c r="AC320" s="1">
        <f t="shared" si="84"/>
        <v>1.5</v>
      </c>
      <c r="AD320" s="1">
        <f t="shared" si="85"/>
        <v>1</v>
      </c>
      <c r="AE320" s="1">
        <f t="shared" si="95"/>
        <v>10</v>
      </c>
      <c r="AF320" s="36">
        <f t="shared" si="96"/>
        <v>2.4999999999999987</v>
      </c>
    </row>
    <row r="321" spans="4:32" ht="14.25" hidden="1" customHeight="1" outlineLevel="1" x14ac:dyDescent="0.2">
      <c r="D321" s="1">
        <v>72</v>
      </c>
      <c r="E321" s="6">
        <f t="shared" si="86"/>
        <v>468.54565474903882</v>
      </c>
      <c r="F321" s="6">
        <f t="shared" si="86"/>
        <v>20239.546472584309</v>
      </c>
      <c r="G321" s="6">
        <f t="shared" si="86"/>
        <v>159.73873406144784</v>
      </c>
      <c r="H321" s="1">
        <v>0.4</v>
      </c>
      <c r="I321" s="1">
        <v>1.5</v>
      </c>
      <c r="J321" s="1">
        <v>1</v>
      </c>
      <c r="M321" s="1">
        <v>72</v>
      </c>
      <c r="N321" s="6">
        <f t="shared" si="90"/>
        <v>46854.565474903888</v>
      </c>
      <c r="O321" s="6">
        <f t="shared" si="87"/>
        <v>893951.57569096831</v>
      </c>
      <c r="P321" s="6">
        <f t="shared" si="88"/>
        <v>23960.810109217178</v>
      </c>
      <c r="Q321" s="1">
        <v>0.4</v>
      </c>
      <c r="R321" s="1">
        <v>1.5</v>
      </c>
      <c r="S321" s="1">
        <v>1</v>
      </c>
      <c r="T321" s="1">
        <v>0.8</v>
      </c>
      <c r="U321" s="1">
        <v>10</v>
      </c>
      <c r="V321" s="5">
        <f t="shared" si="89"/>
        <v>2.4999999999999991</v>
      </c>
      <c r="X321" s="1">
        <v>72</v>
      </c>
      <c r="Y321" s="6">
        <f t="shared" si="91"/>
        <v>9370.9130949807768</v>
      </c>
      <c r="Z321" s="6">
        <f t="shared" si="92"/>
        <v>99327.95285455203</v>
      </c>
      <c r="AA321" s="6">
        <f t="shared" si="93"/>
        <v>23960.810109217178</v>
      </c>
      <c r="AB321" s="1">
        <f t="shared" si="94"/>
        <v>0.4</v>
      </c>
      <c r="AC321" s="1">
        <f t="shared" si="84"/>
        <v>1.5</v>
      </c>
      <c r="AD321" s="1">
        <f t="shared" si="85"/>
        <v>1</v>
      </c>
      <c r="AE321" s="1">
        <f t="shared" si="95"/>
        <v>10</v>
      </c>
      <c r="AF321" s="36">
        <f t="shared" si="96"/>
        <v>2.4999999999999991</v>
      </c>
    </row>
    <row r="322" spans="4:32" ht="14.25" hidden="1" customHeight="1" outlineLevel="1" x14ac:dyDescent="0.2">
      <c r="D322" s="1">
        <v>73</v>
      </c>
      <c r="E322" s="6">
        <f t="shared" si="86"/>
        <v>491.97293748649076</v>
      </c>
      <c r="F322" s="6">
        <f t="shared" si="86"/>
        <v>21251.523796213522</v>
      </c>
      <c r="G322" s="6">
        <f t="shared" si="86"/>
        <v>167.72567076452023</v>
      </c>
      <c r="H322" s="1">
        <v>0.4</v>
      </c>
      <c r="I322" s="1">
        <v>1.5</v>
      </c>
      <c r="J322" s="1">
        <v>1</v>
      </c>
      <c r="M322" s="1">
        <v>73</v>
      </c>
      <c r="N322" s="6">
        <f t="shared" si="90"/>
        <v>49197.293748649085</v>
      </c>
      <c r="O322" s="6">
        <f t="shared" si="87"/>
        <v>906664.61323431961</v>
      </c>
      <c r="P322" s="6">
        <f t="shared" si="88"/>
        <v>25158.850614678035</v>
      </c>
      <c r="Q322" s="1">
        <v>0.4</v>
      </c>
      <c r="R322" s="1">
        <v>1.5</v>
      </c>
      <c r="S322" s="1">
        <v>1</v>
      </c>
      <c r="T322" s="1">
        <v>0.8</v>
      </c>
      <c r="U322" s="1">
        <v>10</v>
      </c>
      <c r="V322" s="5">
        <f t="shared" si="89"/>
        <v>2.4999999999999991</v>
      </c>
      <c r="X322" s="1">
        <v>73</v>
      </c>
      <c r="Y322" s="6">
        <f t="shared" si="91"/>
        <v>9839.4587497298162</v>
      </c>
      <c r="Z322" s="6">
        <f t="shared" si="92"/>
        <v>100740.51258159107</v>
      </c>
      <c r="AA322" s="6">
        <f t="shared" si="93"/>
        <v>25158.850614678035</v>
      </c>
      <c r="AB322" s="1">
        <f t="shared" si="94"/>
        <v>0.4</v>
      </c>
      <c r="AC322" s="1">
        <f t="shared" si="84"/>
        <v>1.5</v>
      </c>
      <c r="AD322" s="1">
        <f t="shared" si="85"/>
        <v>1</v>
      </c>
      <c r="AE322" s="1">
        <f t="shared" si="95"/>
        <v>10</v>
      </c>
      <c r="AF322" s="36">
        <f t="shared" si="96"/>
        <v>2.4999999999999991</v>
      </c>
    </row>
    <row r="323" spans="4:32" ht="14.25" hidden="1" customHeight="1" outlineLevel="1" x14ac:dyDescent="0.2">
      <c r="D323" s="1">
        <v>74</v>
      </c>
      <c r="E323" s="6">
        <f t="shared" si="86"/>
        <v>516.57158436081522</v>
      </c>
      <c r="F323" s="6">
        <f t="shared" si="86"/>
        <v>22314.099986024197</v>
      </c>
      <c r="G323" s="6">
        <f t="shared" si="86"/>
        <v>176.11195430274623</v>
      </c>
      <c r="H323" s="1">
        <v>0.4</v>
      </c>
      <c r="I323" s="1">
        <v>1.5</v>
      </c>
      <c r="J323" s="1">
        <v>1</v>
      </c>
      <c r="M323" s="1">
        <v>74</v>
      </c>
      <c r="N323" s="6">
        <f t="shared" si="90"/>
        <v>51657.158436081525</v>
      </c>
      <c r="O323" s="6">
        <f t="shared" si="87"/>
        <v>919113.05439186504</v>
      </c>
      <c r="P323" s="6">
        <f t="shared" si="88"/>
        <v>26416.793145411935</v>
      </c>
      <c r="Q323" s="1">
        <v>0.4</v>
      </c>
      <c r="R323" s="1">
        <v>1.5</v>
      </c>
      <c r="S323" s="1">
        <v>1</v>
      </c>
      <c r="T323" s="1">
        <v>0.8</v>
      </c>
      <c r="U323" s="1">
        <v>10</v>
      </c>
      <c r="V323" s="5">
        <f t="shared" si="89"/>
        <v>2.4999999999999987</v>
      </c>
      <c r="X323" s="1">
        <v>74</v>
      </c>
      <c r="Y323" s="6">
        <f t="shared" si="91"/>
        <v>10331.431687216305</v>
      </c>
      <c r="Z323" s="6">
        <f t="shared" si="92"/>
        <v>102123.67271020723</v>
      </c>
      <c r="AA323" s="6">
        <f t="shared" si="93"/>
        <v>26416.793145411935</v>
      </c>
      <c r="AB323" s="1">
        <f t="shared" si="94"/>
        <v>0.4</v>
      </c>
      <c r="AC323" s="1">
        <f t="shared" si="84"/>
        <v>1.5</v>
      </c>
      <c r="AD323" s="1">
        <f t="shared" si="85"/>
        <v>1</v>
      </c>
      <c r="AE323" s="1">
        <f t="shared" si="95"/>
        <v>10</v>
      </c>
      <c r="AF323" s="36">
        <f t="shared" si="96"/>
        <v>2.4999999999999987</v>
      </c>
    </row>
    <row r="324" spans="4:32" ht="14.25" hidden="1" customHeight="1" outlineLevel="1" x14ac:dyDescent="0.2">
      <c r="D324" s="1">
        <v>75</v>
      </c>
      <c r="E324" s="6">
        <f t="shared" si="86"/>
        <v>542.400163578856</v>
      </c>
      <c r="F324" s="6">
        <f t="shared" si="86"/>
        <v>23429.804985325405</v>
      </c>
      <c r="G324" s="6">
        <f t="shared" si="86"/>
        <v>184.91755201788354</v>
      </c>
      <c r="H324" s="1">
        <v>0.4</v>
      </c>
      <c r="I324" s="1">
        <v>1.5</v>
      </c>
      <c r="J324" s="1">
        <v>1</v>
      </c>
      <c r="M324" s="1">
        <v>75</v>
      </c>
      <c r="N324" s="6">
        <f t="shared" si="90"/>
        <v>54240.016357885608</v>
      </c>
      <c r="O324" s="6">
        <f t="shared" si="87"/>
        <v>931290.72673286195</v>
      </c>
      <c r="P324" s="6">
        <f t="shared" si="88"/>
        <v>27737.632802682532</v>
      </c>
      <c r="Q324" s="1">
        <v>0.4</v>
      </c>
      <c r="R324" s="1">
        <v>1.5</v>
      </c>
      <c r="S324" s="1">
        <v>1</v>
      </c>
      <c r="T324" s="1">
        <v>0.8</v>
      </c>
      <c r="U324" s="1">
        <v>10</v>
      </c>
      <c r="V324" s="5">
        <f t="shared" si="89"/>
        <v>2.4999999999999991</v>
      </c>
      <c r="X324" s="1">
        <v>75</v>
      </c>
      <c r="Y324" s="6">
        <f t="shared" si="91"/>
        <v>10848.003271577121</v>
      </c>
      <c r="Z324" s="6">
        <f t="shared" si="92"/>
        <v>103476.74741476245</v>
      </c>
      <c r="AA324" s="6">
        <f t="shared" si="93"/>
        <v>27737.632802682532</v>
      </c>
      <c r="AB324" s="1">
        <f t="shared" si="94"/>
        <v>0.4</v>
      </c>
      <c r="AC324" s="1">
        <f t="shared" si="84"/>
        <v>1.5</v>
      </c>
      <c r="AD324" s="1">
        <f t="shared" si="85"/>
        <v>1</v>
      </c>
      <c r="AE324" s="1">
        <f t="shared" si="95"/>
        <v>10</v>
      </c>
      <c r="AF324" s="36">
        <f t="shared" si="96"/>
        <v>2.4999999999999991</v>
      </c>
    </row>
    <row r="325" spans="4:32" ht="14.25" hidden="1" customHeight="1" outlineLevel="1" x14ac:dyDescent="0.2">
      <c r="D325" s="1">
        <v>76</v>
      </c>
      <c r="E325" s="6">
        <f t="shared" si="86"/>
        <v>569.52017175779883</v>
      </c>
      <c r="F325" s="6">
        <f t="shared" si="86"/>
        <v>24601.295234591678</v>
      </c>
      <c r="G325" s="6">
        <f t="shared" si="86"/>
        <v>194.16342961877774</v>
      </c>
      <c r="H325" s="1">
        <v>0.4</v>
      </c>
      <c r="I325" s="1">
        <v>1.5</v>
      </c>
      <c r="J325" s="1">
        <v>1</v>
      </c>
      <c r="M325" s="1">
        <v>76</v>
      </c>
      <c r="N325" s="6">
        <f t="shared" si="90"/>
        <v>56952.017175779889</v>
      </c>
      <c r="O325" s="6">
        <f t="shared" si="87"/>
        <v>943192.35337277874</v>
      </c>
      <c r="P325" s="6">
        <f t="shared" si="88"/>
        <v>29124.51444281666</v>
      </c>
      <c r="Q325" s="1">
        <v>0.4</v>
      </c>
      <c r="R325" s="1">
        <v>1.5</v>
      </c>
      <c r="S325" s="1">
        <v>1</v>
      </c>
      <c r="T325" s="1">
        <v>0.8</v>
      </c>
      <c r="U325" s="1">
        <v>10</v>
      </c>
      <c r="V325" s="5">
        <f t="shared" si="89"/>
        <v>2.4999999999999996</v>
      </c>
      <c r="X325" s="1">
        <v>76</v>
      </c>
      <c r="Y325" s="6">
        <f t="shared" si="91"/>
        <v>11390.403435155979</v>
      </c>
      <c r="Z325" s="6">
        <f t="shared" si="92"/>
        <v>104799.1503747532</v>
      </c>
      <c r="AA325" s="6">
        <f t="shared" si="93"/>
        <v>29124.51444281666</v>
      </c>
      <c r="AB325" s="1">
        <f t="shared" si="94"/>
        <v>0.4</v>
      </c>
      <c r="AC325" s="1">
        <f t="shared" si="84"/>
        <v>1.5</v>
      </c>
      <c r="AD325" s="1">
        <f t="shared" si="85"/>
        <v>1</v>
      </c>
      <c r="AE325" s="1">
        <f t="shared" si="95"/>
        <v>10</v>
      </c>
      <c r="AF325" s="36">
        <f t="shared" si="96"/>
        <v>2.4999999999999996</v>
      </c>
    </row>
    <row r="326" spans="4:32" ht="14.25" hidden="1" customHeight="1" outlineLevel="1" x14ac:dyDescent="0.2">
      <c r="D326" s="1">
        <v>77</v>
      </c>
      <c r="E326" s="6">
        <f t="shared" si="86"/>
        <v>597.9961803456888</v>
      </c>
      <c r="F326" s="6">
        <f t="shared" si="86"/>
        <v>25831.359996321258</v>
      </c>
      <c r="G326" s="6">
        <f t="shared" si="86"/>
        <v>203.8716010997166</v>
      </c>
      <c r="H326" s="1">
        <v>0.4</v>
      </c>
      <c r="I326" s="1">
        <v>1.5</v>
      </c>
      <c r="J326" s="1">
        <v>1</v>
      </c>
      <c r="M326" s="1">
        <v>77</v>
      </c>
      <c r="N326" s="6">
        <f t="shared" si="90"/>
        <v>59799.618034568884</v>
      </c>
      <c r="O326" s="6">
        <f t="shared" si="87"/>
        <v>954813.53560773528</v>
      </c>
      <c r="P326" s="6">
        <f t="shared" si="88"/>
        <v>30580.740164957489</v>
      </c>
      <c r="Q326" s="1">
        <v>0.4</v>
      </c>
      <c r="R326" s="1">
        <v>1.5</v>
      </c>
      <c r="S326" s="1">
        <v>1</v>
      </c>
      <c r="T326" s="1">
        <v>0.8</v>
      </c>
      <c r="U326" s="1">
        <v>10</v>
      </c>
      <c r="V326" s="5">
        <f t="shared" si="89"/>
        <v>2.4999999999999991</v>
      </c>
      <c r="X326" s="1">
        <v>77</v>
      </c>
      <c r="Y326" s="6">
        <f t="shared" si="91"/>
        <v>11959.923606913777</v>
      </c>
      <c r="Z326" s="6">
        <f t="shared" si="92"/>
        <v>106090.39284530393</v>
      </c>
      <c r="AA326" s="6">
        <f t="shared" si="93"/>
        <v>30580.740164957489</v>
      </c>
      <c r="AB326" s="1">
        <f t="shared" si="94"/>
        <v>0.4</v>
      </c>
      <c r="AC326" s="1">
        <f t="shared" si="84"/>
        <v>1.5</v>
      </c>
      <c r="AD326" s="1">
        <f t="shared" si="85"/>
        <v>1</v>
      </c>
      <c r="AE326" s="1">
        <f t="shared" si="95"/>
        <v>10</v>
      </c>
      <c r="AF326" s="36">
        <f t="shared" si="96"/>
        <v>2.4999999999999991</v>
      </c>
    </row>
    <row r="327" spans="4:32" ht="14.25" hidden="1" customHeight="1" outlineLevel="1" x14ac:dyDescent="0.2">
      <c r="D327" s="1">
        <v>78</v>
      </c>
      <c r="E327" s="6">
        <f t="shared" si="86"/>
        <v>627.8959893629733</v>
      </c>
      <c r="F327" s="6">
        <f t="shared" si="86"/>
        <v>27122.927996137329</v>
      </c>
      <c r="G327" s="6">
        <f t="shared" si="86"/>
        <v>214.06518115470249</v>
      </c>
      <c r="H327" s="1">
        <v>0.4</v>
      </c>
      <c r="I327" s="1">
        <v>1.5</v>
      </c>
      <c r="J327" s="1">
        <v>1</v>
      </c>
      <c r="M327" s="1">
        <v>78</v>
      </c>
      <c r="N327" s="6">
        <f t="shared" si="90"/>
        <v>62789.598936297334</v>
      </c>
      <c r="O327" s="6">
        <f t="shared" si="87"/>
        <v>966150.73090658966</v>
      </c>
      <c r="P327" s="6">
        <f t="shared" si="88"/>
        <v>32109.777173205373</v>
      </c>
      <c r="Q327" s="1">
        <v>0.4</v>
      </c>
      <c r="R327" s="1">
        <v>1.5</v>
      </c>
      <c r="S327" s="1">
        <v>1</v>
      </c>
      <c r="T327" s="1">
        <v>0.8</v>
      </c>
      <c r="U327" s="1">
        <v>10</v>
      </c>
      <c r="V327" s="5">
        <f t="shared" si="89"/>
        <v>2.4999999999999991</v>
      </c>
      <c r="X327" s="1">
        <v>78</v>
      </c>
      <c r="Y327" s="6">
        <f t="shared" si="91"/>
        <v>12557.919787259467</v>
      </c>
      <c r="Z327" s="6">
        <f t="shared" si="92"/>
        <v>107350.0812118433</v>
      </c>
      <c r="AA327" s="6">
        <f t="shared" si="93"/>
        <v>32109.777173205373</v>
      </c>
      <c r="AB327" s="1">
        <f t="shared" si="94"/>
        <v>0.4</v>
      </c>
      <c r="AC327" s="1">
        <f t="shared" si="84"/>
        <v>1.5</v>
      </c>
      <c r="AD327" s="1">
        <f t="shared" si="85"/>
        <v>1</v>
      </c>
      <c r="AE327" s="1">
        <f t="shared" si="95"/>
        <v>10</v>
      </c>
      <c r="AF327" s="36">
        <f t="shared" si="96"/>
        <v>2.4999999999999991</v>
      </c>
    </row>
    <row r="328" spans="4:32" ht="14.25" hidden="1" customHeight="1" outlineLevel="1" x14ac:dyDescent="0.2">
      <c r="D328" s="1">
        <v>79</v>
      </c>
      <c r="E328" s="6">
        <f t="shared" si="86"/>
        <v>659.29078883112174</v>
      </c>
      <c r="F328" s="6">
        <f t="shared" si="86"/>
        <v>28479.074395944186</v>
      </c>
      <c r="G328" s="6">
        <f t="shared" si="86"/>
        <v>224.76844021243753</v>
      </c>
      <c r="H328" s="1">
        <v>0.4</v>
      </c>
      <c r="I328" s="1">
        <v>1.5</v>
      </c>
      <c r="J328" s="1">
        <v>1</v>
      </c>
      <c r="M328" s="1">
        <v>79</v>
      </c>
      <c r="N328" s="6">
        <f t="shared" si="90"/>
        <v>65929.07888311219</v>
      </c>
      <c r="O328" s="6">
        <f t="shared" si="87"/>
        <v>977201.22674713086</v>
      </c>
      <c r="P328" s="6">
        <f t="shared" si="88"/>
        <v>33715.266031865627</v>
      </c>
      <c r="Q328" s="1">
        <v>0.4</v>
      </c>
      <c r="R328" s="1">
        <v>1.5</v>
      </c>
      <c r="S328" s="1">
        <v>1</v>
      </c>
      <c r="T328" s="1">
        <v>0.8</v>
      </c>
      <c r="U328" s="1">
        <v>10</v>
      </c>
      <c r="V328" s="5">
        <f t="shared" si="89"/>
        <v>2.4999999999999991</v>
      </c>
      <c r="X328" s="1">
        <v>79</v>
      </c>
      <c r="Y328" s="6">
        <f t="shared" si="91"/>
        <v>13185.815776622438</v>
      </c>
      <c r="Z328" s="6">
        <f t="shared" si="92"/>
        <v>108577.91408301453</v>
      </c>
      <c r="AA328" s="6">
        <f t="shared" si="93"/>
        <v>33715.266031865627</v>
      </c>
      <c r="AB328" s="1">
        <f t="shared" si="94"/>
        <v>0.4</v>
      </c>
      <c r="AC328" s="1">
        <f t="shared" si="84"/>
        <v>1.5</v>
      </c>
      <c r="AD328" s="1">
        <f t="shared" si="85"/>
        <v>1</v>
      </c>
      <c r="AE328" s="1">
        <f t="shared" si="95"/>
        <v>10</v>
      </c>
      <c r="AF328" s="36">
        <f t="shared" si="96"/>
        <v>2.4999999999999991</v>
      </c>
    </row>
    <row r="329" spans="4:32" ht="14.25" hidden="1" customHeight="1" outlineLevel="1" x14ac:dyDescent="0.2">
      <c r="D329" s="1">
        <v>80</v>
      </c>
      <c r="E329" s="6">
        <f t="shared" si="86"/>
        <v>692.25532827267807</v>
      </c>
      <c r="F329" s="6">
        <f t="shared" si="86"/>
        <v>29903.028115741407</v>
      </c>
      <c r="G329" s="6">
        <f t="shared" si="86"/>
        <v>236.0068622230595</v>
      </c>
      <c r="H329" s="1">
        <v>0.4</v>
      </c>
      <c r="I329" s="1">
        <v>1.5</v>
      </c>
      <c r="J329" s="1">
        <v>1</v>
      </c>
      <c r="M329" s="1">
        <v>80</v>
      </c>
      <c r="N329" s="6">
        <f t="shared" si="90"/>
        <v>69225.532827267816</v>
      </c>
      <c r="O329" s="6">
        <f t="shared" si="87"/>
        <v>987963.11079572653</v>
      </c>
      <c r="P329" s="6">
        <f t="shared" si="88"/>
        <v>35401.029333458922</v>
      </c>
      <c r="Q329" s="1">
        <v>0.4</v>
      </c>
      <c r="R329" s="1">
        <v>1.5</v>
      </c>
      <c r="S329" s="1">
        <v>1</v>
      </c>
      <c r="T329" s="1">
        <v>0.8</v>
      </c>
      <c r="U329" s="1">
        <v>10</v>
      </c>
      <c r="V329" s="5">
        <f t="shared" si="89"/>
        <v>2.4999999999999991</v>
      </c>
      <c r="X329" s="1">
        <v>80</v>
      </c>
      <c r="Y329" s="6">
        <f t="shared" si="91"/>
        <v>13845.106565453563</v>
      </c>
      <c r="Z329" s="6">
        <f t="shared" si="92"/>
        <v>109773.67897730294</v>
      </c>
      <c r="AA329" s="6">
        <f t="shared" si="93"/>
        <v>35401.029333458922</v>
      </c>
      <c r="AB329" s="1">
        <f t="shared" si="94"/>
        <v>0.4</v>
      </c>
      <c r="AC329" s="1">
        <f t="shared" si="84"/>
        <v>1.5</v>
      </c>
      <c r="AD329" s="1">
        <f t="shared" si="85"/>
        <v>1</v>
      </c>
      <c r="AE329" s="1">
        <f t="shared" si="95"/>
        <v>10</v>
      </c>
      <c r="AF329" s="36">
        <f t="shared" si="96"/>
        <v>2.4999999999999991</v>
      </c>
    </row>
    <row r="330" spans="4:32" ht="14.25" hidden="1" customHeight="1" outlineLevel="1" x14ac:dyDescent="0.2">
      <c r="D330" s="1">
        <v>81</v>
      </c>
      <c r="E330" s="6">
        <f t="shared" si="86"/>
        <v>726.86809468631202</v>
      </c>
      <c r="F330" s="6">
        <f t="shared" si="86"/>
        <v>31398.179521528473</v>
      </c>
      <c r="G330" s="6">
        <f t="shared" si="86"/>
        <v>247.80720533421245</v>
      </c>
      <c r="H330" s="1">
        <v>0.4</v>
      </c>
      <c r="I330" s="1">
        <v>1.5</v>
      </c>
      <c r="J330" s="1">
        <v>1</v>
      </c>
      <c r="M330" s="1">
        <v>81</v>
      </c>
      <c r="N330" s="6">
        <f t="shared" si="90"/>
        <v>72686.809468631211</v>
      </c>
      <c r="O330" s="6">
        <f t="shared" si="87"/>
        <v>998435.23793419299</v>
      </c>
      <c r="P330" s="6">
        <f t="shared" si="88"/>
        <v>37171.080800131866</v>
      </c>
      <c r="Q330" s="1">
        <v>0.4</v>
      </c>
      <c r="R330" s="1">
        <v>1.5</v>
      </c>
      <c r="S330" s="1">
        <v>1</v>
      </c>
      <c r="T330" s="1">
        <v>0.8</v>
      </c>
      <c r="U330" s="1">
        <v>10</v>
      </c>
      <c r="V330" s="5">
        <f t="shared" si="89"/>
        <v>2.4999999999999991</v>
      </c>
      <c r="X330" s="1">
        <v>81</v>
      </c>
      <c r="Y330" s="6">
        <f t="shared" si="91"/>
        <v>14537.361893726242</v>
      </c>
      <c r="Z330" s="6">
        <f t="shared" si="92"/>
        <v>110937.24865935478</v>
      </c>
      <c r="AA330" s="6">
        <f t="shared" si="93"/>
        <v>37171.080800131866</v>
      </c>
      <c r="AB330" s="1">
        <f t="shared" si="94"/>
        <v>0.4</v>
      </c>
      <c r="AC330" s="1">
        <f t="shared" si="84"/>
        <v>1.5</v>
      </c>
      <c r="AD330" s="1">
        <f t="shared" si="85"/>
        <v>1</v>
      </c>
      <c r="AE330" s="1">
        <f t="shared" si="95"/>
        <v>10</v>
      </c>
      <c r="AF330" s="36">
        <f t="shared" si="96"/>
        <v>2.4999999999999991</v>
      </c>
    </row>
    <row r="331" spans="4:32" ht="14.25" hidden="1" customHeight="1" outlineLevel="1" x14ac:dyDescent="0.2">
      <c r="D331" s="1">
        <v>82</v>
      </c>
      <c r="E331" s="6">
        <f t="shared" si="86"/>
        <v>763.21149942062766</v>
      </c>
      <c r="F331" s="6">
        <f t="shared" si="86"/>
        <v>32968.088497604906</v>
      </c>
      <c r="G331" s="6">
        <f t="shared" si="86"/>
        <v>260.1975656009231</v>
      </c>
      <c r="H331" s="1">
        <v>0.4</v>
      </c>
      <c r="I331" s="1">
        <v>1.5</v>
      </c>
      <c r="J331" s="1">
        <v>1</v>
      </c>
      <c r="M331" s="1">
        <v>82</v>
      </c>
      <c r="N331" s="6">
        <f t="shared" si="90"/>
        <v>76321.149942062781</v>
      </c>
      <c r="O331" s="6">
        <f t="shared" si="87"/>
        <v>1008617.1946343563</v>
      </c>
      <c r="P331" s="6">
        <f t="shared" si="88"/>
        <v>39029.634840138468</v>
      </c>
      <c r="Q331" s="1">
        <v>0.4</v>
      </c>
      <c r="R331" s="1">
        <v>1.5</v>
      </c>
      <c r="S331" s="1">
        <v>1</v>
      </c>
      <c r="T331" s="1">
        <v>0.8</v>
      </c>
      <c r="U331" s="1">
        <v>10</v>
      </c>
      <c r="V331" s="5">
        <f t="shared" si="89"/>
        <v>2.4999999999999991</v>
      </c>
      <c r="X331" s="1">
        <v>82</v>
      </c>
      <c r="Y331" s="6">
        <f t="shared" si="91"/>
        <v>15264.229988412557</v>
      </c>
      <c r="Z331" s="6">
        <f t="shared" si="92"/>
        <v>112068.57718159514</v>
      </c>
      <c r="AA331" s="6">
        <f t="shared" si="93"/>
        <v>39029.634840138468</v>
      </c>
      <c r="AB331" s="1">
        <f t="shared" si="94"/>
        <v>0.4</v>
      </c>
      <c r="AC331" s="1">
        <f t="shared" si="84"/>
        <v>1.5</v>
      </c>
      <c r="AD331" s="1">
        <f t="shared" si="85"/>
        <v>1</v>
      </c>
      <c r="AE331" s="1">
        <f t="shared" si="95"/>
        <v>10</v>
      </c>
      <c r="AF331" s="36">
        <f t="shared" si="96"/>
        <v>2.4999999999999991</v>
      </c>
    </row>
    <row r="332" spans="4:32" ht="14.25" hidden="1" customHeight="1" outlineLevel="1" x14ac:dyDescent="0.2">
      <c r="D332" s="1">
        <v>83</v>
      </c>
      <c r="E332" s="6">
        <f t="shared" si="86"/>
        <v>801.37207439165911</v>
      </c>
      <c r="F332" s="6">
        <f t="shared" si="86"/>
        <v>34616.492922485144</v>
      </c>
      <c r="G332" s="6">
        <f t="shared" si="86"/>
        <v>273.20744388096927</v>
      </c>
      <c r="H332" s="1">
        <v>0.4</v>
      </c>
      <c r="I332" s="1">
        <v>1.5</v>
      </c>
      <c r="J332" s="1">
        <v>1</v>
      </c>
      <c r="M332" s="1">
        <v>83</v>
      </c>
      <c r="N332" s="6">
        <f t="shared" si="90"/>
        <v>80137.207439165926</v>
      </c>
      <c r="O332" s="6">
        <f t="shared" si="87"/>
        <v>1018509.2611704938</v>
      </c>
      <c r="P332" s="6">
        <f t="shared" si="88"/>
        <v>40981.116582145391</v>
      </c>
      <c r="Q332" s="1">
        <v>0.4</v>
      </c>
      <c r="R332" s="1">
        <v>1.5</v>
      </c>
      <c r="S332" s="1">
        <v>1</v>
      </c>
      <c r="T332" s="1">
        <v>0.8</v>
      </c>
      <c r="U332" s="1">
        <v>10</v>
      </c>
      <c r="V332" s="5">
        <f t="shared" si="89"/>
        <v>2.4999999999999991</v>
      </c>
      <c r="X332" s="1">
        <v>83</v>
      </c>
      <c r="Y332" s="6">
        <f t="shared" si="91"/>
        <v>16027.441487833185</v>
      </c>
      <c r="Z332" s="6">
        <f t="shared" si="92"/>
        <v>113167.69568561042</v>
      </c>
      <c r="AA332" s="6">
        <f t="shared" si="93"/>
        <v>40981.116582145391</v>
      </c>
      <c r="AB332" s="1">
        <f t="shared" si="94"/>
        <v>0.4</v>
      </c>
      <c r="AC332" s="1">
        <f t="shared" si="84"/>
        <v>1.5</v>
      </c>
      <c r="AD332" s="1">
        <f t="shared" si="85"/>
        <v>1</v>
      </c>
      <c r="AE332" s="1">
        <f t="shared" si="95"/>
        <v>10</v>
      </c>
      <c r="AF332" s="36">
        <f t="shared" si="96"/>
        <v>2.4999999999999991</v>
      </c>
    </row>
    <row r="333" spans="4:32" ht="14.25" hidden="1" customHeight="1" outlineLevel="1" x14ac:dyDescent="0.2">
      <c r="D333" s="1">
        <v>84</v>
      </c>
      <c r="E333" s="6">
        <f t="shared" si="86"/>
        <v>841.44067811124194</v>
      </c>
      <c r="F333" s="6">
        <f t="shared" si="86"/>
        <v>36347.317568609404</v>
      </c>
      <c r="G333" s="6">
        <f t="shared" si="86"/>
        <v>286.86781607501769</v>
      </c>
      <c r="H333" s="1">
        <v>0.4</v>
      </c>
      <c r="I333" s="1">
        <v>1.5</v>
      </c>
      <c r="J333" s="1">
        <v>1</v>
      </c>
      <c r="M333" s="1">
        <v>84</v>
      </c>
      <c r="N333" s="6">
        <f t="shared" si="90"/>
        <v>84144.067811124201</v>
      </c>
      <c r="O333" s="6">
        <f t="shared" si="87"/>
        <v>1028112.3721435444</v>
      </c>
      <c r="P333" s="6">
        <f t="shared" si="88"/>
        <v>43030.17241125265</v>
      </c>
      <c r="Q333" s="1">
        <v>0.4</v>
      </c>
      <c r="R333" s="1">
        <v>1.5</v>
      </c>
      <c r="S333" s="1">
        <v>1</v>
      </c>
      <c r="T333" s="1">
        <v>0.8</v>
      </c>
      <c r="U333" s="1">
        <v>10</v>
      </c>
      <c r="V333" s="5">
        <f t="shared" si="89"/>
        <v>2.4999999999999991</v>
      </c>
      <c r="X333" s="1">
        <v>84</v>
      </c>
      <c r="Y333" s="6">
        <f t="shared" si="91"/>
        <v>16828.813562224841</v>
      </c>
      <c r="Z333" s="6">
        <f t="shared" si="92"/>
        <v>114234.70801594938</v>
      </c>
      <c r="AA333" s="6">
        <f t="shared" si="93"/>
        <v>43030.17241125265</v>
      </c>
      <c r="AB333" s="1">
        <f t="shared" si="94"/>
        <v>0.4</v>
      </c>
      <c r="AC333" s="1">
        <f t="shared" si="84"/>
        <v>1.5</v>
      </c>
      <c r="AD333" s="1">
        <f t="shared" si="85"/>
        <v>1</v>
      </c>
      <c r="AE333" s="1">
        <f t="shared" si="95"/>
        <v>10</v>
      </c>
      <c r="AF333" s="36">
        <f t="shared" si="96"/>
        <v>2.4999999999999991</v>
      </c>
    </row>
    <row r="334" spans="4:32" ht="14.25" hidden="1" customHeight="1" outlineLevel="1" x14ac:dyDescent="0.2">
      <c r="D334" s="1">
        <v>85</v>
      </c>
      <c r="E334" s="6">
        <f t="shared" si="86"/>
        <v>883.51271201680413</v>
      </c>
      <c r="F334" s="6">
        <f t="shared" si="86"/>
        <v>38164.683447039875</v>
      </c>
      <c r="G334" s="6">
        <f t="shared" si="86"/>
        <v>301.21120687876862</v>
      </c>
      <c r="H334" s="1">
        <v>0.4</v>
      </c>
      <c r="I334" s="1">
        <v>1.5</v>
      </c>
      <c r="J334" s="1">
        <v>1</v>
      </c>
      <c r="M334" s="1">
        <v>85</v>
      </c>
      <c r="N334" s="6">
        <f t="shared" si="90"/>
        <v>88351.271201680414</v>
      </c>
      <c r="O334" s="6">
        <f t="shared" si="87"/>
        <v>1037428.075769452</v>
      </c>
      <c r="P334" s="6">
        <f t="shared" si="88"/>
        <v>45181.681031815293</v>
      </c>
      <c r="Q334" s="1">
        <v>0.4</v>
      </c>
      <c r="R334" s="1">
        <v>1.5</v>
      </c>
      <c r="S334" s="1">
        <v>1</v>
      </c>
      <c r="T334" s="1">
        <v>0.8</v>
      </c>
      <c r="U334" s="1">
        <v>10</v>
      </c>
      <c r="V334" s="5">
        <f t="shared" si="89"/>
        <v>2.4999999999999996</v>
      </c>
      <c r="X334" s="1">
        <v>85</v>
      </c>
      <c r="Y334" s="6">
        <f t="shared" si="91"/>
        <v>17670.254240336082</v>
      </c>
      <c r="Z334" s="6">
        <f t="shared" si="92"/>
        <v>115269.78619660578</v>
      </c>
      <c r="AA334" s="6">
        <f t="shared" si="93"/>
        <v>45181.681031815293</v>
      </c>
      <c r="AB334" s="1">
        <f t="shared" si="94"/>
        <v>0.4</v>
      </c>
      <c r="AC334" s="1">
        <f t="shared" si="84"/>
        <v>1.5</v>
      </c>
      <c r="AD334" s="1">
        <f t="shared" si="85"/>
        <v>1</v>
      </c>
      <c r="AE334" s="1">
        <f t="shared" si="95"/>
        <v>10</v>
      </c>
      <c r="AF334" s="36">
        <f t="shared" si="96"/>
        <v>2.4999999999999996</v>
      </c>
    </row>
    <row r="335" spans="4:32" ht="14.25" hidden="1" customHeight="1" outlineLevel="1" x14ac:dyDescent="0.2">
      <c r="D335" s="1">
        <v>86</v>
      </c>
      <c r="E335" s="6">
        <f t="shared" si="86"/>
        <v>927.68834761764424</v>
      </c>
      <c r="F335" s="6">
        <f t="shared" si="86"/>
        <v>40072.917619391861</v>
      </c>
      <c r="G335" s="6">
        <f t="shared" si="86"/>
        <v>316.27176722270701</v>
      </c>
      <c r="H335" s="1">
        <v>0.4</v>
      </c>
      <c r="I335" s="1">
        <v>1.5</v>
      </c>
      <c r="J335" s="1">
        <v>1</v>
      </c>
      <c r="M335" s="1">
        <v>86</v>
      </c>
      <c r="N335" s="6">
        <f t="shared" si="90"/>
        <v>92768.834761764432</v>
      </c>
      <c r="O335" s="6">
        <f t="shared" si="87"/>
        <v>1046458.4923582897</v>
      </c>
      <c r="P335" s="6">
        <f t="shared" si="88"/>
        <v>47440.765083406055</v>
      </c>
      <c r="Q335" s="1">
        <v>0.4</v>
      </c>
      <c r="R335" s="1">
        <v>1.5</v>
      </c>
      <c r="S335" s="1">
        <v>1</v>
      </c>
      <c r="T335" s="1">
        <v>0.8</v>
      </c>
      <c r="U335" s="1">
        <v>10</v>
      </c>
      <c r="V335" s="5">
        <f t="shared" si="89"/>
        <v>2.4999999999999996</v>
      </c>
      <c r="X335" s="1">
        <v>86</v>
      </c>
      <c r="Y335" s="6">
        <f t="shared" si="91"/>
        <v>18553.766952352886</v>
      </c>
      <c r="Z335" s="6">
        <f t="shared" si="92"/>
        <v>116273.16581758774</v>
      </c>
      <c r="AA335" s="6">
        <f t="shared" si="93"/>
        <v>47440.765083406055</v>
      </c>
      <c r="AB335" s="1">
        <f t="shared" si="94"/>
        <v>0.4</v>
      </c>
      <c r="AC335" s="1">
        <f t="shared" si="84"/>
        <v>1.5</v>
      </c>
      <c r="AD335" s="1">
        <f t="shared" si="85"/>
        <v>1</v>
      </c>
      <c r="AE335" s="1">
        <f t="shared" si="95"/>
        <v>10</v>
      </c>
      <c r="AF335" s="36">
        <f t="shared" si="96"/>
        <v>2.4999999999999996</v>
      </c>
    </row>
    <row r="336" spans="4:32" ht="14.25" hidden="1" customHeight="1" outlineLevel="1" x14ac:dyDescent="0.2">
      <c r="D336" s="1">
        <v>87</v>
      </c>
      <c r="E336" s="6">
        <f t="shared" si="86"/>
        <v>974.0727649985264</v>
      </c>
      <c r="F336" s="6">
        <f t="shared" si="86"/>
        <v>42076.563500361452</v>
      </c>
      <c r="G336" s="6">
        <f t="shared" si="86"/>
        <v>332.08535558384233</v>
      </c>
      <c r="H336" s="1">
        <v>0.4</v>
      </c>
      <c r="I336" s="1">
        <v>1.5</v>
      </c>
      <c r="J336" s="1">
        <v>1</v>
      </c>
      <c r="M336" s="1">
        <v>87</v>
      </c>
      <c r="N336" s="6">
        <f t="shared" si="90"/>
        <v>97407.276499852655</v>
      </c>
      <c r="O336" s="6">
        <f t="shared" si="87"/>
        <v>1055206.2723816754</v>
      </c>
      <c r="P336" s="6">
        <f t="shared" si="88"/>
        <v>49812.803337576348</v>
      </c>
      <c r="Q336" s="1">
        <v>0.4</v>
      </c>
      <c r="R336" s="1">
        <v>1.5</v>
      </c>
      <c r="S336" s="1">
        <v>1</v>
      </c>
      <c r="T336" s="1">
        <v>0.8</v>
      </c>
      <c r="U336" s="1">
        <v>10</v>
      </c>
      <c r="V336" s="5">
        <f t="shared" si="89"/>
        <v>2.4999999999999987</v>
      </c>
      <c r="X336" s="1">
        <v>87</v>
      </c>
      <c r="Y336" s="6">
        <f t="shared" si="91"/>
        <v>19481.45529997053</v>
      </c>
      <c r="Z336" s="6">
        <f t="shared" si="92"/>
        <v>117245.14137574172</v>
      </c>
      <c r="AA336" s="6">
        <f t="shared" si="93"/>
        <v>49812.803337576348</v>
      </c>
      <c r="AB336" s="1">
        <f t="shared" si="94"/>
        <v>0.4</v>
      </c>
      <c r="AC336" s="1">
        <f t="shared" si="84"/>
        <v>1.5</v>
      </c>
      <c r="AD336" s="1">
        <f t="shared" si="85"/>
        <v>1</v>
      </c>
      <c r="AE336" s="1">
        <f t="shared" si="95"/>
        <v>10</v>
      </c>
      <c r="AF336" s="36">
        <f t="shared" si="96"/>
        <v>2.4999999999999987</v>
      </c>
    </row>
    <row r="337" spans="3:32" ht="14.25" hidden="1" customHeight="1" outlineLevel="1" x14ac:dyDescent="0.2">
      <c r="D337" s="1">
        <v>88</v>
      </c>
      <c r="E337" s="6">
        <f t="shared" si="86"/>
        <v>1022.776403248453</v>
      </c>
      <c r="F337" s="6">
        <f t="shared" si="86"/>
        <v>44180.391675379535</v>
      </c>
      <c r="G337" s="6">
        <f t="shared" si="86"/>
        <v>348.68962336303457</v>
      </c>
      <c r="H337" s="1">
        <v>0.4</v>
      </c>
      <c r="I337" s="1">
        <v>1.5</v>
      </c>
      <c r="J337" s="1">
        <v>1</v>
      </c>
      <c r="M337" s="1">
        <v>88</v>
      </c>
      <c r="N337" s="6">
        <f t="shared" si="90"/>
        <v>102277.64032484531</v>
      </c>
      <c r="O337" s="6">
        <f t="shared" si="87"/>
        <v>1063674.5544944147</v>
      </c>
      <c r="P337" s="6">
        <f t="shared" si="88"/>
        <v>52303.443504455186</v>
      </c>
      <c r="Q337" s="1">
        <v>0.4</v>
      </c>
      <c r="R337" s="1">
        <v>1.5</v>
      </c>
      <c r="S337" s="1">
        <v>1</v>
      </c>
      <c r="T337" s="1">
        <v>0.8</v>
      </c>
      <c r="U337" s="1">
        <v>10</v>
      </c>
      <c r="V337" s="5">
        <f t="shared" si="89"/>
        <v>2.4999999999999991</v>
      </c>
      <c r="X337" s="1">
        <v>88</v>
      </c>
      <c r="Y337" s="6">
        <f t="shared" si="91"/>
        <v>20455.528064969061</v>
      </c>
      <c r="Z337" s="6">
        <f t="shared" si="92"/>
        <v>118186.06161049052</v>
      </c>
      <c r="AA337" s="6">
        <f t="shared" si="93"/>
        <v>52303.443504455186</v>
      </c>
      <c r="AB337" s="1">
        <f t="shared" si="94"/>
        <v>0.4</v>
      </c>
      <c r="AC337" s="1">
        <f t="shared" si="84"/>
        <v>1.5</v>
      </c>
      <c r="AD337" s="1">
        <f t="shared" si="85"/>
        <v>1</v>
      </c>
      <c r="AE337" s="1">
        <f t="shared" si="95"/>
        <v>10</v>
      </c>
      <c r="AF337" s="36">
        <f t="shared" si="96"/>
        <v>2.4999999999999991</v>
      </c>
    </row>
    <row r="338" spans="3:32" ht="14.25" hidden="1" customHeight="1" outlineLevel="1" x14ac:dyDescent="0.2">
      <c r="D338" s="1">
        <v>89</v>
      </c>
      <c r="E338" s="6">
        <f t="shared" si="86"/>
        <v>1073.9152234108753</v>
      </c>
      <c r="F338" s="6">
        <f t="shared" si="86"/>
        <v>46389.41125914851</v>
      </c>
      <c r="G338" s="6">
        <f t="shared" si="86"/>
        <v>366.12410453118622</v>
      </c>
      <c r="H338" s="1">
        <v>0.4</v>
      </c>
      <c r="I338" s="1">
        <v>1.5</v>
      </c>
      <c r="J338" s="1">
        <v>1</v>
      </c>
      <c r="M338" s="1">
        <v>89</v>
      </c>
      <c r="N338" s="6">
        <f t="shared" si="90"/>
        <v>107391.52234108753</v>
      </c>
      <c r="O338" s="6">
        <f t="shared" si="87"/>
        <v>1071866.9238430068</v>
      </c>
      <c r="P338" s="6">
        <f t="shared" si="88"/>
        <v>54918.615679677932</v>
      </c>
      <c r="Q338" s="1">
        <v>0.4</v>
      </c>
      <c r="R338" s="1">
        <v>1.5</v>
      </c>
      <c r="S338" s="1">
        <v>1</v>
      </c>
      <c r="T338" s="1">
        <v>0.8</v>
      </c>
      <c r="U338" s="1">
        <v>10</v>
      </c>
      <c r="V338" s="5">
        <f t="shared" si="89"/>
        <v>2.4999999999999996</v>
      </c>
      <c r="X338" s="1">
        <v>89</v>
      </c>
      <c r="Y338" s="6">
        <f t="shared" si="91"/>
        <v>21478.304468217506</v>
      </c>
      <c r="Z338" s="6">
        <f t="shared" si="92"/>
        <v>119096.32487144521</v>
      </c>
      <c r="AA338" s="6">
        <f t="shared" si="93"/>
        <v>54918.615679677932</v>
      </c>
      <c r="AB338" s="1">
        <f t="shared" si="94"/>
        <v>0.4</v>
      </c>
      <c r="AC338" s="1">
        <f t="shared" si="84"/>
        <v>1.5</v>
      </c>
      <c r="AD338" s="1">
        <f t="shared" si="85"/>
        <v>1</v>
      </c>
      <c r="AE338" s="1">
        <f t="shared" si="95"/>
        <v>10</v>
      </c>
      <c r="AF338" s="36">
        <f t="shared" si="96"/>
        <v>2.4999999999999996</v>
      </c>
    </row>
    <row r="339" spans="3:32" ht="14.25" hidden="1" customHeight="1" outlineLevel="1" x14ac:dyDescent="0.2">
      <c r="D339" s="1">
        <v>90</v>
      </c>
      <c r="E339" s="6">
        <f t="shared" si="86"/>
        <v>1127.6109845814192</v>
      </c>
      <c r="F339" s="6">
        <f t="shared" si="86"/>
        <v>48708.881822105934</v>
      </c>
      <c r="G339" s="6">
        <f t="shared" si="86"/>
        <v>384.43030975774553</v>
      </c>
      <c r="H339" s="1">
        <v>0.4</v>
      </c>
      <c r="I339" s="1">
        <v>1.5</v>
      </c>
      <c r="J339" s="1">
        <v>1</v>
      </c>
      <c r="M339" s="1">
        <v>90</v>
      </c>
      <c r="N339" s="6">
        <f t="shared" si="90"/>
        <v>112761.09845814193</v>
      </c>
      <c r="O339" s="6">
        <f t="shared" si="87"/>
        <v>1079787.3709594198</v>
      </c>
      <c r="P339" s="6">
        <f t="shared" si="88"/>
        <v>57664.546463661827</v>
      </c>
      <c r="Q339" s="1">
        <v>0.4</v>
      </c>
      <c r="R339" s="1">
        <v>1.5</v>
      </c>
      <c r="S339" s="1">
        <v>1</v>
      </c>
      <c r="T339" s="1">
        <v>0.8</v>
      </c>
      <c r="U339" s="1">
        <v>10</v>
      </c>
      <c r="V339" s="5">
        <f t="shared" si="89"/>
        <v>2.4999999999999996</v>
      </c>
      <c r="X339" s="1">
        <v>90</v>
      </c>
      <c r="Y339" s="6">
        <f t="shared" si="91"/>
        <v>22552.219691628386</v>
      </c>
      <c r="Z339" s="6">
        <f t="shared" si="92"/>
        <v>119976.37455104664</v>
      </c>
      <c r="AA339" s="6">
        <f t="shared" si="93"/>
        <v>57664.546463661827</v>
      </c>
      <c r="AB339" s="1">
        <f t="shared" si="94"/>
        <v>0.4</v>
      </c>
      <c r="AC339" s="1">
        <f t="shared" si="84"/>
        <v>1.5</v>
      </c>
      <c r="AD339" s="1">
        <f t="shared" si="85"/>
        <v>1</v>
      </c>
      <c r="AE339" s="1">
        <f t="shared" si="95"/>
        <v>10</v>
      </c>
      <c r="AF339" s="36">
        <f t="shared" si="96"/>
        <v>2.4999999999999996</v>
      </c>
    </row>
    <row r="340" spans="3:32" ht="14.25" hidden="1" customHeight="1" outlineLevel="1" x14ac:dyDescent="0.2">
      <c r="D340" s="1">
        <v>91</v>
      </c>
      <c r="E340" s="6">
        <f t="shared" si="86"/>
        <v>1183.9915338104902</v>
      </c>
      <c r="F340" s="6">
        <f t="shared" si="86"/>
        <v>51144.325913211229</v>
      </c>
      <c r="G340" s="6">
        <f t="shared" si="86"/>
        <v>403.65182524563284</v>
      </c>
      <c r="H340" s="1">
        <v>0.4</v>
      </c>
      <c r="I340" s="1">
        <v>1.5</v>
      </c>
      <c r="J340" s="1">
        <v>1</v>
      </c>
      <c r="M340" s="1">
        <v>91</v>
      </c>
      <c r="N340" s="6">
        <f t="shared" si="90"/>
        <v>118399.15338104902</v>
      </c>
      <c r="O340" s="6">
        <f t="shared" si="87"/>
        <v>1087440.2515040413</v>
      </c>
      <c r="P340" s="6">
        <f t="shared" si="88"/>
        <v>60547.773786844926</v>
      </c>
      <c r="Q340" s="1">
        <v>0.4</v>
      </c>
      <c r="R340" s="1">
        <v>1.5</v>
      </c>
      <c r="S340" s="1">
        <v>1</v>
      </c>
      <c r="T340" s="1">
        <v>0.8</v>
      </c>
      <c r="U340" s="1">
        <v>10</v>
      </c>
      <c r="V340" s="5">
        <f t="shared" si="89"/>
        <v>2.4999999999999991</v>
      </c>
      <c r="X340" s="1">
        <v>91</v>
      </c>
      <c r="Y340" s="6">
        <f t="shared" si="91"/>
        <v>23679.830676209804</v>
      </c>
      <c r="Z340" s="6">
        <f t="shared" si="92"/>
        <v>120826.69461156015</v>
      </c>
      <c r="AA340" s="6">
        <f t="shared" si="93"/>
        <v>60547.773786844926</v>
      </c>
      <c r="AB340" s="1">
        <f t="shared" si="94"/>
        <v>0.4</v>
      </c>
      <c r="AC340" s="1">
        <f t="shared" si="84"/>
        <v>1.5</v>
      </c>
      <c r="AD340" s="1">
        <f t="shared" si="85"/>
        <v>1</v>
      </c>
      <c r="AE340" s="1">
        <f t="shared" si="95"/>
        <v>10</v>
      </c>
      <c r="AF340" s="36">
        <f t="shared" si="96"/>
        <v>2.4999999999999991</v>
      </c>
    </row>
    <row r="341" spans="3:32" ht="14.25" hidden="1" customHeight="1" outlineLevel="1" x14ac:dyDescent="0.2">
      <c r="D341" s="1">
        <v>92</v>
      </c>
      <c r="E341" s="6">
        <f t="shared" si="86"/>
        <v>1243.1911105010149</v>
      </c>
      <c r="F341" s="6">
        <f t="shared" si="86"/>
        <v>53701.542208871804</v>
      </c>
      <c r="G341" s="6">
        <f t="shared" si="86"/>
        <v>423.83441650791451</v>
      </c>
      <c r="H341" s="1">
        <v>0.4</v>
      </c>
      <c r="I341" s="1">
        <v>1.5</v>
      </c>
      <c r="J341" s="1">
        <v>1</v>
      </c>
      <c r="M341" s="1">
        <v>92</v>
      </c>
      <c r="N341" s="6">
        <f t="shared" si="90"/>
        <v>124319.11105010149</v>
      </c>
      <c r="O341" s="6">
        <f t="shared" si="87"/>
        <v>1094830.2470875101</v>
      </c>
      <c r="P341" s="6">
        <f t="shared" si="88"/>
        <v>63575.162476187179</v>
      </c>
      <c r="Q341" s="1">
        <v>0.4</v>
      </c>
      <c r="R341" s="1">
        <v>1.5</v>
      </c>
      <c r="S341" s="1">
        <v>1</v>
      </c>
      <c r="T341" s="1">
        <v>0.8</v>
      </c>
      <c r="U341" s="1">
        <v>10</v>
      </c>
      <c r="V341" s="5">
        <f t="shared" si="89"/>
        <v>2.4999999999999996</v>
      </c>
      <c r="X341" s="1">
        <v>92</v>
      </c>
      <c r="Y341" s="6">
        <f t="shared" si="91"/>
        <v>24863.822210020298</v>
      </c>
      <c r="Z341" s="6">
        <f t="shared" si="92"/>
        <v>121647.80523194556</v>
      </c>
      <c r="AA341" s="6">
        <f t="shared" si="93"/>
        <v>63575.162476187179</v>
      </c>
      <c r="AB341" s="1">
        <f t="shared" si="94"/>
        <v>0.4</v>
      </c>
      <c r="AC341" s="1">
        <f t="shared" si="84"/>
        <v>1.5</v>
      </c>
      <c r="AD341" s="1">
        <f t="shared" si="85"/>
        <v>1</v>
      </c>
      <c r="AE341" s="1">
        <f t="shared" si="95"/>
        <v>10</v>
      </c>
      <c r="AF341" s="36">
        <f t="shared" si="96"/>
        <v>2.4999999999999996</v>
      </c>
    </row>
    <row r="342" spans="3:32" ht="14.25" hidden="1" customHeight="1" outlineLevel="1" x14ac:dyDescent="0.2">
      <c r="D342" s="1">
        <v>93</v>
      </c>
      <c r="E342" s="6">
        <f t="shared" si="86"/>
        <v>1305.3506660260655</v>
      </c>
      <c r="F342" s="6">
        <f t="shared" si="86"/>
        <v>56386.619319315381</v>
      </c>
      <c r="G342" s="6">
        <f t="shared" si="86"/>
        <v>445.0261373333102</v>
      </c>
      <c r="H342" s="1">
        <v>0.4</v>
      </c>
      <c r="I342" s="1">
        <v>1.5</v>
      </c>
      <c r="J342" s="1">
        <v>1</v>
      </c>
      <c r="M342" s="1">
        <v>93</v>
      </c>
      <c r="N342" s="6">
        <f t="shared" si="90"/>
        <v>130535.06660260656</v>
      </c>
      <c r="O342" s="6">
        <f t="shared" si="87"/>
        <v>1101962.3273677682</v>
      </c>
      <c r="P342" s="6">
        <f t="shared" si="88"/>
        <v>66753.920599996534</v>
      </c>
      <c r="Q342" s="1">
        <v>0.4</v>
      </c>
      <c r="R342" s="1">
        <v>1.5</v>
      </c>
      <c r="S342" s="1">
        <v>1</v>
      </c>
      <c r="T342" s="1">
        <v>0.8</v>
      </c>
      <c r="U342" s="1">
        <v>10</v>
      </c>
      <c r="V342" s="5">
        <f t="shared" si="89"/>
        <v>2.4999999999999991</v>
      </c>
      <c r="X342" s="1">
        <v>93</v>
      </c>
      <c r="Y342" s="6">
        <f t="shared" si="91"/>
        <v>26107.013320521313</v>
      </c>
      <c r="Z342" s="6">
        <f t="shared" si="92"/>
        <v>122440.25859641869</v>
      </c>
      <c r="AA342" s="6">
        <f t="shared" si="93"/>
        <v>66753.920599996534</v>
      </c>
      <c r="AB342" s="1">
        <f t="shared" si="94"/>
        <v>0.4</v>
      </c>
      <c r="AC342" s="1">
        <f t="shared" si="84"/>
        <v>1.5</v>
      </c>
      <c r="AD342" s="1">
        <f t="shared" si="85"/>
        <v>1</v>
      </c>
      <c r="AE342" s="1">
        <f t="shared" si="95"/>
        <v>10</v>
      </c>
      <c r="AF342" s="36">
        <f t="shared" si="96"/>
        <v>2.4999999999999991</v>
      </c>
    </row>
    <row r="343" spans="3:32" ht="14.25" hidden="1" customHeight="1" outlineLevel="1" x14ac:dyDescent="0.2">
      <c r="D343" s="1">
        <v>94</v>
      </c>
      <c r="E343" s="6">
        <f t="shared" si="86"/>
        <v>1370.618199327369</v>
      </c>
      <c r="F343" s="6">
        <f t="shared" si="86"/>
        <v>59205.950285281164</v>
      </c>
      <c r="G343" s="6">
        <f t="shared" si="86"/>
        <v>467.27744419997578</v>
      </c>
      <c r="H343" s="1">
        <v>0.4</v>
      </c>
      <c r="I343" s="1">
        <v>1.5</v>
      </c>
      <c r="J343" s="1">
        <v>1</v>
      </c>
      <c r="M343" s="1">
        <v>94</v>
      </c>
      <c r="N343" s="6">
        <f t="shared" si="90"/>
        <v>137061.81993273692</v>
      </c>
      <c r="O343" s="6">
        <f t="shared" si="87"/>
        <v>1108841.7135865444</v>
      </c>
      <c r="P343" s="6">
        <f t="shared" si="88"/>
        <v>70091.616629996366</v>
      </c>
      <c r="Q343" s="1">
        <v>0.4</v>
      </c>
      <c r="R343" s="1">
        <v>1.5</v>
      </c>
      <c r="S343" s="1">
        <v>1</v>
      </c>
      <c r="T343" s="1">
        <v>0.8</v>
      </c>
      <c r="U343" s="1">
        <v>10</v>
      </c>
      <c r="V343" s="5">
        <f t="shared" si="89"/>
        <v>2.4999999999999996</v>
      </c>
      <c r="X343" s="1">
        <v>94</v>
      </c>
      <c r="Y343" s="6">
        <f t="shared" si="91"/>
        <v>27412.363986547385</v>
      </c>
      <c r="Z343" s="6">
        <f t="shared" si="92"/>
        <v>123204.63484294938</v>
      </c>
      <c r="AA343" s="6">
        <f t="shared" si="93"/>
        <v>70091.616629996366</v>
      </c>
      <c r="AB343" s="1">
        <f t="shared" si="94"/>
        <v>0.4</v>
      </c>
      <c r="AC343" s="1">
        <f t="shared" si="84"/>
        <v>1.5</v>
      </c>
      <c r="AD343" s="1">
        <f t="shared" si="85"/>
        <v>1</v>
      </c>
      <c r="AE343" s="1">
        <f t="shared" si="95"/>
        <v>10</v>
      </c>
      <c r="AF343" s="36">
        <f t="shared" si="96"/>
        <v>2.4999999999999996</v>
      </c>
    </row>
    <row r="344" spans="3:32" ht="14.25" hidden="1" customHeight="1" outlineLevel="1" x14ac:dyDescent="0.2">
      <c r="D344" s="1">
        <v>95</v>
      </c>
      <c r="E344" s="6">
        <f t="shared" si="86"/>
        <v>1439.149109293737</v>
      </c>
      <c r="F344" s="6">
        <f t="shared" si="86"/>
        <v>62166.247799545199</v>
      </c>
      <c r="G344" s="6">
        <f t="shared" si="86"/>
        <v>490.64131640997437</v>
      </c>
      <c r="H344" s="1">
        <v>0.4</v>
      </c>
      <c r="I344" s="1">
        <v>1.5</v>
      </c>
      <c r="J344" s="1">
        <v>1</v>
      </c>
      <c r="M344" s="1">
        <v>95</v>
      </c>
      <c r="N344" s="6">
        <f t="shared" si="90"/>
        <v>143914.9109293737</v>
      </c>
      <c r="O344" s="6">
        <f t="shared" si="87"/>
        <v>1115473.8436789287</v>
      </c>
      <c r="P344" s="6">
        <f t="shared" si="88"/>
        <v>73596.197461496151</v>
      </c>
      <c r="Q344" s="1">
        <v>0.4</v>
      </c>
      <c r="R344" s="1">
        <v>1.5</v>
      </c>
      <c r="S344" s="1">
        <v>1</v>
      </c>
      <c r="T344" s="1">
        <v>0.8</v>
      </c>
      <c r="U344" s="1">
        <v>10</v>
      </c>
      <c r="V344" s="5">
        <f t="shared" si="89"/>
        <v>2.4999999999999991</v>
      </c>
      <c r="X344" s="1">
        <v>95</v>
      </c>
      <c r="Y344" s="6">
        <f t="shared" si="91"/>
        <v>28782.982185874738</v>
      </c>
      <c r="Z344" s="6">
        <f t="shared" si="92"/>
        <v>123941.53818654764</v>
      </c>
      <c r="AA344" s="6">
        <f t="shared" si="93"/>
        <v>73596.197461496151</v>
      </c>
      <c r="AB344" s="1">
        <f t="shared" si="94"/>
        <v>0.4</v>
      </c>
      <c r="AC344" s="1">
        <f t="shared" si="84"/>
        <v>1.5</v>
      </c>
      <c r="AD344" s="1">
        <f t="shared" si="85"/>
        <v>1</v>
      </c>
      <c r="AE344" s="1">
        <f t="shared" si="95"/>
        <v>10</v>
      </c>
      <c r="AF344" s="36">
        <f t="shared" si="96"/>
        <v>2.4999999999999991</v>
      </c>
    </row>
    <row r="345" spans="3:32" ht="14.25" hidden="1" customHeight="1" outlineLevel="1" x14ac:dyDescent="0.2">
      <c r="D345" s="1">
        <v>96</v>
      </c>
      <c r="E345" s="6">
        <f t="shared" si="86"/>
        <v>1511.1065647584244</v>
      </c>
      <c r="F345" s="6">
        <f t="shared" si="86"/>
        <v>65274.56018952249</v>
      </c>
      <c r="G345" s="6">
        <f t="shared" si="86"/>
        <v>515.17338223047329</v>
      </c>
      <c r="H345" s="1">
        <v>0.4</v>
      </c>
      <c r="I345" s="1">
        <v>1.5</v>
      </c>
      <c r="J345" s="1">
        <v>1</v>
      </c>
      <c r="M345" s="1">
        <v>96</v>
      </c>
      <c r="N345" s="6">
        <f t="shared" si="90"/>
        <v>151110.65647584244</v>
      </c>
      <c r="O345" s="6">
        <f t="shared" si="87"/>
        <v>1121864.339061026</v>
      </c>
      <c r="P345" s="6">
        <f t="shared" si="88"/>
        <v>77276.007334570997</v>
      </c>
      <c r="Q345" s="1">
        <v>0.4</v>
      </c>
      <c r="R345" s="1">
        <v>1.5</v>
      </c>
      <c r="S345" s="1">
        <v>1</v>
      </c>
      <c r="T345" s="1">
        <v>0.8</v>
      </c>
      <c r="U345" s="1">
        <v>10</v>
      </c>
      <c r="V345" s="5">
        <f t="shared" si="89"/>
        <v>2.4999999999999996</v>
      </c>
      <c r="X345" s="1">
        <v>96</v>
      </c>
      <c r="Y345" s="6">
        <f t="shared" si="91"/>
        <v>30222.131295168489</v>
      </c>
      <c r="Z345" s="6">
        <f t="shared" si="92"/>
        <v>124651.59322900289</v>
      </c>
      <c r="AA345" s="6">
        <f t="shared" si="93"/>
        <v>77276.007334570997</v>
      </c>
      <c r="AB345" s="1">
        <f t="shared" si="94"/>
        <v>0.4</v>
      </c>
      <c r="AC345" s="1">
        <f t="shared" si="84"/>
        <v>1.5</v>
      </c>
      <c r="AD345" s="1">
        <f t="shared" si="85"/>
        <v>1</v>
      </c>
      <c r="AE345" s="1">
        <f t="shared" si="95"/>
        <v>10</v>
      </c>
      <c r="AF345" s="36">
        <f t="shared" si="96"/>
        <v>2.4999999999999996</v>
      </c>
    </row>
    <row r="346" spans="3:32" ht="14.25" hidden="1" customHeight="1" outlineLevel="1" x14ac:dyDescent="0.2">
      <c r="D346" s="1">
        <v>97</v>
      </c>
      <c r="E346" s="6">
        <f t="shared" si="86"/>
        <v>1586.6618929963454</v>
      </c>
      <c r="F346" s="6">
        <f t="shared" si="86"/>
        <v>68538.288198998605</v>
      </c>
      <c r="G346" s="6">
        <f t="shared" si="86"/>
        <v>540.93205134199695</v>
      </c>
      <c r="H346" s="1">
        <v>0.4</v>
      </c>
      <c r="I346" s="1">
        <v>1.5</v>
      </c>
      <c r="J346" s="1">
        <v>1</v>
      </c>
      <c r="M346" s="1">
        <v>97</v>
      </c>
      <c r="N346" s="6">
        <f t="shared" si="90"/>
        <v>158666.18929963454</v>
      </c>
      <c r="O346" s="6">
        <f t="shared" si="87"/>
        <v>1128018.9731740239</v>
      </c>
      <c r="P346" s="6">
        <f t="shared" si="88"/>
        <v>81139.807701299549</v>
      </c>
      <c r="Q346" s="1">
        <v>0.4</v>
      </c>
      <c r="R346" s="1">
        <v>1.5</v>
      </c>
      <c r="S346" s="1">
        <v>1</v>
      </c>
      <c r="T346" s="1">
        <v>0.8</v>
      </c>
      <c r="U346" s="1">
        <v>10</v>
      </c>
      <c r="V346" s="5">
        <f t="shared" si="89"/>
        <v>2.4999999999999991</v>
      </c>
      <c r="X346" s="1">
        <v>97</v>
      </c>
      <c r="Y346" s="6">
        <f t="shared" si="91"/>
        <v>31733.237859926907</v>
      </c>
      <c r="Z346" s="6">
        <f t="shared" si="92"/>
        <v>125335.44146378043</v>
      </c>
      <c r="AA346" s="6">
        <f t="shared" si="93"/>
        <v>81139.807701299549</v>
      </c>
      <c r="AB346" s="1">
        <f t="shared" si="94"/>
        <v>0.4</v>
      </c>
      <c r="AC346" s="1">
        <f t="shared" si="84"/>
        <v>1.5</v>
      </c>
      <c r="AD346" s="1">
        <f t="shared" si="85"/>
        <v>1</v>
      </c>
      <c r="AE346" s="1">
        <f t="shared" si="95"/>
        <v>10</v>
      </c>
      <c r="AF346" s="36">
        <f t="shared" si="96"/>
        <v>2.4999999999999991</v>
      </c>
    </row>
    <row r="347" spans="3:32" ht="14.25" hidden="1" customHeight="1" outlineLevel="1" x14ac:dyDescent="0.2">
      <c r="D347" s="1">
        <v>98</v>
      </c>
      <c r="E347" s="6">
        <f t="shared" si="86"/>
        <v>1665.9949876461626</v>
      </c>
      <c r="F347" s="6">
        <f t="shared" si="86"/>
        <v>71965.20260894853</v>
      </c>
      <c r="G347" s="6">
        <f t="shared" si="86"/>
        <v>567.97865390909681</v>
      </c>
      <c r="H347" s="1">
        <v>0.4</v>
      </c>
      <c r="I347" s="1">
        <v>1.5</v>
      </c>
      <c r="J347" s="1">
        <v>1</v>
      </c>
      <c r="M347" s="1">
        <v>98</v>
      </c>
      <c r="N347" s="6">
        <f t="shared" si="90"/>
        <v>166599.49876461626</v>
      </c>
      <c r="O347" s="6">
        <f t="shared" si="87"/>
        <v>1133943.6418385657</v>
      </c>
      <c r="P347" s="6">
        <f t="shared" si="88"/>
        <v>85196.798086364521</v>
      </c>
      <c r="Q347" s="1">
        <v>0.4</v>
      </c>
      <c r="R347" s="1">
        <v>1.5</v>
      </c>
      <c r="S347" s="1">
        <v>1</v>
      </c>
      <c r="T347" s="1">
        <v>0.8</v>
      </c>
      <c r="U347" s="1">
        <v>10</v>
      </c>
      <c r="V347" s="5">
        <f t="shared" si="89"/>
        <v>2.4999999999999991</v>
      </c>
      <c r="X347" s="1">
        <v>98</v>
      </c>
      <c r="Y347" s="6">
        <f t="shared" si="91"/>
        <v>33319.899752923251</v>
      </c>
      <c r="Z347" s="6">
        <f t="shared" si="92"/>
        <v>125993.73798206286</v>
      </c>
      <c r="AA347" s="6">
        <f t="shared" si="93"/>
        <v>85196.798086364521</v>
      </c>
      <c r="AB347" s="1">
        <f t="shared" si="94"/>
        <v>0.4</v>
      </c>
      <c r="AC347" s="1">
        <f t="shared" si="84"/>
        <v>1.5</v>
      </c>
      <c r="AD347" s="1">
        <f t="shared" si="85"/>
        <v>1</v>
      </c>
      <c r="AE347" s="1">
        <f t="shared" si="95"/>
        <v>10</v>
      </c>
      <c r="AF347" s="36">
        <f t="shared" si="96"/>
        <v>2.4999999999999991</v>
      </c>
    </row>
    <row r="348" spans="3:32" ht="14.25" hidden="1" customHeight="1" outlineLevel="1" x14ac:dyDescent="0.2">
      <c r="D348" s="1">
        <v>99</v>
      </c>
      <c r="E348" s="6">
        <f t="shared" si="86"/>
        <v>1749.2947370284708</v>
      </c>
      <c r="F348" s="6">
        <f t="shared" si="86"/>
        <v>75563.462739395967</v>
      </c>
      <c r="G348" s="6">
        <f t="shared" si="86"/>
        <v>596.37758660455165</v>
      </c>
      <c r="H348" s="1">
        <v>0.4</v>
      </c>
      <c r="I348" s="1">
        <v>1.5</v>
      </c>
      <c r="J348" s="1">
        <v>1</v>
      </c>
      <c r="M348" s="1">
        <v>99</v>
      </c>
      <c r="N348" s="6">
        <f t="shared" si="90"/>
        <v>174929.47370284708</v>
      </c>
      <c r="O348" s="6">
        <f t="shared" si="87"/>
        <v>1139644.335451117</v>
      </c>
      <c r="P348" s="6">
        <f t="shared" si="88"/>
        <v>89456.63799068275</v>
      </c>
      <c r="Q348" s="1">
        <v>0.4</v>
      </c>
      <c r="R348" s="1">
        <v>1.5</v>
      </c>
      <c r="S348" s="1">
        <v>1</v>
      </c>
      <c r="T348" s="1">
        <v>0.8</v>
      </c>
      <c r="U348" s="1">
        <v>10</v>
      </c>
      <c r="V348" s="5">
        <f t="shared" si="89"/>
        <v>2.4999999999999991</v>
      </c>
      <c r="X348" s="1">
        <v>99</v>
      </c>
      <c r="Y348" s="6">
        <f t="shared" si="91"/>
        <v>34985.89474056942</v>
      </c>
      <c r="Z348" s="6">
        <f t="shared" si="92"/>
        <v>126627.14838345745</v>
      </c>
      <c r="AA348" s="6">
        <f t="shared" si="93"/>
        <v>89456.63799068275</v>
      </c>
      <c r="AB348" s="1">
        <f t="shared" si="94"/>
        <v>0.4</v>
      </c>
      <c r="AC348" s="1">
        <f t="shared" si="84"/>
        <v>1.5</v>
      </c>
      <c r="AD348" s="1">
        <f t="shared" si="85"/>
        <v>1</v>
      </c>
      <c r="AE348" s="1">
        <f t="shared" si="95"/>
        <v>10</v>
      </c>
      <c r="AF348" s="36">
        <f t="shared" si="96"/>
        <v>2.4999999999999991</v>
      </c>
    </row>
    <row r="349" spans="3:32" ht="14.25" hidden="1" customHeight="1" outlineLevel="1" x14ac:dyDescent="0.2">
      <c r="D349" s="1">
        <v>100</v>
      </c>
      <c r="E349" s="6">
        <f t="shared" si="86"/>
        <v>1836.7594738798948</v>
      </c>
      <c r="F349" s="6">
        <f t="shared" si="86"/>
        <v>79341.635876365777</v>
      </c>
      <c r="G349" s="6">
        <f t="shared" si="86"/>
        <v>626.19646593477933</v>
      </c>
      <c r="H349" s="1">
        <v>0.4</v>
      </c>
      <c r="I349" s="1">
        <v>1.5</v>
      </c>
      <c r="J349" s="1">
        <v>1</v>
      </c>
      <c r="M349" s="1">
        <v>100</v>
      </c>
      <c r="N349" s="6">
        <f t="shared" si="90"/>
        <v>183675.94738798949</v>
      </c>
      <c r="O349" s="6">
        <f t="shared" si="87"/>
        <v>1145127.1130341017</v>
      </c>
      <c r="P349" s="6">
        <f t="shared" si="88"/>
        <v>93929.469890216904</v>
      </c>
      <c r="Q349" s="1">
        <v>0.4</v>
      </c>
      <c r="R349" s="1">
        <v>1.5</v>
      </c>
      <c r="S349" s="1">
        <v>1</v>
      </c>
      <c r="T349" s="1">
        <v>0.8</v>
      </c>
      <c r="U349" s="1">
        <v>10</v>
      </c>
      <c r="V349" s="5">
        <f t="shared" si="89"/>
        <v>2.4999999999999996</v>
      </c>
      <c r="X349" s="1">
        <v>100</v>
      </c>
      <c r="Y349" s="6">
        <f t="shared" si="91"/>
        <v>36735.189477597902</v>
      </c>
      <c r="Z349" s="6">
        <f t="shared" si="92"/>
        <v>127236.34589267796</v>
      </c>
      <c r="AA349" s="6">
        <f t="shared" si="93"/>
        <v>93929.469890216904</v>
      </c>
      <c r="AB349" s="1">
        <f t="shared" si="94"/>
        <v>0.4</v>
      </c>
      <c r="AC349" s="1">
        <f t="shared" si="84"/>
        <v>1.5</v>
      </c>
      <c r="AD349" s="1">
        <f t="shared" si="85"/>
        <v>1</v>
      </c>
      <c r="AE349" s="1">
        <f t="shared" si="95"/>
        <v>10</v>
      </c>
      <c r="AF349" s="36">
        <f t="shared" si="96"/>
        <v>2.4999999999999996</v>
      </c>
    </row>
    <row r="351" spans="3:32" ht="14.25" customHeight="1" x14ac:dyDescent="0.2">
      <c r="C351" s="3" t="s">
        <v>314</v>
      </c>
      <c r="D351" s="2" t="s">
        <v>326</v>
      </c>
      <c r="I351" s="3" t="s">
        <v>315</v>
      </c>
      <c r="Q351" s="2"/>
    </row>
    <row r="352" spans="3:32" ht="14.25" customHeight="1" x14ac:dyDescent="0.2">
      <c r="D352" s="3" t="s">
        <v>313</v>
      </c>
      <c r="E352" s="3" t="s">
        <v>153</v>
      </c>
      <c r="F352" s="3" t="s">
        <v>154</v>
      </c>
      <c r="G352" s="3" t="s">
        <v>129</v>
      </c>
      <c r="H352" s="80" t="s">
        <v>17</v>
      </c>
      <c r="J352" s="25" t="s">
        <v>15</v>
      </c>
      <c r="K352" s="3" t="s">
        <v>154</v>
      </c>
    </row>
    <row r="353" spans="3:32" ht="14.25" customHeight="1" x14ac:dyDescent="0.2">
      <c r="D353" s="1">
        <v>5</v>
      </c>
      <c r="H353" s="6">
        <f>F353/(J353-G353)</f>
        <v>0</v>
      </c>
      <c r="J353" s="1">
        <v>18.204999999999998</v>
      </c>
      <c r="K353" s="6">
        <f>E353*H353</f>
        <v>0</v>
      </c>
    </row>
    <row r="354" spans="3:32" ht="14.25" customHeight="1" x14ac:dyDescent="0.2">
      <c r="D354" s="1">
        <v>4</v>
      </c>
      <c r="E354" s="1">
        <f>SUM(E6:E10)-E7</f>
        <v>24</v>
      </c>
      <c r="F354" s="1">
        <f>F6</f>
        <v>100</v>
      </c>
      <c r="G354" s="1">
        <f>SUM(G6:G10)-G7</f>
        <v>10</v>
      </c>
      <c r="H354" s="6">
        <f t="shared" ref="H354:H357" si="97">F354/(J354-G354)</f>
        <v>12.187690432663013</v>
      </c>
      <c r="J354" s="1">
        <f>J353</f>
        <v>18.204999999999998</v>
      </c>
      <c r="K354" s="6">
        <f t="shared" ref="K354:K357" si="98">E354*H354</f>
        <v>292.50457038391232</v>
      </c>
    </row>
    <row r="355" spans="3:32" ht="14.25" customHeight="1" x14ac:dyDescent="0.2">
      <c r="D355" s="1">
        <v>3</v>
      </c>
      <c r="E355" s="1">
        <f>E354-E6</f>
        <v>19</v>
      </c>
      <c r="F355" s="1">
        <f>F8</f>
        <v>100</v>
      </c>
      <c r="G355" s="1">
        <f>G354-G6</f>
        <v>8</v>
      </c>
      <c r="H355" s="6">
        <f t="shared" si="97"/>
        <v>9.7991180793728585</v>
      </c>
      <c r="J355" s="1">
        <f t="shared" ref="J355:J357" si="99">J354</f>
        <v>18.204999999999998</v>
      </c>
      <c r="K355" s="6">
        <f t="shared" si="98"/>
        <v>186.1832435080843</v>
      </c>
    </row>
    <row r="356" spans="3:32" ht="14.25" customHeight="1" x14ac:dyDescent="0.2">
      <c r="D356" s="1">
        <v>2</v>
      </c>
      <c r="E356" s="1">
        <f>E355-E9</f>
        <v>9</v>
      </c>
      <c r="F356" s="1">
        <f>F9</f>
        <v>40</v>
      </c>
      <c r="G356" s="1">
        <f>G355-G9</f>
        <v>8</v>
      </c>
      <c r="H356" s="6">
        <f t="shared" si="97"/>
        <v>3.9196472317491433</v>
      </c>
      <c r="J356" s="1">
        <f t="shared" si="99"/>
        <v>18.204999999999998</v>
      </c>
      <c r="K356" s="6">
        <f t="shared" si="98"/>
        <v>35.276825085742288</v>
      </c>
    </row>
    <row r="357" spans="3:32" ht="14.25" customHeight="1" x14ac:dyDescent="0.2">
      <c r="D357" s="1">
        <v>1</v>
      </c>
      <c r="E357" s="1">
        <f>E10</f>
        <v>4</v>
      </c>
      <c r="F357" s="1">
        <f>F10</f>
        <v>50</v>
      </c>
      <c r="G357" s="1">
        <f>G10</f>
        <v>6</v>
      </c>
      <c r="H357" s="6">
        <f t="shared" si="97"/>
        <v>4.0966816878328558</v>
      </c>
      <c r="J357" s="1">
        <f t="shared" si="99"/>
        <v>18.204999999999998</v>
      </c>
      <c r="K357" s="6">
        <f t="shared" si="98"/>
        <v>16.386726751331423</v>
      </c>
    </row>
    <row r="358" spans="3:32" ht="14.25" customHeight="1" x14ac:dyDescent="0.2">
      <c r="H358" s="6">
        <f>SUM(H353:H357)</f>
        <v>30.003137431617869</v>
      </c>
      <c r="I358" s="1" t="s">
        <v>316</v>
      </c>
      <c r="J358" s="1">
        <f>MAX(J353:J357)</f>
        <v>18.204999999999998</v>
      </c>
      <c r="K358" s="6">
        <f>SUM(K353:K357)</f>
        <v>530.35136572907027</v>
      </c>
    </row>
    <row r="360" spans="3:32" ht="14.25" customHeight="1" collapsed="1" x14ac:dyDescent="0.2">
      <c r="C360" s="3" t="s">
        <v>170</v>
      </c>
      <c r="E360" s="1">
        <f>J358</f>
        <v>18.204999999999998</v>
      </c>
      <c r="F360" s="6">
        <f>K358</f>
        <v>530.35136572907027</v>
      </c>
      <c r="G360" s="18">
        <v>5</v>
      </c>
      <c r="J360" s="1" t="s">
        <v>318</v>
      </c>
      <c r="K360" s="1">
        <f>K21</f>
        <v>150</v>
      </c>
      <c r="L360" s="3" t="s">
        <v>317</v>
      </c>
      <c r="P360" s="6">
        <f>MAX(P363:P462)</f>
        <v>93929.469890216904</v>
      </c>
      <c r="X360" s="1" t="s">
        <v>322</v>
      </c>
    </row>
    <row r="361" spans="3:32" ht="14.25" hidden="1" customHeight="1" outlineLevel="1" x14ac:dyDescent="0.2">
      <c r="E361" s="1">
        <f>E22</f>
        <v>1.05</v>
      </c>
      <c r="F361" s="1">
        <f t="shared" ref="F361:G361" si="100">F22</f>
        <v>1.05</v>
      </c>
      <c r="G361" s="1">
        <f t="shared" si="100"/>
        <v>1.05</v>
      </c>
      <c r="O361" s="6">
        <f>F363*K360</f>
        <v>79552.704859360543</v>
      </c>
      <c r="P361" s="1">
        <f>10000</f>
        <v>10000</v>
      </c>
      <c r="X361" s="1">
        <v>9</v>
      </c>
    </row>
    <row r="362" spans="3:32" ht="14.25" hidden="1" customHeight="1" outlineLevel="1" x14ac:dyDescent="0.2">
      <c r="D362" s="1" t="s">
        <v>194</v>
      </c>
      <c r="E362" s="1" t="s">
        <v>153</v>
      </c>
      <c r="F362" s="1" t="s">
        <v>154</v>
      </c>
      <c r="G362" s="1" t="s">
        <v>145</v>
      </c>
      <c r="H362" s="18" t="s">
        <v>146</v>
      </c>
      <c r="I362" s="18" t="s">
        <v>147</v>
      </c>
      <c r="J362" s="18" t="s">
        <v>148</v>
      </c>
      <c r="M362" s="1" t="s">
        <v>172</v>
      </c>
      <c r="N362" s="1" t="s">
        <v>173</v>
      </c>
      <c r="O362" s="1" t="s">
        <v>174</v>
      </c>
      <c r="P362" s="1" t="s">
        <v>145</v>
      </c>
      <c r="Q362" s="18" t="s">
        <v>146</v>
      </c>
      <c r="R362" s="18" t="s">
        <v>147</v>
      </c>
      <c r="S362" s="18" t="s">
        <v>148</v>
      </c>
      <c r="T362" s="18" t="s">
        <v>175</v>
      </c>
      <c r="U362" s="18" t="s">
        <v>206</v>
      </c>
      <c r="V362" s="1" t="s">
        <v>320</v>
      </c>
      <c r="X362" s="1" t="s">
        <v>172</v>
      </c>
      <c r="Y362" s="1" t="s">
        <v>173</v>
      </c>
      <c r="Z362" s="1" t="s">
        <v>174</v>
      </c>
      <c r="AA362" s="1" t="s">
        <v>145</v>
      </c>
      <c r="AB362" s="1" t="s">
        <v>146</v>
      </c>
      <c r="AC362" s="1" t="s">
        <v>147</v>
      </c>
      <c r="AD362" s="1" t="s">
        <v>148</v>
      </c>
      <c r="AE362" s="1" t="s">
        <v>319</v>
      </c>
      <c r="AF362" s="1" t="s">
        <v>207</v>
      </c>
    </row>
    <row r="363" spans="3:32" ht="14.25" hidden="1" customHeight="1" outlineLevel="1" x14ac:dyDescent="0.2">
      <c r="D363" s="1">
        <v>1</v>
      </c>
      <c r="E363" s="6">
        <f>E$360*E$361^($D363-1)</f>
        <v>18.204999999999998</v>
      </c>
      <c r="F363" s="6">
        <f t="shared" ref="F363:G378" si="101">F$360*F$361^($D363-1)</f>
        <v>530.35136572907027</v>
      </c>
      <c r="G363" s="6">
        <f t="shared" si="101"/>
        <v>5</v>
      </c>
      <c r="H363" s="1">
        <v>0.4</v>
      </c>
      <c r="I363" s="1">
        <v>1.5</v>
      </c>
      <c r="J363" s="1">
        <v>1</v>
      </c>
      <c r="M363" s="1">
        <v>1</v>
      </c>
      <c r="N363" s="6">
        <f>E363*T363*$K$21/S363/(1+Q363*(R363-1))</f>
        <v>1820.5</v>
      </c>
      <c r="O363" s="6">
        <f>F363*$K$21/(1+P363/$P$22)</f>
        <v>74002.516148242372</v>
      </c>
      <c r="P363" s="6">
        <f>G363*$K$21</f>
        <v>750</v>
      </c>
      <c r="Q363" s="1">
        <v>0.4</v>
      </c>
      <c r="R363" s="1">
        <v>1.5</v>
      </c>
      <c r="S363" s="1">
        <v>1</v>
      </c>
      <c r="T363" s="1">
        <v>0.8</v>
      </c>
      <c r="U363" s="1">
        <v>10</v>
      </c>
      <c r="V363" s="5">
        <f>E363*$K$21*(1-T363)/(1/U363)/(1+Q363*(R363-1))/N363</f>
        <v>2.4999999999999991</v>
      </c>
      <c r="X363" s="1">
        <v>1</v>
      </c>
      <c r="Y363" s="6">
        <f>2*N363/(1+$X$22)</f>
        <v>364.1</v>
      </c>
      <c r="Z363" s="6">
        <f>O363/$X$22</f>
        <v>8222.5017942491522</v>
      </c>
      <c r="AA363" s="6">
        <f>P363</f>
        <v>750</v>
      </c>
      <c r="AB363" s="1">
        <f>Q363</f>
        <v>0.4</v>
      </c>
      <c r="AC363" s="1">
        <f t="shared" ref="AC363:AC426" si="102">R363</f>
        <v>1.5</v>
      </c>
      <c r="AD363" s="1">
        <f t="shared" ref="AD363:AD426" si="103">S363</f>
        <v>1</v>
      </c>
      <c r="AE363" s="1">
        <f>U363</f>
        <v>10</v>
      </c>
      <c r="AF363" s="36">
        <f>V363</f>
        <v>2.4999999999999991</v>
      </c>
    </row>
    <row r="364" spans="3:32" ht="14.25" hidden="1" customHeight="1" outlineLevel="1" x14ac:dyDescent="0.2">
      <c r="D364" s="1">
        <v>2</v>
      </c>
      <c r="E364" s="6">
        <f t="shared" ref="E364:G395" si="104">E$360*E$361^($D364-1)</f>
        <v>19.11525</v>
      </c>
      <c r="F364" s="6">
        <f t="shared" si="101"/>
        <v>556.86893401552379</v>
      </c>
      <c r="G364" s="6">
        <f t="shared" si="101"/>
        <v>5.25</v>
      </c>
      <c r="H364" s="1">
        <v>0.4</v>
      </c>
      <c r="I364" s="1">
        <v>1.5</v>
      </c>
      <c r="J364" s="1">
        <v>1</v>
      </c>
      <c r="M364" s="1">
        <v>2</v>
      </c>
      <c r="N364" s="6">
        <f>E364*T364*$K$21/S364/(1+Q364*(R364-1))</f>
        <v>1911.5250000000003</v>
      </c>
      <c r="O364" s="6">
        <f t="shared" ref="O364:O427" si="105">F364*$K$21/(1+P364/$P$22)</f>
        <v>77432.528484197974</v>
      </c>
      <c r="P364" s="6">
        <f t="shared" ref="P364:P427" si="106">G364*$K$21</f>
        <v>787.5</v>
      </c>
      <c r="Q364" s="1">
        <v>0.4</v>
      </c>
      <c r="R364" s="1">
        <v>1.5</v>
      </c>
      <c r="S364" s="1">
        <v>1</v>
      </c>
      <c r="T364" s="1">
        <v>0.8</v>
      </c>
      <c r="U364" s="1">
        <v>10</v>
      </c>
      <c r="V364" s="5">
        <f t="shared" ref="V364:V427" si="107">E364*$K$21*(1-T364)/(1/U364)/(1+Q364*(R364-1))/N364</f>
        <v>2.4999999999999987</v>
      </c>
      <c r="X364" s="1">
        <v>2</v>
      </c>
      <c r="Y364" s="6">
        <f>2*N364/(1+$X$22)</f>
        <v>382.30500000000006</v>
      </c>
      <c r="Z364" s="6">
        <f>O364/$X$22</f>
        <v>8603.6142760219973</v>
      </c>
      <c r="AA364" s="6">
        <f>P364</f>
        <v>787.5</v>
      </c>
      <c r="AB364" s="1">
        <f>Q364</f>
        <v>0.4</v>
      </c>
      <c r="AC364" s="1">
        <f t="shared" si="102"/>
        <v>1.5</v>
      </c>
      <c r="AD364" s="1">
        <f t="shared" si="103"/>
        <v>1</v>
      </c>
      <c r="AE364" s="1">
        <f>U364</f>
        <v>10</v>
      </c>
      <c r="AF364" s="36">
        <f>V364</f>
        <v>2.4999999999999987</v>
      </c>
    </row>
    <row r="365" spans="3:32" ht="14.25" hidden="1" customHeight="1" outlineLevel="1" x14ac:dyDescent="0.2">
      <c r="D365" s="1">
        <v>3</v>
      </c>
      <c r="E365" s="6">
        <f t="shared" si="104"/>
        <v>20.071012499999998</v>
      </c>
      <c r="F365" s="6">
        <f t="shared" si="101"/>
        <v>584.7123807163</v>
      </c>
      <c r="G365" s="6">
        <f t="shared" si="101"/>
        <v>5.5125000000000002</v>
      </c>
      <c r="H365" s="1">
        <v>0.4</v>
      </c>
      <c r="I365" s="1">
        <v>1.5</v>
      </c>
      <c r="J365" s="1">
        <v>1</v>
      </c>
      <c r="M365" s="1">
        <v>3</v>
      </c>
      <c r="N365" s="6">
        <f t="shared" ref="N365:N428" si="108">E365*T365*$K$21/S365/(1+Q365*(R365-1))</f>
        <v>2007.1012499999999</v>
      </c>
      <c r="O365" s="6">
        <f t="shared" si="105"/>
        <v>81008.469302033132</v>
      </c>
      <c r="P365" s="6">
        <f t="shared" si="106"/>
        <v>826.875</v>
      </c>
      <c r="Q365" s="1">
        <v>0.4</v>
      </c>
      <c r="R365" s="1">
        <v>1.5</v>
      </c>
      <c r="S365" s="1">
        <v>1</v>
      </c>
      <c r="T365" s="1">
        <v>0.8</v>
      </c>
      <c r="U365" s="1">
        <v>10</v>
      </c>
      <c r="V365" s="5">
        <f t="shared" si="107"/>
        <v>2.4999999999999991</v>
      </c>
      <c r="X365" s="1">
        <v>3</v>
      </c>
      <c r="Y365" s="6">
        <f t="shared" ref="Y365:Y428" si="109">2*N365/(1+$X$22)</f>
        <v>401.42025000000001</v>
      </c>
      <c r="Z365" s="6">
        <f t="shared" ref="Z365:Z428" si="110">O365/$X$22</f>
        <v>9000.9410335592365</v>
      </c>
      <c r="AA365" s="6">
        <f t="shared" ref="AA365:AA428" si="111">P365</f>
        <v>826.875</v>
      </c>
      <c r="AB365" s="1">
        <f t="shared" ref="AB365:AB428" si="112">Q365</f>
        <v>0.4</v>
      </c>
      <c r="AC365" s="1">
        <f t="shared" si="102"/>
        <v>1.5</v>
      </c>
      <c r="AD365" s="1">
        <f t="shared" si="103"/>
        <v>1</v>
      </c>
      <c r="AE365" s="1">
        <f t="shared" ref="AE365:AE428" si="113">U365</f>
        <v>10</v>
      </c>
      <c r="AF365" s="36">
        <f t="shared" ref="AF365:AF428" si="114">V365</f>
        <v>2.4999999999999991</v>
      </c>
    </row>
    <row r="366" spans="3:32" ht="14.25" hidden="1" customHeight="1" outlineLevel="1" x14ac:dyDescent="0.2">
      <c r="D366" s="1">
        <v>4</v>
      </c>
      <c r="E366" s="6">
        <f t="shared" si="104"/>
        <v>21.074563125000001</v>
      </c>
      <c r="F366" s="6">
        <f t="shared" si="101"/>
        <v>613.94799975211504</v>
      </c>
      <c r="G366" s="6">
        <f t="shared" si="101"/>
        <v>5.7881250000000009</v>
      </c>
      <c r="H366" s="1">
        <v>0.4</v>
      </c>
      <c r="I366" s="1">
        <v>1.5</v>
      </c>
      <c r="J366" s="1">
        <v>1</v>
      </c>
      <c r="M366" s="1">
        <v>4</v>
      </c>
      <c r="N366" s="6">
        <f t="shared" si="108"/>
        <v>2107.4563125000004</v>
      </c>
      <c r="O366" s="6">
        <f t="shared" si="105"/>
        <v>84735.320553625439</v>
      </c>
      <c r="P366" s="6">
        <f t="shared" si="106"/>
        <v>868.21875000000011</v>
      </c>
      <c r="Q366" s="1">
        <v>0.4</v>
      </c>
      <c r="R366" s="1">
        <v>1.5</v>
      </c>
      <c r="S366" s="1">
        <v>1</v>
      </c>
      <c r="T366" s="1">
        <v>0.8</v>
      </c>
      <c r="U366" s="1">
        <v>10</v>
      </c>
      <c r="V366" s="5">
        <f t="shared" si="107"/>
        <v>2.4999999999999991</v>
      </c>
      <c r="X366" s="1">
        <v>4</v>
      </c>
      <c r="Y366" s="6">
        <f t="shared" si="109"/>
        <v>421.49126250000006</v>
      </c>
      <c r="Z366" s="6">
        <f t="shared" si="110"/>
        <v>9415.035617069494</v>
      </c>
      <c r="AA366" s="6">
        <f t="shared" si="111"/>
        <v>868.21875000000011</v>
      </c>
      <c r="AB366" s="1">
        <f t="shared" si="112"/>
        <v>0.4</v>
      </c>
      <c r="AC366" s="1">
        <f t="shared" si="102"/>
        <v>1.5</v>
      </c>
      <c r="AD366" s="1">
        <f t="shared" si="103"/>
        <v>1</v>
      </c>
      <c r="AE366" s="1">
        <f t="shared" si="113"/>
        <v>10</v>
      </c>
      <c r="AF366" s="36">
        <f t="shared" si="114"/>
        <v>2.4999999999999991</v>
      </c>
    </row>
    <row r="367" spans="3:32" ht="14.25" hidden="1" customHeight="1" outlineLevel="1" x14ac:dyDescent="0.2">
      <c r="D367" s="1">
        <v>5</v>
      </c>
      <c r="E367" s="6">
        <f t="shared" si="104"/>
        <v>22.128291281249997</v>
      </c>
      <c r="F367" s="6">
        <f t="shared" si="101"/>
        <v>644.64539973972069</v>
      </c>
      <c r="G367" s="6">
        <f t="shared" si="101"/>
        <v>6.0775312499999998</v>
      </c>
      <c r="H367" s="1">
        <v>0.4</v>
      </c>
      <c r="I367" s="1">
        <v>1.5</v>
      </c>
      <c r="J367" s="1">
        <v>1</v>
      </c>
      <c r="M367" s="1">
        <v>5</v>
      </c>
      <c r="N367" s="6">
        <f t="shared" si="108"/>
        <v>2212.8291281249999</v>
      </c>
      <c r="O367" s="6">
        <f t="shared" si="105"/>
        <v>88618.119135522677</v>
      </c>
      <c r="P367" s="6">
        <f t="shared" si="106"/>
        <v>911.62968749999993</v>
      </c>
      <c r="Q367" s="1">
        <v>0.4</v>
      </c>
      <c r="R367" s="1">
        <v>1.5</v>
      </c>
      <c r="S367" s="1">
        <v>1</v>
      </c>
      <c r="T367" s="1">
        <v>0.8</v>
      </c>
      <c r="U367" s="1">
        <v>10</v>
      </c>
      <c r="V367" s="5">
        <f t="shared" si="107"/>
        <v>2.4999999999999996</v>
      </c>
      <c r="X367" s="1">
        <v>5</v>
      </c>
      <c r="Y367" s="6">
        <f t="shared" si="109"/>
        <v>442.565825625</v>
      </c>
      <c r="Z367" s="6">
        <f t="shared" si="110"/>
        <v>9846.4576817247416</v>
      </c>
      <c r="AA367" s="6">
        <f t="shared" si="111"/>
        <v>911.62968749999993</v>
      </c>
      <c r="AB367" s="1">
        <f t="shared" si="112"/>
        <v>0.4</v>
      </c>
      <c r="AC367" s="1">
        <f t="shared" si="102"/>
        <v>1.5</v>
      </c>
      <c r="AD367" s="1">
        <f t="shared" si="103"/>
        <v>1</v>
      </c>
      <c r="AE367" s="1">
        <f t="shared" si="113"/>
        <v>10</v>
      </c>
      <c r="AF367" s="36">
        <f t="shared" si="114"/>
        <v>2.4999999999999996</v>
      </c>
    </row>
    <row r="368" spans="3:32" ht="14.25" hidden="1" customHeight="1" outlineLevel="1" x14ac:dyDescent="0.2">
      <c r="D368" s="1">
        <v>6</v>
      </c>
      <c r="E368" s="6">
        <f t="shared" si="104"/>
        <v>23.234705845312501</v>
      </c>
      <c r="F368" s="6">
        <f t="shared" si="101"/>
        <v>676.87766972670681</v>
      </c>
      <c r="G368" s="6">
        <f t="shared" si="101"/>
        <v>6.3814078125000009</v>
      </c>
      <c r="H368" s="1">
        <v>0.4</v>
      </c>
      <c r="I368" s="1">
        <v>1.5</v>
      </c>
      <c r="J368" s="1">
        <v>1</v>
      </c>
      <c r="M368" s="1">
        <v>6</v>
      </c>
      <c r="N368" s="6">
        <f t="shared" si="108"/>
        <v>2323.4705845312501</v>
      </c>
      <c r="O368" s="6">
        <f t="shared" si="105"/>
        <v>92661.945513670245</v>
      </c>
      <c r="P368" s="6">
        <f t="shared" si="106"/>
        <v>957.2111718750001</v>
      </c>
      <c r="Q368" s="1">
        <v>0.4</v>
      </c>
      <c r="R368" s="1">
        <v>1.5</v>
      </c>
      <c r="S368" s="1">
        <v>1</v>
      </c>
      <c r="T368" s="1">
        <v>0.8</v>
      </c>
      <c r="U368" s="1">
        <v>10</v>
      </c>
      <c r="V368" s="5">
        <f t="shared" si="107"/>
        <v>2.4999999999999996</v>
      </c>
      <c r="X368" s="1">
        <v>6</v>
      </c>
      <c r="Y368" s="6">
        <f t="shared" si="109"/>
        <v>464.69411690625003</v>
      </c>
      <c r="Z368" s="6">
        <f t="shared" si="110"/>
        <v>10295.771723741138</v>
      </c>
      <c r="AA368" s="6">
        <f t="shared" si="111"/>
        <v>957.2111718750001</v>
      </c>
      <c r="AB368" s="1">
        <f t="shared" si="112"/>
        <v>0.4</v>
      </c>
      <c r="AC368" s="1">
        <f t="shared" si="102"/>
        <v>1.5</v>
      </c>
      <c r="AD368" s="1">
        <f t="shared" si="103"/>
        <v>1</v>
      </c>
      <c r="AE368" s="1">
        <f t="shared" si="113"/>
        <v>10</v>
      </c>
      <c r="AF368" s="36">
        <f t="shared" si="114"/>
        <v>2.4999999999999996</v>
      </c>
    </row>
    <row r="369" spans="4:32" ht="14.25" hidden="1" customHeight="1" outlineLevel="1" x14ac:dyDescent="0.2">
      <c r="D369" s="1">
        <v>7</v>
      </c>
      <c r="E369" s="6">
        <f t="shared" si="104"/>
        <v>24.396441137578122</v>
      </c>
      <c r="F369" s="6">
        <f t="shared" si="101"/>
        <v>710.72155321304206</v>
      </c>
      <c r="G369" s="6">
        <f t="shared" si="101"/>
        <v>6.7004782031249999</v>
      </c>
      <c r="H369" s="1">
        <v>0.4</v>
      </c>
      <c r="I369" s="1">
        <v>1.5</v>
      </c>
      <c r="J369" s="1">
        <v>1</v>
      </c>
      <c r="M369" s="1">
        <v>7</v>
      </c>
      <c r="N369" s="6">
        <f t="shared" si="108"/>
        <v>2439.6441137578126</v>
      </c>
      <c r="O369" s="6">
        <f t="shared" si="105"/>
        <v>96871.911054245749</v>
      </c>
      <c r="P369" s="6">
        <f t="shared" si="106"/>
        <v>1005.0717304687499</v>
      </c>
      <c r="Q369" s="1">
        <v>0.4</v>
      </c>
      <c r="R369" s="1">
        <v>1.5</v>
      </c>
      <c r="S369" s="1">
        <v>1</v>
      </c>
      <c r="T369" s="1">
        <v>0.8</v>
      </c>
      <c r="U369" s="1">
        <v>10</v>
      </c>
      <c r="V369" s="5">
        <f t="shared" si="107"/>
        <v>2.4999999999999991</v>
      </c>
      <c r="X369" s="1">
        <v>7</v>
      </c>
      <c r="Y369" s="6">
        <f t="shared" si="109"/>
        <v>487.92882275156251</v>
      </c>
      <c r="Z369" s="6">
        <f t="shared" si="110"/>
        <v>10763.545672693972</v>
      </c>
      <c r="AA369" s="6">
        <f t="shared" si="111"/>
        <v>1005.0717304687499</v>
      </c>
      <c r="AB369" s="1">
        <f t="shared" si="112"/>
        <v>0.4</v>
      </c>
      <c r="AC369" s="1">
        <f t="shared" si="102"/>
        <v>1.5</v>
      </c>
      <c r="AD369" s="1">
        <f t="shared" si="103"/>
        <v>1</v>
      </c>
      <c r="AE369" s="1">
        <f t="shared" si="113"/>
        <v>10</v>
      </c>
      <c r="AF369" s="36">
        <f t="shared" si="114"/>
        <v>2.4999999999999991</v>
      </c>
    </row>
    <row r="370" spans="4:32" ht="14.25" hidden="1" customHeight="1" outlineLevel="1" x14ac:dyDescent="0.2">
      <c r="D370" s="1">
        <v>8</v>
      </c>
      <c r="E370" s="6">
        <f t="shared" si="104"/>
        <v>25.616263194457034</v>
      </c>
      <c r="F370" s="6">
        <f t="shared" si="101"/>
        <v>746.25763087369432</v>
      </c>
      <c r="G370" s="6">
        <f t="shared" si="101"/>
        <v>7.0355021132812512</v>
      </c>
      <c r="H370" s="1">
        <v>0.4</v>
      </c>
      <c r="I370" s="1">
        <v>1.5</v>
      </c>
      <c r="J370" s="1">
        <v>1</v>
      </c>
      <c r="M370" s="1">
        <v>8</v>
      </c>
      <c r="N370" s="6">
        <f t="shared" si="108"/>
        <v>2561.6263194457038</v>
      </c>
      <c r="O370" s="6">
        <f t="shared" si="105"/>
        <v>101253.14400201585</v>
      </c>
      <c r="P370" s="6">
        <f t="shared" si="106"/>
        <v>1055.3253169921877</v>
      </c>
      <c r="Q370" s="1">
        <v>0.4</v>
      </c>
      <c r="R370" s="1">
        <v>1.5</v>
      </c>
      <c r="S370" s="1">
        <v>1</v>
      </c>
      <c r="T370" s="1">
        <v>0.8</v>
      </c>
      <c r="U370" s="1">
        <v>10</v>
      </c>
      <c r="V370" s="5">
        <f t="shared" si="107"/>
        <v>2.4999999999999991</v>
      </c>
      <c r="X370" s="1">
        <v>8</v>
      </c>
      <c r="Y370" s="6">
        <f t="shared" si="109"/>
        <v>512.32526388914073</v>
      </c>
      <c r="Z370" s="6">
        <f t="shared" si="110"/>
        <v>11250.349333557317</v>
      </c>
      <c r="AA370" s="6">
        <f t="shared" si="111"/>
        <v>1055.3253169921877</v>
      </c>
      <c r="AB370" s="1">
        <f t="shared" si="112"/>
        <v>0.4</v>
      </c>
      <c r="AC370" s="1">
        <f t="shared" si="102"/>
        <v>1.5</v>
      </c>
      <c r="AD370" s="1">
        <f t="shared" si="103"/>
        <v>1</v>
      </c>
      <c r="AE370" s="1">
        <f t="shared" si="113"/>
        <v>10</v>
      </c>
      <c r="AF370" s="36">
        <f t="shared" si="114"/>
        <v>2.4999999999999991</v>
      </c>
    </row>
    <row r="371" spans="4:32" ht="14.25" hidden="1" customHeight="1" outlineLevel="1" x14ac:dyDescent="0.2">
      <c r="D371" s="1">
        <v>9</v>
      </c>
      <c r="E371" s="6">
        <f t="shared" si="104"/>
        <v>26.89707635417988</v>
      </c>
      <c r="F371" s="6">
        <f t="shared" si="101"/>
        <v>783.57051241737895</v>
      </c>
      <c r="G371" s="6">
        <f t="shared" si="101"/>
        <v>7.3872772189453126</v>
      </c>
      <c r="H371" s="1">
        <v>0.4</v>
      </c>
      <c r="I371" s="1">
        <v>1.5</v>
      </c>
      <c r="J371" s="1">
        <v>1</v>
      </c>
      <c r="M371" s="1">
        <v>9</v>
      </c>
      <c r="N371" s="6">
        <f t="shared" si="108"/>
        <v>2689.7076354179885</v>
      </c>
      <c r="O371" s="6">
        <f t="shared" si="105"/>
        <v>105810.7740524566</v>
      </c>
      <c r="P371" s="6">
        <f t="shared" si="106"/>
        <v>1108.0915828417969</v>
      </c>
      <c r="Q371" s="1">
        <v>0.4</v>
      </c>
      <c r="R371" s="1">
        <v>1.5</v>
      </c>
      <c r="S371" s="1">
        <v>1</v>
      </c>
      <c r="T371" s="1">
        <v>0.8</v>
      </c>
      <c r="U371" s="1">
        <v>10</v>
      </c>
      <c r="V371" s="5">
        <f t="shared" si="107"/>
        <v>2.4999999999999991</v>
      </c>
      <c r="X371" s="1">
        <v>9</v>
      </c>
      <c r="Y371" s="6">
        <f t="shared" si="109"/>
        <v>537.94152708359775</v>
      </c>
      <c r="Z371" s="6">
        <f t="shared" si="110"/>
        <v>11756.752672495179</v>
      </c>
      <c r="AA371" s="6">
        <f t="shared" si="111"/>
        <v>1108.0915828417969</v>
      </c>
      <c r="AB371" s="1">
        <f t="shared" si="112"/>
        <v>0.4</v>
      </c>
      <c r="AC371" s="1">
        <f t="shared" si="102"/>
        <v>1.5</v>
      </c>
      <c r="AD371" s="1">
        <f t="shared" si="103"/>
        <v>1</v>
      </c>
      <c r="AE371" s="1">
        <f t="shared" si="113"/>
        <v>10</v>
      </c>
      <c r="AF371" s="36">
        <f t="shared" si="114"/>
        <v>2.4999999999999991</v>
      </c>
    </row>
    <row r="372" spans="4:32" ht="14.25" hidden="1" customHeight="1" outlineLevel="1" x14ac:dyDescent="0.2">
      <c r="D372" s="1">
        <v>10</v>
      </c>
      <c r="E372" s="6">
        <f t="shared" si="104"/>
        <v>28.241930171888878</v>
      </c>
      <c r="F372" s="6">
        <f t="shared" si="101"/>
        <v>822.74903803824793</v>
      </c>
      <c r="G372" s="6">
        <f t="shared" si="101"/>
        <v>7.7566410798925789</v>
      </c>
      <c r="H372" s="1">
        <v>0.4</v>
      </c>
      <c r="I372" s="1">
        <v>1.5</v>
      </c>
      <c r="J372" s="1">
        <v>1</v>
      </c>
      <c r="M372" s="1">
        <v>10</v>
      </c>
      <c r="N372" s="6">
        <f t="shared" si="108"/>
        <v>2824.193017188888</v>
      </c>
      <c r="O372" s="6">
        <f t="shared" si="105"/>
        <v>110549.91547003436</v>
      </c>
      <c r="P372" s="6">
        <f t="shared" si="106"/>
        <v>1163.4961619838869</v>
      </c>
      <c r="Q372" s="1">
        <v>0.4</v>
      </c>
      <c r="R372" s="1">
        <v>1.5</v>
      </c>
      <c r="S372" s="1">
        <v>1</v>
      </c>
      <c r="T372" s="1">
        <v>0.8</v>
      </c>
      <c r="U372" s="1">
        <v>10</v>
      </c>
      <c r="V372" s="5">
        <f t="shared" si="107"/>
        <v>2.4999999999999987</v>
      </c>
      <c r="X372" s="1">
        <v>10</v>
      </c>
      <c r="Y372" s="6">
        <f t="shared" si="109"/>
        <v>564.83860343777758</v>
      </c>
      <c r="Z372" s="6">
        <f t="shared" si="110"/>
        <v>12283.32394111493</v>
      </c>
      <c r="AA372" s="6">
        <f t="shared" si="111"/>
        <v>1163.4961619838869</v>
      </c>
      <c r="AB372" s="1">
        <f t="shared" si="112"/>
        <v>0.4</v>
      </c>
      <c r="AC372" s="1">
        <f t="shared" si="102"/>
        <v>1.5</v>
      </c>
      <c r="AD372" s="1">
        <f t="shared" si="103"/>
        <v>1</v>
      </c>
      <c r="AE372" s="1">
        <f t="shared" si="113"/>
        <v>10</v>
      </c>
      <c r="AF372" s="36">
        <f t="shared" si="114"/>
        <v>2.4999999999999987</v>
      </c>
    </row>
    <row r="373" spans="4:32" ht="14.25" hidden="1" customHeight="1" outlineLevel="1" x14ac:dyDescent="0.2">
      <c r="D373" s="1">
        <v>11</v>
      </c>
      <c r="E373" s="6">
        <f t="shared" si="104"/>
        <v>29.654026680483319</v>
      </c>
      <c r="F373" s="6">
        <f t="shared" si="101"/>
        <v>863.88648994016035</v>
      </c>
      <c r="G373" s="6">
        <f t="shared" si="101"/>
        <v>8.1444731338872085</v>
      </c>
      <c r="H373" s="1">
        <v>0.4</v>
      </c>
      <c r="I373" s="1">
        <v>1.5</v>
      </c>
      <c r="J373" s="1">
        <v>1</v>
      </c>
      <c r="M373" s="1">
        <v>11</v>
      </c>
      <c r="N373" s="6">
        <f t="shared" si="108"/>
        <v>2965.4026680483325</v>
      </c>
      <c r="O373" s="6">
        <f t="shared" si="105"/>
        <v>115475.64871264859</v>
      </c>
      <c r="P373" s="6">
        <f t="shared" si="106"/>
        <v>1221.6709700830813</v>
      </c>
      <c r="Q373" s="1">
        <v>0.4</v>
      </c>
      <c r="R373" s="1">
        <v>1.5</v>
      </c>
      <c r="S373" s="1">
        <v>1</v>
      </c>
      <c r="T373" s="1">
        <v>0.8</v>
      </c>
      <c r="U373" s="1">
        <v>10</v>
      </c>
      <c r="V373" s="5">
        <f t="shared" si="107"/>
        <v>2.4999999999999987</v>
      </c>
      <c r="X373" s="1">
        <v>11</v>
      </c>
      <c r="Y373" s="6">
        <f t="shared" si="109"/>
        <v>593.08053360966653</v>
      </c>
      <c r="Z373" s="6">
        <f t="shared" si="110"/>
        <v>12830.627634738732</v>
      </c>
      <c r="AA373" s="6">
        <f t="shared" si="111"/>
        <v>1221.6709700830813</v>
      </c>
      <c r="AB373" s="1">
        <f t="shared" si="112"/>
        <v>0.4</v>
      </c>
      <c r="AC373" s="1">
        <f t="shared" si="102"/>
        <v>1.5</v>
      </c>
      <c r="AD373" s="1">
        <f t="shared" si="103"/>
        <v>1</v>
      </c>
      <c r="AE373" s="1">
        <f t="shared" si="113"/>
        <v>10</v>
      </c>
      <c r="AF373" s="36">
        <f t="shared" si="114"/>
        <v>2.4999999999999987</v>
      </c>
    </row>
    <row r="374" spans="4:32" ht="14.25" hidden="1" customHeight="1" outlineLevel="1" x14ac:dyDescent="0.2">
      <c r="D374" s="1">
        <v>12</v>
      </c>
      <c r="E374" s="6">
        <f t="shared" si="104"/>
        <v>31.13672801450749</v>
      </c>
      <c r="F374" s="6">
        <f t="shared" si="101"/>
        <v>907.08081443716844</v>
      </c>
      <c r="G374" s="6">
        <f t="shared" si="101"/>
        <v>8.5516967905815697</v>
      </c>
      <c r="H374" s="1">
        <v>0.4</v>
      </c>
      <c r="I374" s="1">
        <v>1.5</v>
      </c>
      <c r="J374" s="1">
        <v>1</v>
      </c>
      <c r="M374" s="1">
        <v>12</v>
      </c>
      <c r="N374" s="6">
        <f t="shared" si="108"/>
        <v>3113.6728014507494</v>
      </c>
      <c r="O374" s="6">
        <f t="shared" si="105"/>
        <v>120593.00053140945</v>
      </c>
      <c r="P374" s="6">
        <f t="shared" si="106"/>
        <v>1282.7545185872355</v>
      </c>
      <c r="Q374" s="1">
        <v>0.4</v>
      </c>
      <c r="R374" s="1">
        <v>1.5</v>
      </c>
      <c r="S374" s="1">
        <v>1</v>
      </c>
      <c r="T374" s="1">
        <v>0.8</v>
      </c>
      <c r="U374" s="1">
        <v>10</v>
      </c>
      <c r="V374" s="5">
        <f t="shared" si="107"/>
        <v>2.4999999999999991</v>
      </c>
      <c r="X374" s="1">
        <v>12</v>
      </c>
      <c r="Y374" s="6">
        <f t="shared" si="109"/>
        <v>622.73456029014983</v>
      </c>
      <c r="Z374" s="6">
        <f t="shared" si="110"/>
        <v>13399.222281267716</v>
      </c>
      <c r="AA374" s="6">
        <f t="shared" si="111"/>
        <v>1282.7545185872355</v>
      </c>
      <c r="AB374" s="1">
        <f t="shared" si="112"/>
        <v>0.4</v>
      </c>
      <c r="AC374" s="1">
        <f t="shared" si="102"/>
        <v>1.5</v>
      </c>
      <c r="AD374" s="1">
        <f t="shared" si="103"/>
        <v>1</v>
      </c>
      <c r="AE374" s="1">
        <f t="shared" si="113"/>
        <v>10</v>
      </c>
      <c r="AF374" s="36">
        <f t="shared" si="114"/>
        <v>2.4999999999999991</v>
      </c>
    </row>
    <row r="375" spans="4:32" ht="14.25" hidden="1" customHeight="1" outlineLevel="1" x14ac:dyDescent="0.2">
      <c r="D375" s="1">
        <v>13</v>
      </c>
      <c r="E375" s="6">
        <f t="shared" si="104"/>
        <v>32.693564415232856</v>
      </c>
      <c r="F375" s="6">
        <f t="shared" si="101"/>
        <v>952.43485515902671</v>
      </c>
      <c r="G375" s="6">
        <f t="shared" si="101"/>
        <v>8.9792816301106466</v>
      </c>
      <c r="H375" s="1">
        <v>0.4</v>
      </c>
      <c r="I375" s="1">
        <v>1.5</v>
      </c>
      <c r="J375" s="1">
        <v>1</v>
      </c>
      <c r="M375" s="1">
        <v>13</v>
      </c>
      <c r="N375" s="6">
        <f t="shared" si="108"/>
        <v>3269.3564415232859</v>
      </c>
      <c r="O375" s="6">
        <f t="shared" si="105"/>
        <v>125906.92252576369</v>
      </c>
      <c r="P375" s="6">
        <f t="shared" si="106"/>
        <v>1346.892244516597</v>
      </c>
      <c r="Q375" s="1">
        <v>0.4</v>
      </c>
      <c r="R375" s="1">
        <v>1.5</v>
      </c>
      <c r="S375" s="1">
        <v>1</v>
      </c>
      <c r="T375" s="1">
        <v>0.8</v>
      </c>
      <c r="U375" s="1">
        <v>10</v>
      </c>
      <c r="V375" s="5">
        <f t="shared" si="107"/>
        <v>2.4999999999999991</v>
      </c>
      <c r="X375" s="1">
        <v>13</v>
      </c>
      <c r="Y375" s="6">
        <f t="shared" si="109"/>
        <v>653.87128830465713</v>
      </c>
      <c r="Z375" s="6">
        <f t="shared" si="110"/>
        <v>13989.658058418187</v>
      </c>
      <c r="AA375" s="6">
        <f t="shared" si="111"/>
        <v>1346.892244516597</v>
      </c>
      <c r="AB375" s="1">
        <f t="shared" si="112"/>
        <v>0.4</v>
      </c>
      <c r="AC375" s="1">
        <f t="shared" si="102"/>
        <v>1.5</v>
      </c>
      <c r="AD375" s="1">
        <f t="shared" si="103"/>
        <v>1</v>
      </c>
      <c r="AE375" s="1">
        <f t="shared" si="113"/>
        <v>10</v>
      </c>
      <c r="AF375" s="36">
        <f t="shared" si="114"/>
        <v>2.4999999999999991</v>
      </c>
    </row>
    <row r="376" spans="4:32" ht="14.25" hidden="1" customHeight="1" outlineLevel="1" x14ac:dyDescent="0.2">
      <c r="D376" s="1">
        <v>14</v>
      </c>
      <c r="E376" s="6">
        <f t="shared" si="104"/>
        <v>34.328242635994506</v>
      </c>
      <c r="F376" s="6">
        <f t="shared" si="101"/>
        <v>1000.0565979169781</v>
      </c>
      <c r="G376" s="6">
        <f t="shared" si="101"/>
        <v>9.4282457116161797</v>
      </c>
      <c r="H376" s="1">
        <v>0.4</v>
      </c>
      <c r="I376" s="1">
        <v>1.5</v>
      </c>
      <c r="J376" s="1">
        <v>1</v>
      </c>
      <c r="M376" s="1">
        <v>14</v>
      </c>
      <c r="N376" s="6">
        <f t="shared" si="108"/>
        <v>3432.8242635994511</v>
      </c>
      <c r="O376" s="6">
        <f t="shared" si="105"/>
        <v>131422.26814658765</v>
      </c>
      <c r="P376" s="6">
        <f t="shared" si="106"/>
        <v>1414.2368567424269</v>
      </c>
      <c r="Q376" s="1">
        <v>0.4</v>
      </c>
      <c r="R376" s="1">
        <v>1.5</v>
      </c>
      <c r="S376" s="1">
        <v>1</v>
      </c>
      <c r="T376" s="1">
        <v>0.8</v>
      </c>
      <c r="U376" s="1">
        <v>10</v>
      </c>
      <c r="V376" s="5">
        <f t="shared" si="107"/>
        <v>2.4999999999999996</v>
      </c>
      <c r="X376" s="1">
        <v>14</v>
      </c>
      <c r="Y376" s="6">
        <f t="shared" si="109"/>
        <v>686.56485271989027</v>
      </c>
      <c r="Z376" s="6">
        <f t="shared" si="110"/>
        <v>14602.47423850974</v>
      </c>
      <c r="AA376" s="6">
        <f t="shared" si="111"/>
        <v>1414.2368567424269</v>
      </c>
      <c r="AB376" s="1">
        <f t="shared" si="112"/>
        <v>0.4</v>
      </c>
      <c r="AC376" s="1">
        <f t="shared" si="102"/>
        <v>1.5</v>
      </c>
      <c r="AD376" s="1">
        <f t="shared" si="103"/>
        <v>1</v>
      </c>
      <c r="AE376" s="1">
        <f t="shared" si="113"/>
        <v>10</v>
      </c>
      <c r="AF376" s="36">
        <f t="shared" si="114"/>
        <v>2.4999999999999996</v>
      </c>
    </row>
    <row r="377" spans="4:32" ht="14.25" hidden="1" customHeight="1" outlineLevel="1" x14ac:dyDescent="0.2">
      <c r="D377" s="1">
        <v>15</v>
      </c>
      <c r="E377" s="6">
        <f t="shared" si="104"/>
        <v>36.044654767794228</v>
      </c>
      <c r="F377" s="6">
        <f t="shared" si="101"/>
        <v>1050.0594278128269</v>
      </c>
      <c r="G377" s="6">
        <f t="shared" si="101"/>
        <v>9.8996579971969858</v>
      </c>
      <c r="H377" s="1">
        <v>0.4</v>
      </c>
      <c r="I377" s="1">
        <v>1.5</v>
      </c>
      <c r="J377" s="1">
        <v>1</v>
      </c>
      <c r="M377" s="1">
        <v>15</v>
      </c>
      <c r="N377" s="6">
        <f t="shared" si="108"/>
        <v>3604.4654767794232</v>
      </c>
      <c r="O377" s="6">
        <f t="shared" si="105"/>
        <v>137143.76815430642</v>
      </c>
      <c r="P377" s="6">
        <f t="shared" si="106"/>
        <v>1484.9486995795478</v>
      </c>
      <c r="Q377" s="1">
        <v>0.4</v>
      </c>
      <c r="R377" s="1">
        <v>1.5</v>
      </c>
      <c r="S377" s="1">
        <v>1</v>
      </c>
      <c r="T377" s="1">
        <v>0.8</v>
      </c>
      <c r="U377" s="1">
        <v>10</v>
      </c>
      <c r="V377" s="5">
        <f t="shared" si="107"/>
        <v>2.4999999999999991</v>
      </c>
      <c r="X377" s="1">
        <v>15</v>
      </c>
      <c r="Y377" s="6">
        <f t="shared" si="109"/>
        <v>720.89309535588461</v>
      </c>
      <c r="Z377" s="6">
        <f t="shared" si="110"/>
        <v>15238.196461589603</v>
      </c>
      <c r="AA377" s="6">
        <f t="shared" si="111"/>
        <v>1484.9486995795478</v>
      </c>
      <c r="AB377" s="1">
        <f t="shared" si="112"/>
        <v>0.4</v>
      </c>
      <c r="AC377" s="1">
        <f t="shared" si="102"/>
        <v>1.5</v>
      </c>
      <c r="AD377" s="1">
        <f t="shared" si="103"/>
        <v>1</v>
      </c>
      <c r="AE377" s="1">
        <f t="shared" si="113"/>
        <v>10</v>
      </c>
      <c r="AF377" s="36">
        <f t="shared" si="114"/>
        <v>2.4999999999999991</v>
      </c>
    </row>
    <row r="378" spans="4:32" ht="14.25" hidden="1" customHeight="1" outlineLevel="1" x14ac:dyDescent="0.2">
      <c r="D378" s="1">
        <v>16</v>
      </c>
      <c r="E378" s="6">
        <f t="shared" si="104"/>
        <v>37.846887506183947</v>
      </c>
      <c r="F378" s="6">
        <f t="shared" si="101"/>
        <v>1102.5623992034687</v>
      </c>
      <c r="G378" s="6">
        <f t="shared" si="101"/>
        <v>10.394640897056838</v>
      </c>
      <c r="H378" s="1">
        <v>0.4</v>
      </c>
      <c r="I378" s="1">
        <v>1.5</v>
      </c>
      <c r="J378" s="1">
        <v>1</v>
      </c>
      <c r="M378" s="1">
        <v>16</v>
      </c>
      <c r="N378" s="6">
        <f t="shared" si="108"/>
        <v>3784.6887506183953</v>
      </c>
      <c r="O378" s="6">
        <f t="shared" si="105"/>
        <v>143076.00455542988</v>
      </c>
      <c r="P378" s="6">
        <f t="shared" si="106"/>
        <v>1559.1961345585257</v>
      </c>
      <c r="Q378" s="1">
        <v>0.4</v>
      </c>
      <c r="R378" s="1">
        <v>1.5</v>
      </c>
      <c r="S378" s="1">
        <v>1</v>
      </c>
      <c r="T378" s="1">
        <v>0.8</v>
      </c>
      <c r="U378" s="1">
        <v>10</v>
      </c>
      <c r="V378" s="5">
        <f t="shared" si="107"/>
        <v>2.4999999999999987</v>
      </c>
      <c r="X378" s="1">
        <v>16</v>
      </c>
      <c r="Y378" s="6">
        <f t="shared" si="109"/>
        <v>756.93775012367905</v>
      </c>
      <c r="Z378" s="6">
        <f t="shared" si="110"/>
        <v>15897.33383949221</v>
      </c>
      <c r="AA378" s="6">
        <f t="shared" si="111"/>
        <v>1559.1961345585257</v>
      </c>
      <c r="AB378" s="1">
        <f t="shared" si="112"/>
        <v>0.4</v>
      </c>
      <c r="AC378" s="1">
        <f t="shared" si="102"/>
        <v>1.5</v>
      </c>
      <c r="AD378" s="1">
        <f t="shared" si="103"/>
        <v>1</v>
      </c>
      <c r="AE378" s="1">
        <f t="shared" si="113"/>
        <v>10</v>
      </c>
      <c r="AF378" s="36">
        <f t="shared" si="114"/>
        <v>2.4999999999999987</v>
      </c>
    </row>
    <row r="379" spans="4:32" ht="14.25" hidden="1" customHeight="1" outlineLevel="1" x14ac:dyDescent="0.2">
      <c r="D379" s="1">
        <v>17</v>
      </c>
      <c r="E379" s="6">
        <f t="shared" si="104"/>
        <v>39.73923188149314</v>
      </c>
      <c r="F379" s="6">
        <f t="shared" si="104"/>
        <v>1157.690519163642</v>
      </c>
      <c r="G379" s="6">
        <f t="shared" si="104"/>
        <v>10.914372941909679</v>
      </c>
      <c r="H379" s="1">
        <v>0.4</v>
      </c>
      <c r="I379" s="1">
        <v>1.5</v>
      </c>
      <c r="J379" s="1">
        <v>1</v>
      </c>
      <c r="M379" s="1">
        <v>17</v>
      </c>
      <c r="N379" s="6">
        <f t="shared" si="108"/>
        <v>3973.9231881493138</v>
      </c>
      <c r="O379" s="6">
        <f t="shared" si="105"/>
        <v>149223.38305913378</v>
      </c>
      <c r="P379" s="6">
        <f t="shared" si="106"/>
        <v>1637.1559412864519</v>
      </c>
      <c r="Q379" s="1">
        <v>0.4</v>
      </c>
      <c r="R379" s="1">
        <v>1.5</v>
      </c>
      <c r="S379" s="1">
        <v>1</v>
      </c>
      <c r="T379" s="1">
        <v>0.8</v>
      </c>
      <c r="U379" s="1">
        <v>10</v>
      </c>
      <c r="V379" s="5">
        <f t="shared" si="107"/>
        <v>2.5</v>
      </c>
      <c r="X379" s="1">
        <v>17</v>
      </c>
      <c r="Y379" s="6">
        <f t="shared" si="109"/>
        <v>794.7846376298628</v>
      </c>
      <c r="Z379" s="6">
        <f t="shared" si="110"/>
        <v>16580.375895459307</v>
      </c>
      <c r="AA379" s="6">
        <f t="shared" si="111"/>
        <v>1637.1559412864519</v>
      </c>
      <c r="AB379" s="1">
        <f t="shared" si="112"/>
        <v>0.4</v>
      </c>
      <c r="AC379" s="1">
        <f t="shared" si="102"/>
        <v>1.5</v>
      </c>
      <c r="AD379" s="1">
        <f t="shared" si="103"/>
        <v>1</v>
      </c>
      <c r="AE379" s="1">
        <f t="shared" si="113"/>
        <v>10</v>
      </c>
      <c r="AF379" s="36">
        <f t="shared" si="114"/>
        <v>2.5</v>
      </c>
    </row>
    <row r="380" spans="4:32" ht="14.25" hidden="1" customHeight="1" outlineLevel="1" x14ac:dyDescent="0.2">
      <c r="D380" s="1">
        <v>18</v>
      </c>
      <c r="E380" s="6">
        <f t="shared" si="104"/>
        <v>41.726193475567804</v>
      </c>
      <c r="F380" s="6">
        <f t="shared" si="104"/>
        <v>1215.5750451218241</v>
      </c>
      <c r="G380" s="6">
        <f t="shared" si="104"/>
        <v>11.460091589005167</v>
      </c>
      <c r="H380" s="1">
        <v>0.4</v>
      </c>
      <c r="I380" s="1">
        <v>1.5</v>
      </c>
      <c r="J380" s="1">
        <v>1</v>
      </c>
      <c r="M380" s="1">
        <v>18</v>
      </c>
      <c r="N380" s="6">
        <f t="shared" si="108"/>
        <v>4172.6193475567816</v>
      </c>
      <c r="O380" s="6">
        <f t="shared" si="105"/>
        <v>155590.10411565055</v>
      </c>
      <c r="P380" s="6">
        <f t="shared" si="106"/>
        <v>1719.0137383507749</v>
      </c>
      <c r="Q380" s="1">
        <v>0.4</v>
      </c>
      <c r="R380" s="1">
        <v>1.5</v>
      </c>
      <c r="S380" s="1">
        <v>1</v>
      </c>
      <c r="T380" s="1">
        <v>0.8</v>
      </c>
      <c r="U380" s="1">
        <v>10</v>
      </c>
      <c r="V380" s="5">
        <f t="shared" si="107"/>
        <v>2.4999999999999987</v>
      </c>
      <c r="X380" s="1">
        <v>18</v>
      </c>
      <c r="Y380" s="6">
        <f t="shared" si="109"/>
        <v>834.52386951135634</v>
      </c>
      <c r="Z380" s="6">
        <f t="shared" si="110"/>
        <v>17287.789346183396</v>
      </c>
      <c r="AA380" s="6">
        <f t="shared" si="111"/>
        <v>1719.0137383507749</v>
      </c>
      <c r="AB380" s="1">
        <f t="shared" si="112"/>
        <v>0.4</v>
      </c>
      <c r="AC380" s="1">
        <f t="shared" si="102"/>
        <v>1.5</v>
      </c>
      <c r="AD380" s="1">
        <f t="shared" si="103"/>
        <v>1</v>
      </c>
      <c r="AE380" s="1">
        <f t="shared" si="113"/>
        <v>10</v>
      </c>
      <c r="AF380" s="36">
        <f t="shared" si="114"/>
        <v>2.4999999999999987</v>
      </c>
    </row>
    <row r="381" spans="4:32" ht="14.25" hidden="1" customHeight="1" outlineLevel="1" x14ac:dyDescent="0.2">
      <c r="D381" s="1">
        <v>19</v>
      </c>
      <c r="E381" s="6">
        <f t="shared" si="104"/>
        <v>43.812503149346192</v>
      </c>
      <c r="F381" s="6">
        <f t="shared" si="104"/>
        <v>1276.3537973779153</v>
      </c>
      <c r="G381" s="6">
        <f t="shared" si="104"/>
        <v>12.033096168455424</v>
      </c>
      <c r="H381" s="1">
        <v>0.4</v>
      </c>
      <c r="I381" s="1">
        <v>1.5</v>
      </c>
      <c r="J381" s="1">
        <v>1</v>
      </c>
      <c r="M381" s="1">
        <v>19</v>
      </c>
      <c r="N381" s="6">
        <f t="shared" si="108"/>
        <v>4381.2503149346194</v>
      </c>
      <c r="O381" s="6">
        <f t="shared" si="105"/>
        <v>162180.13262020971</v>
      </c>
      <c r="P381" s="6">
        <f t="shared" si="106"/>
        <v>1804.9644252683136</v>
      </c>
      <c r="Q381" s="1">
        <v>0.4</v>
      </c>
      <c r="R381" s="1">
        <v>1.5</v>
      </c>
      <c r="S381" s="1">
        <v>1</v>
      </c>
      <c r="T381" s="1">
        <v>0.8</v>
      </c>
      <c r="U381" s="1">
        <v>10</v>
      </c>
      <c r="V381" s="5">
        <f t="shared" si="107"/>
        <v>2.4999999999999996</v>
      </c>
      <c r="X381" s="1">
        <v>19</v>
      </c>
      <c r="Y381" s="6">
        <f t="shared" si="109"/>
        <v>876.25006298692392</v>
      </c>
      <c r="Z381" s="6">
        <f t="shared" si="110"/>
        <v>18020.014735578858</v>
      </c>
      <c r="AA381" s="6">
        <f t="shared" si="111"/>
        <v>1804.9644252683136</v>
      </c>
      <c r="AB381" s="1">
        <f t="shared" si="112"/>
        <v>0.4</v>
      </c>
      <c r="AC381" s="1">
        <f t="shared" si="102"/>
        <v>1.5</v>
      </c>
      <c r="AD381" s="1">
        <f t="shared" si="103"/>
        <v>1</v>
      </c>
      <c r="AE381" s="1">
        <f t="shared" si="113"/>
        <v>10</v>
      </c>
      <c r="AF381" s="36">
        <f t="shared" si="114"/>
        <v>2.4999999999999996</v>
      </c>
    </row>
    <row r="382" spans="4:32" ht="14.25" hidden="1" customHeight="1" outlineLevel="1" x14ac:dyDescent="0.2">
      <c r="D382" s="1">
        <v>20</v>
      </c>
      <c r="E382" s="6">
        <f t="shared" si="104"/>
        <v>46.003128306813501</v>
      </c>
      <c r="F382" s="6">
        <f t="shared" si="104"/>
        <v>1340.171487246811</v>
      </c>
      <c r="G382" s="6">
        <f t="shared" si="104"/>
        <v>12.634750976878195</v>
      </c>
      <c r="H382" s="1">
        <v>0.4</v>
      </c>
      <c r="I382" s="1">
        <v>1.5</v>
      </c>
      <c r="J382" s="1">
        <v>1</v>
      </c>
      <c r="M382" s="1">
        <v>20</v>
      </c>
      <c r="N382" s="6">
        <f t="shared" si="108"/>
        <v>4600.3128306813496</v>
      </c>
      <c r="O382" s="6">
        <f t="shared" si="105"/>
        <v>168997.16638998836</v>
      </c>
      <c r="P382" s="6">
        <f t="shared" si="106"/>
        <v>1895.2126465317292</v>
      </c>
      <c r="Q382" s="1">
        <v>0.4</v>
      </c>
      <c r="R382" s="1">
        <v>1.5</v>
      </c>
      <c r="S382" s="1">
        <v>1</v>
      </c>
      <c r="T382" s="1">
        <v>0.8</v>
      </c>
      <c r="U382" s="1">
        <v>10</v>
      </c>
      <c r="V382" s="5">
        <f t="shared" si="107"/>
        <v>2.4999999999999996</v>
      </c>
      <c r="X382" s="1">
        <v>20</v>
      </c>
      <c r="Y382" s="6">
        <f t="shared" si="109"/>
        <v>920.06256613626988</v>
      </c>
      <c r="Z382" s="6">
        <f t="shared" si="110"/>
        <v>18777.462932220929</v>
      </c>
      <c r="AA382" s="6">
        <f t="shared" si="111"/>
        <v>1895.2126465317292</v>
      </c>
      <c r="AB382" s="1">
        <f t="shared" si="112"/>
        <v>0.4</v>
      </c>
      <c r="AC382" s="1">
        <f t="shared" si="102"/>
        <v>1.5</v>
      </c>
      <c r="AD382" s="1">
        <f t="shared" si="103"/>
        <v>1</v>
      </c>
      <c r="AE382" s="1">
        <f t="shared" si="113"/>
        <v>10</v>
      </c>
      <c r="AF382" s="36">
        <f t="shared" si="114"/>
        <v>2.4999999999999996</v>
      </c>
    </row>
    <row r="383" spans="4:32" ht="14.25" hidden="1" customHeight="1" outlineLevel="1" x14ac:dyDescent="0.2">
      <c r="D383" s="1">
        <v>21</v>
      </c>
      <c r="E383" s="6">
        <f t="shared" si="104"/>
        <v>48.303284722154174</v>
      </c>
      <c r="F383" s="6">
        <f t="shared" si="104"/>
        <v>1407.1800616091516</v>
      </c>
      <c r="G383" s="6">
        <f t="shared" si="104"/>
        <v>13.266488525722105</v>
      </c>
      <c r="H383" s="1">
        <v>0.4</v>
      </c>
      <c r="I383" s="1">
        <v>1.5</v>
      </c>
      <c r="J383" s="1">
        <v>1</v>
      </c>
      <c r="M383" s="1">
        <v>21</v>
      </c>
      <c r="N383" s="6">
        <f t="shared" si="108"/>
        <v>4830.3284722154185</v>
      </c>
      <c r="O383" s="6">
        <f t="shared" si="105"/>
        <v>176044.60354683248</v>
      </c>
      <c r="P383" s="6">
        <f t="shared" si="106"/>
        <v>1989.9732788583158</v>
      </c>
      <c r="Q383" s="1">
        <v>0.4</v>
      </c>
      <c r="R383" s="1">
        <v>1.5</v>
      </c>
      <c r="S383" s="1">
        <v>1</v>
      </c>
      <c r="T383" s="1">
        <v>0.8</v>
      </c>
      <c r="U383" s="1">
        <v>10</v>
      </c>
      <c r="V383" s="5">
        <f t="shared" si="107"/>
        <v>2.4999999999999987</v>
      </c>
      <c r="X383" s="1">
        <v>21</v>
      </c>
      <c r="Y383" s="6">
        <f t="shared" si="109"/>
        <v>966.06569444308366</v>
      </c>
      <c r="Z383" s="6">
        <f t="shared" si="110"/>
        <v>19560.511505203609</v>
      </c>
      <c r="AA383" s="6">
        <f t="shared" si="111"/>
        <v>1989.9732788583158</v>
      </c>
      <c r="AB383" s="1">
        <f t="shared" si="112"/>
        <v>0.4</v>
      </c>
      <c r="AC383" s="1">
        <f t="shared" si="102"/>
        <v>1.5</v>
      </c>
      <c r="AD383" s="1">
        <f t="shared" si="103"/>
        <v>1</v>
      </c>
      <c r="AE383" s="1">
        <f t="shared" si="113"/>
        <v>10</v>
      </c>
      <c r="AF383" s="36">
        <f t="shared" si="114"/>
        <v>2.4999999999999987</v>
      </c>
    </row>
    <row r="384" spans="4:32" ht="14.25" hidden="1" customHeight="1" outlineLevel="1" x14ac:dyDescent="0.2">
      <c r="D384" s="1">
        <v>22</v>
      </c>
      <c r="E384" s="6">
        <f t="shared" si="104"/>
        <v>50.718448958261888</v>
      </c>
      <c r="F384" s="6">
        <f t="shared" si="104"/>
        <v>1477.5390646896092</v>
      </c>
      <c r="G384" s="6">
        <f t="shared" si="104"/>
        <v>13.929812952008209</v>
      </c>
      <c r="H384" s="1">
        <v>0.4</v>
      </c>
      <c r="I384" s="1">
        <v>1.5</v>
      </c>
      <c r="J384" s="1">
        <v>1</v>
      </c>
      <c r="M384" s="1">
        <v>22</v>
      </c>
      <c r="N384" s="6">
        <f t="shared" si="108"/>
        <v>5071.8448958261888</v>
      </c>
      <c r="O384" s="6">
        <f t="shared" si="105"/>
        <v>183325.50896518948</v>
      </c>
      <c r="P384" s="6">
        <f t="shared" si="106"/>
        <v>2089.4719428012313</v>
      </c>
      <c r="Q384" s="1">
        <v>0.4</v>
      </c>
      <c r="R384" s="1">
        <v>1.5</v>
      </c>
      <c r="S384" s="1">
        <v>1</v>
      </c>
      <c r="T384" s="1">
        <v>0.8</v>
      </c>
      <c r="U384" s="1">
        <v>10</v>
      </c>
      <c r="V384" s="5">
        <f t="shared" si="107"/>
        <v>2.4999999999999996</v>
      </c>
      <c r="X384" s="1">
        <v>22</v>
      </c>
      <c r="Y384" s="6">
        <f t="shared" si="109"/>
        <v>1014.3689791652378</v>
      </c>
      <c r="Z384" s="6">
        <f t="shared" si="110"/>
        <v>20369.500996132163</v>
      </c>
      <c r="AA384" s="6">
        <f t="shared" si="111"/>
        <v>2089.4719428012313</v>
      </c>
      <c r="AB384" s="1">
        <f t="shared" si="112"/>
        <v>0.4</v>
      </c>
      <c r="AC384" s="1">
        <f t="shared" si="102"/>
        <v>1.5</v>
      </c>
      <c r="AD384" s="1">
        <f t="shared" si="103"/>
        <v>1</v>
      </c>
      <c r="AE384" s="1">
        <f t="shared" si="113"/>
        <v>10</v>
      </c>
      <c r="AF384" s="36">
        <f t="shared" si="114"/>
        <v>2.4999999999999996</v>
      </c>
    </row>
    <row r="385" spans="4:32" ht="14.25" hidden="1" customHeight="1" outlineLevel="1" x14ac:dyDescent="0.2">
      <c r="D385" s="1">
        <v>23</v>
      </c>
      <c r="E385" s="6">
        <f t="shared" si="104"/>
        <v>53.254371406174975</v>
      </c>
      <c r="F385" s="6">
        <f t="shared" si="104"/>
        <v>1551.4160179240896</v>
      </c>
      <c r="G385" s="6">
        <f t="shared" si="104"/>
        <v>14.626303599608619</v>
      </c>
      <c r="H385" s="1">
        <v>0.4</v>
      </c>
      <c r="I385" s="1">
        <v>1.5</v>
      </c>
      <c r="J385" s="1">
        <v>1</v>
      </c>
      <c r="M385" s="1">
        <v>23</v>
      </c>
      <c r="N385" s="6">
        <f t="shared" si="108"/>
        <v>5325.4371406174987</v>
      </c>
      <c r="O385" s="6">
        <f t="shared" si="105"/>
        <v>190842.57997246544</v>
      </c>
      <c r="P385" s="6">
        <f t="shared" si="106"/>
        <v>2193.9455399412927</v>
      </c>
      <c r="Q385" s="1">
        <v>0.4</v>
      </c>
      <c r="R385" s="1">
        <v>1.5</v>
      </c>
      <c r="S385" s="1">
        <v>1</v>
      </c>
      <c r="T385" s="1">
        <v>0.8</v>
      </c>
      <c r="U385" s="1">
        <v>10</v>
      </c>
      <c r="V385" s="5">
        <f t="shared" si="107"/>
        <v>2.4999999999999991</v>
      </c>
      <c r="X385" s="1">
        <v>23</v>
      </c>
      <c r="Y385" s="6">
        <f t="shared" si="109"/>
        <v>1065.0874281234996</v>
      </c>
      <c r="Z385" s="6">
        <f t="shared" si="110"/>
        <v>21204.731108051714</v>
      </c>
      <c r="AA385" s="6">
        <f t="shared" si="111"/>
        <v>2193.9455399412927</v>
      </c>
      <c r="AB385" s="1">
        <f t="shared" si="112"/>
        <v>0.4</v>
      </c>
      <c r="AC385" s="1">
        <f t="shared" si="102"/>
        <v>1.5</v>
      </c>
      <c r="AD385" s="1">
        <f t="shared" si="103"/>
        <v>1</v>
      </c>
      <c r="AE385" s="1">
        <f t="shared" si="113"/>
        <v>10</v>
      </c>
      <c r="AF385" s="36">
        <f t="shared" si="114"/>
        <v>2.4999999999999991</v>
      </c>
    </row>
    <row r="386" spans="4:32" ht="14.25" hidden="1" customHeight="1" outlineLevel="1" x14ac:dyDescent="0.2">
      <c r="D386" s="1">
        <v>24</v>
      </c>
      <c r="E386" s="6">
        <f t="shared" si="104"/>
        <v>55.917089976483737</v>
      </c>
      <c r="F386" s="6">
        <f t="shared" si="104"/>
        <v>1628.9868188202943</v>
      </c>
      <c r="G386" s="6">
        <f t="shared" si="104"/>
        <v>15.357618779589053</v>
      </c>
      <c r="H386" s="1">
        <v>0.4</v>
      </c>
      <c r="I386" s="1">
        <v>1.5</v>
      </c>
      <c r="J386" s="1">
        <v>1</v>
      </c>
      <c r="M386" s="1">
        <v>24</v>
      </c>
      <c r="N386" s="6">
        <f t="shared" si="108"/>
        <v>5591.708997648374</v>
      </c>
      <c r="O386" s="6">
        <f t="shared" si="105"/>
        <v>198598.11151755115</v>
      </c>
      <c r="P386" s="6">
        <f t="shared" si="106"/>
        <v>2303.642816938358</v>
      </c>
      <c r="Q386" s="1">
        <v>0.4</v>
      </c>
      <c r="R386" s="1">
        <v>1.5</v>
      </c>
      <c r="S386" s="1">
        <v>1</v>
      </c>
      <c r="T386" s="1">
        <v>0.8</v>
      </c>
      <c r="U386" s="1">
        <v>10</v>
      </c>
      <c r="V386" s="5">
        <f t="shared" si="107"/>
        <v>2.4999999999999996</v>
      </c>
      <c r="X386" s="1">
        <v>24</v>
      </c>
      <c r="Y386" s="6">
        <f t="shared" si="109"/>
        <v>1118.3417995296747</v>
      </c>
      <c r="Z386" s="6">
        <f t="shared" si="110"/>
        <v>22066.456835283461</v>
      </c>
      <c r="AA386" s="6">
        <f t="shared" si="111"/>
        <v>2303.642816938358</v>
      </c>
      <c r="AB386" s="1">
        <f t="shared" si="112"/>
        <v>0.4</v>
      </c>
      <c r="AC386" s="1">
        <f t="shared" si="102"/>
        <v>1.5</v>
      </c>
      <c r="AD386" s="1">
        <f t="shared" si="103"/>
        <v>1</v>
      </c>
      <c r="AE386" s="1">
        <f t="shared" si="113"/>
        <v>10</v>
      </c>
      <c r="AF386" s="36">
        <f t="shared" si="114"/>
        <v>2.4999999999999996</v>
      </c>
    </row>
    <row r="387" spans="4:32" ht="14.25" hidden="1" customHeight="1" outlineLevel="1" x14ac:dyDescent="0.2">
      <c r="D387" s="1">
        <v>25</v>
      </c>
      <c r="E387" s="6">
        <f t="shared" si="104"/>
        <v>58.712944475307914</v>
      </c>
      <c r="F387" s="6">
        <f t="shared" si="104"/>
        <v>1710.4361597613088</v>
      </c>
      <c r="G387" s="6">
        <f t="shared" si="104"/>
        <v>16.125499718568502</v>
      </c>
      <c r="H387" s="1">
        <v>0.4</v>
      </c>
      <c r="I387" s="1">
        <v>1.5</v>
      </c>
      <c r="J387" s="1">
        <v>1</v>
      </c>
      <c r="M387" s="1">
        <v>25</v>
      </c>
      <c r="N387" s="6">
        <f t="shared" si="108"/>
        <v>5871.2944475307922</v>
      </c>
      <c r="O387" s="6">
        <f t="shared" si="105"/>
        <v>206593.9610521342</v>
      </c>
      <c r="P387" s="6">
        <f t="shared" si="106"/>
        <v>2418.8249577852753</v>
      </c>
      <c r="Q387" s="1">
        <v>0.4</v>
      </c>
      <c r="R387" s="1">
        <v>1.5</v>
      </c>
      <c r="S387" s="1">
        <v>1</v>
      </c>
      <c r="T387" s="1">
        <v>0.8</v>
      </c>
      <c r="U387" s="1">
        <v>10</v>
      </c>
      <c r="V387" s="5">
        <f t="shared" si="107"/>
        <v>2.4999999999999991</v>
      </c>
      <c r="X387" s="1">
        <v>25</v>
      </c>
      <c r="Y387" s="6">
        <f t="shared" si="109"/>
        <v>1174.2588895061585</v>
      </c>
      <c r="Z387" s="6">
        <f t="shared" si="110"/>
        <v>22954.884561348244</v>
      </c>
      <c r="AA387" s="6">
        <f t="shared" si="111"/>
        <v>2418.8249577852753</v>
      </c>
      <c r="AB387" s="1">
        <f t="shared" si="112"/>
        <v>0.4</v>
      </c>
      <c r="AC387" s="1">
        <f t="shared" si="102"/>
        <v>1.5</v>
      </c>
      <c r="AD387" s="1">
        <f t="shared" si="103"/>
        <v>1</v>
      </c>
      <c r="AE387" s="1">
        <f t="shared" si="113"/>
        <v>10</v>
      </c>
      <c r="AF387" s="36">
        <f t="shared" si="114"/>
        <v>2.4999999999999991</v>
      </c>
    </row>
    <row r="388" spans="4:32" ht="14.25" hidden="1" customHeight="1" outlineLevel="1" x14ac:dyDescent="0.2">
      <c r="D388" s="1">
        <v>26</v>
      </c>
      <c r="E388" s="6">
        <f t="shared" si="104"/>
        <v>61.648591699073314</v>
      </c>
      <c r="F388" s="6">
        <f t="shared" si="104"/>
        <v>1795.9579677493743</v>
      </c>
      <c r="G388" s="6">
        <f t="shared" si="104"/>
        <v>16.931774704496931</v>
      </c>
      <c r="H388" s="1">
        <v>0.4</v>
      </c>
      <c r="I388" s="1">
        <v>1.5</v>
      </c>
      <c r="J388" s="1">
        <v>1</v>
      </c>
      <c r="M388" s="1">
        <v>26</v>
      </c>
      <c r="N388" s="6">
        <f t="shared" si="108"/>
        <v>6164.8591699073313</v>
      </c>
      <c r="O388" s="6">
        <f t="shared" si="105"/>
        <v>214831.51339815182</v>
      </c>
      <c r="P388" s="6">
        <f t="shared" si="106"/>
        <v>2539.7662056745398</v>
      </c>
      <c r="Q388" s="1">
        <v>0.4</v>
      </c>
      <c r="R388" s="1">
        <v>1.5</v>
      </c>
      <c r="S388" s="1">
        <v>1</v>
      </c>
      <c r="T388" s="1">
        <v>0.8</v>
      </c>
      <c r="U388" s="1">
        <v>10</v>
      </c>
      <c r="V388" s="5">
        <f t="shared" si="107"/>
        <v>2.5</v>
      </c>
      <c r="X388" s="1">
        <v>26</v>
      </c>
      <c r="Y388" s="6">
        <f t="shared" si="109"/>
        <v>1232.9718339814663</v>
      </c>
      <c r="Z388" s="6">
        <f t="shared" si="110"/>
        <v>23870.168155350202</v>
      </c>
      <c r="AA388" s="6">
        <f t="shared" si="111"/>
        <v>2539.7662056745398</v>
      </c>
      <c r="AB388" s="1">
        <f t="shared" si="112"/>
        <v>0.4</v>
      </c>
      <c r="AC388" s="1">
        <f t="shared" si="102"/>
        <v>1.5</v>
      </c>
      <c r="AD388" s="1">
        <f t="shared" si="103"/>
        <v>1</v>
      </c>
      <c r="AE388" s="1">
        <f t="shared" si="113"/>
        <v>10</v>
      </c>
      <c r="AF388" s="36">
        <f t="shared" si="114"/>
        <v>2.5</v>
      </c>
    </row>
    <row r="389" spans="4:32" ht="14.25" hidden="1" customHeight="1" outlineLevel="1" x14ac:dyDescent="0.2">
      <c r="D389" s="1">
        <v>27</v>
      </c>
      <c r="E389" s="6">
        <f t="shared" si="104"/>
        <v>64.73102128402698</v>
      </c>
      <c r="F389" s="6">
        <f t="shared" si="104"/>
        <v>1885.755866136843</v>
      </c>
      <c r="G389" s="6">
        <f t="shared" si="104"/>
        <v>17.778363439721776</v>
      </c>
      <c r="H389" s="1">
        <v>0.4</v>
      </c>
      <c r="I389" s="1">
        <v>1.5</v>
      </c>
      <c r="J389" s="1">
        <v>1</v>
      </c>
      <c r="M389" s="1">
        <v>27</v>
      </c>
      <c r="N389" s="6">
        <f t="shared" si="108"/>
        <v>6473.1021284026983</v>
      </c>
      <c r="O389" s="6">
        <f t="shared" si="105"/>
        <v>223311.64590279205</v>
      </c>
      <c r="P389" s="6">
        <f t="shared" si="106"/>
        <v>2666.7545159582664</v>
      </c>
      <c r="Q389" s="1">
        <v>0.4</v>
      </c>
      <c r="R389" s="1">
        <v>1.5</v>
      </c>
      <c r="S389" s="1">
        <v>1</v>
      </c>
      <c r="T389" s="1">
        <v>0.8</v>
      </c>
      <c r="U389" s="1">
        <v>10</v>
      </c>
      <c r="V389" s="5">
        <f t="shared" si="107"/>
        <v>2.4999999999999987</v>
      </c>
      <c r="X389" s="1">
        <v>27</v>
      </c>
      <c r="Y389" s="6">
        <f t="shared" si="109"/>
        <v>1294.6204256805397</v>
      </c>
      <c r="Z389" s="6">
        <f t="shared" si="110"/>
        <v>24812.405100310229</v>
      </c>
      <c r="AA389" s="6">
        <f t="shared" si="111"/>
        <v>2666.7545159582664</v>
      </c>
      <c r="AB389" s="1">
        <f t="shared" si="112"/>
        <v>0.4</v>
      </c>
      <c r="AC389" s="1">
        <f t="shared" si="102"/>
        <v>1.5</v>
      </c>
      <c r="AD389" s="1">
        <f t="shared" si="103"/>
        <v>1</v>
      </c>
      <c r="AE389" s="1">
        <f t="shared" si="113"/>
        <v>10</v>
      </c>
      <c r="AF389" s="36">
        <f t="shared" si="114"/>
        <v>2.4999999999999987</v>
      </c>
    </row>
    <row r="390" spans="4:32" ht="14.25" hidden="1" customHeight="1" outlineLevel="1" x14ac:dyDescent="0.2">
      <c r="D390" s="1">
        <v>28</v>
      </c>
      <c r="E390" s="6">
        <f t="shared" si="104"/>
        <v>67.96757234822833</v>
      </c>
      <c r="F390" s="6">
        <f t="shared" si="104"/>
        <v>1980.0436594436853</v>
      </c>
      <c r="G390" s="6">
        <f t="shared" si="104"/>
        <v>18.667281611707867</v>
      </c>
      <c r="H390" s="1">
        <v>0.4</v>
      </c>
      <c r="I390" s="1">
        <v>1.5</v>
      </c>
      <c r="J390" s="1">
        <v>1</v>
      </c>
      <c r="M390" s="1">
        <v>28</v>
      </c>
      <c r="N390" s="6">
        <f t="shared" si="108"/>
        <v>6796.7572348228341</v>
      </c>
      <c r="O390" s="6">
        <f t="shared" si="105"/>
        <v>232034.69420920621</v>
      </c>
      <c r="P390" s="6">
        <f t="shared" si="106"/>
        <v>2800.0922417561801</v>
      </c>
      <c r="Q390" s="1">
        <v>0.4</v>
      </c>
      <c r="R390" s="1">
        <v>1.5</v>
      </c>
      <c r="S390" s="1">
        <v>1</v>
      </c>
      <c r="T390" s="1">
        <v>0.8</v>
      </c>
      <c r="U390" s="1">
        <v>10</v>
      </c>
      <c r="V390" s="5">
        <f t="shared" si="107"/>
        <v>2.4999999999999991</v>
      </c>
      <c r="X390" s="1">
        <v>28</v>
      </c>
      <c r="Y390" s="6">
        <f t="shared" si="109"/>
        <v>1359.3514469645668</v>
      </c>
      <c r="Z390" s="6">
        <f t="shared" si="110"/>
        <v>25781.632689911799</v>
      </c>
      <c r="AA390" s="6">
        <f t="shared" si="111"/>
        <v>2800.0922417561801</v>
      </c>
      <c r="AB390" s="1">
        <f t="shared" si="112"/>
        <v>0.4</v>
      </c>
      <c r="AC390" s="1">
        <f t="shared" si="102"/>
        <v>1.5</v>
      </c>
      <c r="AD390" s="1">
        <f t="shared" si="103"/>
        <v>1</v>
      </c>
      <c r="AE390" s="1">
        <f t="shared" si="113"/>
        <v>10</v>
      </c>
      <c r="AF390" s="36">
        <f t="shared" si="114"/>
        <v>2.4999999999999991</v>
      </c>
    </row>
    <row r="391" spans="4:32" ht="14.25" hidden="1" customHeight="1" outlineLevel="1" x14ac:dyDescent="0.2">
      <c r="D391" s="1">
        <v>29</v>
      </c>
      <c r="E391" s="6">
        <f t="shared" si="104"/>
        <v>71.36595096563974</v>
      </c>
      <c r="F391" s="6">
        <f t="shared" si="104"/>
        <v>2079.0458424158692</v>
      </c>
      <c r="G391" s="6">
        <f t="shared" si="104"/>
        <v>19.600645692293256</v>
      </c>
      <c r="H391" s="1">
        <v>0.4</v>
      </c>
      <c r="I391" s="1">
        <v>1.5</v>
      </c>
      <c r="J391" s="1">
        <v>1</v>
      </c>
      <c r="M391" s="1">
        <v>29</v>
      </c>
      <c r="N391" s="6">
        <f t="shared" si="108"/>
        <v>7136.595096563974</v>
      </c>
      <c r="O391" s="6">
        <f t="shared" si="105"/>
        <v>241000.41899589039</v>
      </c>
      <c r="P391" s="6">
        <f t="shared" si="106"/>
        <v>2940.0968538439884</v>
      </c>
      <c r="Q391" s="1">
        <v>0.4</v>
      </c>
      <c r="R391" s="1">
        <v>1.5</v>
      </c>
      <c r="S391" s="1">
        <v>1</v>
      </c>
      <c r="T391" s="1">
        <v>0.8</v>
      </c>
      <c r="U391" s="1">
        <v>10</v>
      </c>
      <c r="V391" s="5">
        <f t="shared" si="107"/>
        <v>2.4999999999999996</v>
      </c>
      <c r="X391" s="1">
        <v>29</v>
      </c>
      <c r="Y391" s="6">
        <f t="shared" si="109"/>
        <v>1427.3190193127948</v>
      </c>
      <c r="Z391" s="6">
        <f t="shared" si="110"/>
        <v>26777.824332876709</v>
      </c>
      <c r="AA391" s="6">
        <f t="shared" si="111"/>
        <v>2940.0968538439884</v>
      </c>
      <c r="AB391" s="1">
        <f t="shared" si="112"/>
        <v>0.4</v>
      </c>
      <c r="AC391" s="1">
        <f t="shared" si="102"/>
        <v>1.5</v>
      </c>
      <c r="AD391" s="1">
        <f t="shared" si="103"/>
        <v>1</v>
      </c>
      <c r="AE391" s="1">
        <f t="shared" si="113"/>
        <v>10</v>
      </c>
      <c r="AF391" s="36">
        <f t="shared" si="114"/>
        <v>2.4999999999999996</v>
      </c>
    </row>
    <row r="392" spans="4:32" ht="14.25" hidden="1" customHeight="1" outlineLevel="1" x14ac:dyDescent="0.2">
      <c r="D392" s="1">
        <v>30</v>
      </c>
      <c r="E392" s="6">
        <f t="shared" si="104"/>
        <v>74.934248513921744</v>
      </c>
      <c r="F392" s="6">
        <f t="shared" si="104"/>
        <v>2182.9981345366632</v>
      </c>
      <c r="G392" s="6">
        <f t="shared" si="104"/>
        <v>20.580677976907925</v>
      </c>
      <c r="H392" s="1">
        <v>0.4</v>
      </c>
      <c r="I392" s="1">
        <v>1.5</v>
      </c>
      <c r="J392" s="1">
        <v>1</v>
      </c>
      <c r="M392" s="1">
        <v>30</v>
      </c>
      <c r="N392" s="6">
        <f t="shared" si="108"/>
        <v>7493.4248513921739</v>
      </c>
      <c r="O392" s="6">
        <f t="shared" si="105"/>
        <v>250207.97405980792</v>
      </c>
      <c r="P392" s="6">
        <f t="shared" si="106"/>
        <v>3087.1016965361887</v>
      </c>
      <c r="Q392" s="1">
        <v>0.4</v>
      </c>
      <c r="R392" s="1">
        <v>1.5</v>
      </c>
      <c r="S392" s="1">
        <v>1</v>
      </c>
      <c r="T392" s="1">
        <v>0.8</v>
      </c>
      <c r="U392" s="1">
        <v>10</v>
      </c>
      <c r="V392" s="5">
        <f t="shared" si="107"/>
        <v>2.4999999999999991</v>
      </c>
      <c r="X392" s="1">
        <v>30</v>
      </c>
      <c r="Y392" s="6">
        <f t="shared" si="109"/>
        <v>1498.6849702784348</v>
      </c>
      <c r="Z392" s="6">
        <f t="shared" si="110"/>
        <v>27800.886006645324</v>
      </c>
      <c r="AA392" s="6">
        <f t="shared" si="111"/>
        <v>3087.1016965361887</v>
      </c>
      <c r="AB392" s="1">
        <f t="shared" si="112"/>
        <v>0.4</v>
      </c>
      <c r="AC392" s="1">
        <f t="shared" si="102"/>
        <v>1.5</v>
      </c>
      <c r="AD392" s="1">
        <f t="shared" si="103"/>
        <v>1</v>
      </c>
      <c r="AE392" s="1">
        <f t="shared" si="113"/>
        <v>10</v>
      </c>
      <c r="AF392" s="36">
        <f t="shared" si="114"/>
        <v>2.4999999999999991</v>
      </c>
    </row>
    <row r="393" spans="4:32" ht="14.25" hidden="1" customHeight="1" outlineLevel="1" x14ac:dyDescent="0.2">
      <c r="D393" s="1">
        <v>31</v>
      </c>
      <c r="E393" s="6">
        <f t="shared" si="104"/>
        <v>78.680960939617805</v>
      </c>
      <c r="F393" s="6">
        <f t="shared" si="104"/>
        <v>2292.1480412634955</v>
      </c>
      <c r="G393" s="6">
        <f t="shared" si="104"/>
        <v>21.609711875753312</v>
      </c>
      <c r="H393" s="1">
        <v>0.4</v>
      </c>
      <c r="I393" s="1">
        <v>1.5</v>
      </c>
      <c r="J393" s="1">
        <v>1</v>
      </c>
      <c r="M393" s="1">
        <v>31</v>
      </c>
      <c r="N393" s="6">
        <f t="shared" si="108"/>
        <v>7868.0960939617808</v>
      </c>
      <c r="O393" s="6">
        <f t="shared" si="105"/>
        <v>259655.87613701617</v>
      </c>
      <c r="P393" s="6">
        <f t="shared" si="106"/>
        <v>3241.4567813629969</v>
      </c>
      <c r="Q393" s="1">
        <v>0.4</v>
      </c>
      <c r="R393" s="1">
        <v>1.5</v>
      </c>
      <c r="S393" s="1">
        <v>1</v>
      </c>
      <c r="T393" s="1">
        <v>0.8</v>
      </c>
      <c r="U393" s="1">
        <v>10</v>
      </c>
      <c r="V393" s="5">
        <f t="shared" si="107"/>
        <v>2.4999999999999991</v>
      </c>
      <c r="X393" s="1">
        <v>31</v>
      </c>
      <c r="Y393" s="6">
        <f t="shared" si="109"/>
        <v>1573.6192187923562</v>
      </c>
      <c r="Z393" s="6">
        <f t="shared" si="110"/>
        <v>28850.652904112907</v>
      </c>
      <c r="AA393" s="6">
        <f t="shared" si="111"/>
        <v>3241.4567813629969</v>
      </c>
      <c r="AB393" s="1">
        <f t="shared" si="112"/>
        <v>0.4</v>
      </c>
      <c r="AC393" s="1">
        <f t="shared" si="102"/>
        <v>1.5</v>
      </c>
      <c r="AD393" s="1">
        <f t="shared" si="103"/>
        <v>1</v>
      </c>
      <c r="AE393" s="1">
        <f t="shared" si="113"/>
        <v>10</v>
      </c>
      <c r="AF393" s="36">
        <f t="shared" si="114"/>
        <v>2.4999999999999991</v>
      </c>
    </row>
    <row r="394" spans="4:32" ht="14.25" hidden="1" customHeight="1" outlineLevel="1" x14ac:dyDescent="0.2">
      <c r="D394" s="1">
        <v>32</v>
      </c>
      <c r="E394" s="6">
        <f t="shared" si="104"/>
        <v>82.615008986598724</v>
      </c>
      <c r="F394" s="6">
        <f t="shared" si="104"/>
        <v>2406.7554433266714</v>
      </c>
      <c r="G394" s="6">
        <f t="shared" si="104"/>
        <v>22.690197469540987</v>
      </c>
      <c r="H394" s="1">
        <v>0.4</v>
      </c>
      <c r="I394" s="1">
        <v>1.5</v>
      </c>
      <c r="J394" s="1">
        <v>1</v>
      </c>
      <c r="M394" s="1">
        <v>32</v>
      </c>
      <c r="N394" s="6">
        <f t="shared" si="108"/>
        <v>8261.500898659875</v>
      </c>
      <c r="O394" s="6">
        <f t="shared" si="105"/>
        <v>269341.97686906601</v>
      </c>
      <c r="P394" s="6">
        <f t="shared" si="106"/>
        <v>3403.529620431148</v>
      </c>
      <c r="Q394" s="1">
        <v>0.4</v>
      </c>
      <c r="R394" s="1">
        <v>1.5</v>
      </c>
      <c r="S394" s="1">
        <v>1</v>
      </c>
      <c r="T394" s="1">
        <v>0.8</v>
      </c>
      <c r="U394" s="1">
        <v>10</v>
      </c>
      <c r="V394" s="5">
        <f t="shared" si="107"/>
        <v>2.4999999999999982</v>
      </c>
      <c r="X394" s="1">
        <v>32</v>
      </c>
      <c r="Y394" s="6">
        <f t="shared" si="109"/>
        <v>1652.300179731975</v>
      </c>
      <c r="Z394" s="6">
        <f t="shared" si="110"/>
        <v>29926.886318785113</v>
      </c>
      <c r="AA394" s="6">
        <f t="shared" si="111"/>
        <v>3403.529620431148</v>
      </c>
      <c r="AB394" s="1">
        <f t="shared" si="112"/>
        <v>0.4</v>
      </c>
      <c r="AC394" s="1">
        <f t="shared" si="102"/>
        <v>1.5</v>
      </c>
      <c r="AD394" s="1">
        <f t="shared" si="103"/>
        <v>1</v>
      </c>
      <c r="AE394" s="1">
        <f t="shared" si="113"/>
        <v>10</v>
      </c>
      <c r="AF394" s="36">
        <f t="shared" si="114"/>
        <v>2.4999999999999982</v>
      </c>
    </row>
    <row r="395" spans="4:32" ht="14.25" hidden="1" customHeight="1" outlineLevel="1" x14ac:dyDescent="0.2">
      <c r="D395" s="1">
        <v>33</v>
      </c>
      <c r="E395" s="6">
        <f t="shared" si="104"/>
        <v>86.745759435928662</v>
      </c>
      <c r="F395" s="6">
        <f t="shared" si="104"/>
        <v>2527.0932154930047</v>
      </c>
      <c r="G395" s="6">
        <f t="shared" si="104"/>
        <v>23.824707343018034</v>
      </c>
      <c r="H395" s="1">
        <v>0.4</v>
      </c>
      <c r="I395" s="1">
        <v>1.5</v>
      </c>
      <c r="J395" s="1">
        <v>1</v>
      </c>
      <c r="M395" s="1">
        <v>33</v>
      </c>
      <c r="N395" s="6">
        <f t="shared" si="108"/>
        <v>8674.5759435928685</v>
      </c>
      <c r="O395" s="6">
        <f t="shared" si="105"/>
        <v>279263.43733299332</v>
      </c>
      <c r="P395" s="6">
        <f t="shared" si="106"/>
        <v>3573.7061014527048</v>
      </c>
      <c r="Q395" s="1">
        <v>0.4</v>
      </c>
      <c r="R395" s="1">
        <v>1.5</v>
      </c>
      <c r="S395" s="1">
        <v>1</v>
      </c>
      <c r="T395" s="1">
        <v>0.8</v>
      </c>
      <c r="U395" s="1">
        <v>10</v>
      </c>
      <c r="V395" s="5">
        <f t="shared" si="107"/>
        <v>2.4999999999999987</v>
      </c>
      <c r="X395" s="1">
        <v>33</v>
      </c>
      <c r="Y395" s="6">
        <f t="shared" si="109"/>
        <v>1734.9151887185737</v>
      </c>
      <c r="Z395" s="6">
        <f t="shared" si="110"/>
        <v>31029.270814777035</v>
      </c>
      <c r="AA395" s="6">
        <f t="shared" si="111"/>
        <v>3573.7061014527048</v>
      </c>
      <c r="AB395" s="1">
        <f t="shared" si="112"/>
        <v>0.4</v>
      </c>
      <c r="AC395" s="1">
        <f t="shared" si="102"/>
        <v>1.5</v>
      </c>
      <c r="AD395" s="1">
        <f t="shared" si="103"/>
        <v>1</v>
      </c>
      <c r="AE395" s="1">
        <f t="shared" si="113"/>
        <v>10</v>
      </c>
      <c r="AF395" s="36">
        <f t="shared" si="114"/>
        <v>2.4999999999999987</v>
      </c>
    </row>
    <row r="396" spans="4:32" ht="14.25" hidden="1" customHeight="1" outlineLevel="1" x14ac:dyDescent="0.2">
      <c r="D396" s="1">
        <v>34</v>
      </c>
      <c r="E396" s="6">
        <f t="shared" ref="E396:G427" si="115">E$360*E$361^($D396-1)</f>
        <v>91.08304740772509</v>
      </c>
      <c r="F396" s="6">
        <f t="shared" si="115"/>
        <v>2653.4478762676549</v>
      </c>
      <c r="G396" s="6">
        <f t="shared" si="115"/>
        <v>25.015942710168936</v>
      </c>
      <c r="H396" s="1">
        <v>0.4</v>
      </c>
      <c r="I396" s="1">
        <v>1.5</v>
      </c>
      <c r="J396" s="1">
        <v>1</v>
      </c>
      <c r="M396" s="1">
        <v>34</v>
      </c>
      <c r="N396" s="6">
        <f t="shared" si="108"/>
        <v>9108.304740772508</v>
      </c>
      <c r="O396" s="6">
        <f t="shared" si="105"/>
        <v>289416.70555660158</v>
      </c>
      <c r="P396" s="6">
        <f t="shared" si="106"/>
        <v>3752.3914065253402</v>
      </c>
      <c r="Q396" s="1">
        <v>0.4</v>
      </c>
      <c r="R396" s="1">
        <v>1.5</v>
      </c>
      <c r="S396" s="1">
        <v>1</v>
      </c>
      <c r="T396" s="1">
        <v>0.8</v>
      </c>
      <c r="U396" s="1">
        <v>10</v>
      </c>
      <c r="V396" s="5">
        <f t="shared" si="107"/>
        <v>2.4999999999999996</v>
      </c>
      <c r="X396" s="1">
        <v>34</v>
      </c>
      <c r="Y396" s="6">
        <f t="shared" si="109"/>
        <v>1821.6609481545015</v>
      </c>
      <c r="Z396" s="6">
        <f t="shared" si="110"/>
        <v>32157.411728511288</v>
      </c>
      <c r="AA396" s="6">
        <f t="shared" si="111"/>
        <v>3752.3914065253402</v>
      </c>
      <c r="AB396" s="1">
        <f t="shared" si="112"/>
        <v>0.4</v>
      </c>
      <c r="AC396" s="1">
        <f t="shared" si="102"/>
        <v>1.5</v>
      </c>
      <c r="AD396" s="1">
        <f t="shared" si="103"/>
        <v>1</v>
      </c>
      <c r="AE396" s="1">
        <f t="shared" si="113"/>
        <v>10</v>
      </c>
      <c r="AF396" s="36">
        <f t="shared" si="114"/>
        <v>2.4999999999999996</v>
      </c>
    </row>
    <row r="397" spans="4:32" ht="14.25" hidden="1" customHeight="1" outlineLevel="1" x14ac:dyDescent="0.2">
      <c r="D397" s="1">
        <v>35</v>
      </c>
      <c r="E397" s="6">
        <f t="shared" si="115"/>
        <v>95.637199778111338</v>
      </c>
      <c r="F397" s="6">
        <f t="shared" si="115"/>
        <v>2786.1202700810377</v>
      </c>
      <c r="G397" s="6">
        <f t="shared" si="115"/>
        <v>26.266739845677382</v>
      </c>
      <c r="H397" s="1">
        <v>0.4</v>
      </c>
      <c r="I397" s="1">
        <v>1.5</v>
      </c>
      <c r="J397" s="1">
        <v>1</v>
      </c>
      <c r="M397" s="1">
        <v>35</v>
      </c>
      <c r="N397" s="6">
        <f t="shared" si="108"/>
        <v>9563.7199778111335</v>
      </c>
      <c r="O397" s="6">
        <f t="shared" si="105"/>
        <v>299797.49743822915</v>
      </c>
      <c r="P397" s="6">
        <f t="shared" si="106"/>
        <v>3940.0109768516072</v>
      </c>
      <c r="Q397" s="1">
        <v>0.4</v>
      </c>
      <c r="R397" s="1">
        <v>1.5</v>
      </c>
      <c r="S397" s="1">
        <v>1</v>
      </c>
      <c r="T397" s="1">
        <v>0.8</v>
      </c>
      <c r="U397" s="1">
        <v>10</v>
      </c>
      <c r="V397" s="5">
        <f t="shared" si="107"/>
        <v>2.4999999999999996</v>
      </c>
      <c r="X397" s="1">
        <v>35</v>
      </c>
      <c r="Y397" s="6">
        <f t="shared" si="109"/>
        <v>1912.7439955622267</v>
      </c>
      <c r="Z397" s="6">
        <f t="shared" si="110"/>
        <v>33310.833048692126</v>
      </c>
      <c r="AA397" s="6">
        <f t="shared" si="111"/>
        <v>3940.0109768516072</v>
      </c>
      <c r="AB397" s="1">
        <f t="shared" si="112"/>
        <v>0.4</v>
      </c>
      <c r="AC397" s="1">
        <f t="shared" si="102"/>
        <v>1.5</v>
      </c>
      <c r="AD397" s="1">
        <f t="shared" si="103"/>
        <v>1</v>
      </c>
      <c r="AE397" s="1">
        <f t="shared" si="113"/>
        <v>10</v>
      </c>
      <c r="AF397" s="36">
        <f t="shared" si="114"/>
        <v>2.4999999999999996</v>
      </c>
    </row>
    <row r="398" spans="4:32" ht="14.25" hidden="1" customHeight="1" outlineLevel="1" x14ac:dyDescent="0.2">
      <c r="D398" s="1">
        <v>36</v>
      </c>
      <c r="E398" s="6">
        <f t="shared" si="115"/>
        <v>100.41905976701692</v>
      </c>
      <c r="F398" s="6">
        <f t="shared" si="115"/>
        <v>2925.42628358509</v>
      </c>
      <c r="G398" s="6">
        <f t="shared" si="115"/>
        <v>27.580076837961258</v>
      </c>
      <c r="H398" s="1">
        <v>0.4</v>
      </c>
      <c r="I398" s="1">
        <v>1.5</v>
      </c>
      <c r="J398" s="1">
        <v>1</v>
      </c>
      <c r="M398" s="1">
        <v>36</v>
      </c>
      <c r="N398" s="6">
        <f t="shared" si="108"/>
        <v>10041.905976701692</v>
      </c>
      <c r="O398" s="6">
        <f t="shared" si="105"/>
        <v>310400.78148073505</v>
      </c>
      <c r="P398" s="6">
        <f t="shared" si="106"/>
        <v>4137.011525694189</v>
      </c>
      <c r="Q398" s="1">
        <v>0.4</v>
      </c>
      <c r="R398" s="1">
        <v>1.5</v>
      </c>
      <c r="S398" s="1">
        <v>1</v>
      </c>
      <c r="T398" s="1">
        <v>0.8</v>
      </c>
      <c r="U398" s="1">
        <v>10</v>
      </c>
      <c r="V398" s="5">
        <f t="shared" si="107"/>
        <v>2.4999999999999996</v>
      </c>
      <c r="X398" s="1">
        <v>36</v>
      </c>
      <c r="Y398" s="6">
        <f t="shared" si="109"/>
        <v>2008.3811953403383</v>
      </c>
      <c r="Z398" s="6">
        <f t="shared" si="110"/>
        <v>34488.975720081675</v>
      </c>
      <c r="AA398" s="6">
        <f t="shared" si="111"/>
        <v>4137.011525694189</v>
      </c>
      <c r="AB398" s="1">
        <f t="shared" si="112"/>
        <v>0.4</v>
      </c>
      <c r="AC398" s="1">
        <f t="shared" si="102"/>
        <v>1.5</v>
      </c>
      <c r="AD398" s="1">
        <f t="shared" si="103"/>
        <v>1</v>
      </c>
      <c r="AE398" s="1">
        <f t="shared" si="113"/>
        <v>10</v>
      </c>
      <c r="AF398" s="36">
        <f t="shared" si="114"/>
        <v>2.4999999999999996</v>
      </c>
    </row>
    <row r="399" spans="4:32" ht="14.25" hidden="1" customHeight="1" outlineLevel="1" x14ac:dyDescent="0.2">
      <c r="D399" s="1">
        <v>37</v>
      </c>
      <c r="E399" s="6">
        <f t="shared" si="115"/>
        <v>105.44001275536776</v>
      </c>
      <c r="F399" s="6">
        <f t="shared" si="115"/>
        <v>3071.6975977643442</v>
      </c>
      <c r="G399" s="6">
        <f t="shared" si="115"/>
        <v>28.959080679859316</v>
      </c>
      <c r="H399" s="1">
        <v>0.4</v>
      </c>
      <c r="I399" s="1">
        <v>1.5</v>
      </c>
      <c r="J399" s="1">
        <v>1</v>
      </c>
      <c r="M399" s="1">
        <v>37</v>
      </c>
      <c r="N399" s="6">
        <f t="shared" si="108"/>
        <v>10544.001275536777</v>
      </c>
      <c r="O399" s="6">
        <f t="shared" si="105"/>
        <v>321220.76773248217</v>
      </c>
      <c r="P399" s="6">
        <f t="shared" si="106"/>
        <v>4343.862101978897</v>
      </c>
      <c r="Q399" s="1">
        <v>0.4</v>
      </c>
      <c r="R399" s="1">
        <v>1.5</v>
      </c>
      <c r="S399" s="1">
        <v>1</v>
      </c>
      <c r="T399" s="1">
        <v>0.8</v>
      </c>
      <c r="U399" s="1">
        <v>10</v>
      </c>
      <c r="V399" s="5">
        <f t="shared" si="107"/>
        <v>2.4999999999999991</v>
      </c>
      <c r="X399" s="1">
        <v>37</v>
      </c>
      <c r="Y399" s="6">
        <f t="shared" si="109"/>
        <v>2108.8002551073555</v>
      </c>
      <c r="Z399" s="6">
        <f t="shared" si="110"/>
        <v>35691.196414720238</v>
      </c>
      <c r="AA399" s="6">
        <f t="shared" si="111"/>
        <v>4343.862101978897</v>
      </c>
      <c r="AB399" s="1">
        <f t="shared" si="112"/>
        <v>0.4</v>
      </c>
      <c r="AC399" s="1">
        <f t="shared" si="102"/>
        <v>1.5</v>
      </c>
      <c r="AD399" s="1">
        <f t="shared" si="103"/>
        <v>1</v>
      </c>
      <c r="AE399" s="1">
        <f t="shared" si="113"/>
        <v>10</v>
      </c>
      <c r="AF399" s="36">
        <f t="shared" si="114"/>
        <v>2.4999999999999991</v>
      </c>
    </row>
    <row r="400" spans="4:32" ht="14.25" hidden="1" customHeight="1" outlineLevel="1" x14ac:dyDescent="0.2">
      <c r="D400" s="1">
        <v>38</v>
      </c>
      <c r="E400" s="6">
        <f t="shared" si="115"/>
        <v>110.71201339313615</v>
      </c>
      <c r="F400" s="6">
        <f t="shared" si="115"/>
        <v>3225.2824776525617</v>
      </c>
      <c r="G400" s="6">
        <f t="shared" si="115"/>
        <v>30.407034713852283</v>
      </c>
      <c r="H400" s="1">
        <v>0.4</v>
      </c>
      <c r="I400" s="1">
        <v>1.5</v>
      </c>
      <c r="J400" s="1">
        <v>1</v>
      </c>
      <c r="M400" s="1">
        <v>38</v>
      </c>
      <c r="N400" s="6">
        <f t="shared" si="108"/>
        <v>11071.201339313617</v>
      </c>
      <c r="O400" s="6">
        <f t="shared" si="105"/>
        <v>332250.90130330826</v>
      </c>
      <c r="P400" s="6">
        <f t="shared" si="106"/>
        <v>4561.0552070778422</v>
      </c>
      <c r="Q400" s="1">
        <v>0.4</v>
      </c>
      <c r="R400" s="1">
        <v>1.5</v>
      </c>
      <c r="S400" s="1">
        <v>1</v>
      </c>
      <c r="T400" s="1">
        <v>0.8</v>
      </c>
      <c r="U400" s="1">
        <v>10</v>
      </c>
      <c r="V400" s="5">
        <f t="shared" si="107"/>
        <v>2.4999999999999991</v>
      </c>
      <c r="X400" s="1">
        <v>38</v>
      </c>
      <c r="Y400" s="6">
        <f t="shared" si="109"/>
        <v>2214.2402678627232</v>
      </c>
      <c r="Z400" s="6">
        <f t="shared" si="110"/>
        <v>36916.766811478694</v>
      </c>
      <c r="AA400" s="6">
        <f t="shared" si="111"/>
        <v>4561.0552070778422</v>
      </c>
      <c r="AB400" s="1">
        <f t="shared" si="112"/>
        <v>0.4</v>
      </c>
      <c r="AC400" s="1">
        <f t="shared" si="102"/>
        <v>1.5</v>
      </c>
      <c r="AD400" s="1">
        <f t="shared" si="103"/>
        <v>1</v>
      </c>
      <c r="AE400" s="1">
        <f t="shared" si="113"/>
        <v>10</v>
      </c>
      <c r="AF400" s="36">
        <f t="shared" si="114"/>
        <v>2.4999999999999991</v>
      </c>
    </row>
    <row r="401" spans="4:32" ht="14.25" hidden="1" customHeight="1" outlineLevel="1" x14ac:dyDescent="0.2">
      <c r="D401" s="1">
        <v>39</v>
      </c>
      <c r="E401" s="6">
        <f t="shared" si="115"/>
        <v>116.24761406279295</v>
      </c>
      <c r="F401" s="6">
        <f t="shared" si="115"/>
        <v>3386.546601535189</v>
      </c>
      <c r="G401" s="6">
        <f t="shared" si="115"/>
        <v>31.92738644954489</v>
      </c>
      <c r="H401" s="1">
        <v>0.4</v>
      </c>
      <c r="I401" s="1">
        <v>1.5</v>
      </c>
      <c r="J401" s="1">
        <v>1</v>
      </c>
      <c r="M401" s="1">
        <v>39</v>
      </c>
      <c r="N401" s="6">
        <f t="shared" si="108"/>
        <v>11624.761406279296</v>
      </c>
      <c r="O401" s="6">
        <f t="shared" si="105"/>
        <v>343483.86079062085</v>
      </c>
      <c r="P401" s="6">
        <f t="shared" si="106"/>
        <v>4789.1079674317334</v>
      </c>
      <c r="Q401" s="1">
        <v>0.4</v>
      </c>
      <c r="R401" s="1">
        <v>1.5</v>
      </c>
      <c r="S401" s="1">
        <v>1</v>
      </c>
      <c r="T401" s="1">
        <v>0.8</v>
      </c>
      <c r="U401" s="1">
        <v>10</v>
      </c>
      <c r="V401" s="5">
        <f t="shared" si="107"/>
        <v>2.4999999999999991</v>
      </c>
      <c r="X401" s="1">
        <v>39</v>
      </c>
      <c r="Y401" s="6">
        <f t="shared" si="109"/>
        <v>2324.9522812558594</v>
      </c>
      <c r="Z401" s="6">
        <f t="shared" si="110"/>
        <v>38164.873421180091</v>
      </c>
      <c r="AA401" s="6">
        <f t="shared" si="111"/>
        <v>4789.1079674317334</v>
      </c>
      <c r="AB401" s="1">
        <f t="shared" si="112"/>
        <v>0.4</v>
      </c>
      <c r="AC401" s="1">
        <f t="shared" si="102"/>
        <v>1.5</v>
      </c>
      <c r="AD401" s="1">
        <f t="shared" si="103"/>
        <v>1</v>
      </c>
      <c r="AE401" s="1">
        <f t="shared" si="113"/>
        <v>10</v>
      </c>
      <c r="AF401" s="36">
        <f t="shared" si="114"/>
        <v>2.4999999999999991</v>
      </c>
    </row>
    <row r="402" spans="4:32" ht="14.25" hidden="1" customHeight="1" outlineLevel="1" x14ac:dyDescent="0.2">
      <c r="D402" s="1">
        <v>40</v>
      </c>
      <c r="E402" s="6">
        <f t="shared" si="115"/>
        <v>122.05999476593261</v>
      </c>
      <c r="F402" s="6">
        <f t="shared" si="115"/>
        <v>3555.873931611949</v>
      </c>
      <c r="G402" s="6">
        <f t="shared" si="115"/>
        <v>33.523755772022142</v>
      </c>
      <c r="H402" s="1">
        <v>0.4</v>
      </c>
      <c r="I402" s="1">
        <v>1.5</v>
      </c>
      <c r="J402" s="1">
        <v>1</v>
      </c>
      <c r="M402" s="1">
        <v>40</v>
      </c>
      <c r="N402" s="6">
        <f t="shared" si="108"/>
        <v>12205.999476593264</v>
      </c>
      <c r="O402" s="6">
        <f t="shared" si="105"/>
        <v>354911.56190981774</v>
      </c>
      <c r="P402" s="6">
        <f t="shared" si="106"/>
        <v>5028.5633658033212</v>
      </c>
      <c r="Q402" s="1">
        <v>0.4</v>
      </c>
      <c r="R402" s="1">
        <v>1.5</v>
      </c>
      <c r="S402" s="1">
        <v>1</v>
      </c>
      <c r="T402" s="1">
        <v>0.8</v>
      </c>
      <c r="U402" s="1">
        <v>10</v>
      </c>
      <c r="V402" s="5">
        <f t="shared" si="107"/>
        <v>2.4999999999999991</v>
      </c>
      <c r="X402" s="1">
        <v>40</v>
      </c>
      <c r="Y402" s="6">
        <f t="shared" si="109"/>
        <v>2441.199895318653</v>
      </c>
      <c r="Z402" s="6">
        <f t="shared" si="110"/>
        <v>39434.61798997975</v>
      </c>
      <c r="AA402" s="6">
        <f t="shared" si="111"/>
        <v>5028.5633658033212</v>
      </c>
      <c r="AB402" s="1">
        <f t="shared" si="112"/>
        <v>0.4</v>
      </c>
      <c r="AC402" s="1">
        <f t="shared" si="102"/>
        <v>1.5</v>
      </c>
      <c r="AD402" s="1">
        <f t="shared" si="103"/>
        <v>1</v>
      </c>
      <c r="AE402" s="1">
        <f t="shared" si="113"/>
        <v>10</v>
      </c>
      <c r="AF402" s="36">
        <f t="shared" si="114"/>
        <v>2.4999999999999991</v>
      </c>
    </row>
    <row r="403" spans="4:32" ht="14.25" hidden="1" customHeight="1" outlineLevel="1" x14ac:dyDescent="0.2">
      <c r="D403" s="1">
        <v>41</v>
      </c>
      <c r="E403" s="6">
        <f t="shared" si="115"/>
        <v>128.16299450422923</v>
      </c>
      <c r="F403" s="6">
        <f t="shared" si="115"/>
        <v>3733.6676281925461</v>
      </c>
      <c r="G403" s="6">
        <f t="shared" si="115"/>
        <v>35.199943560623247</v>
      </c>
      <c r="H403" s="1">
        <v>0.4</v>
      </c>
      <c r="I403" s="1">
        <v>1.5</v>
      </c>
      <c r="J403" s="1">
        <v>1</v>
      </c>
      <c r="M403" s="1">
        <v>41</v>
      </c>
      <c r="N403" s="6">
        <f t="shared" si="108"/>
        <v>12816.299450422925</v>
      </c>
      <c r="O403" s="6">
        <f t="shared" si="105"/>
        <v>366525.16657438577</v>
      </c>
      <c r="P403" s="6">
        <f t="shared" si="106"/>
        <v>5279.9915340934867</v>
      </c>
      <c r="Q403" s="1">
        <v>0.4</v>
      </c>
      <c r="R403" s="1">
        <v>1.5</v>
      </c>
      <c r="S403" s="1">
        <v>1</v>
      </c>
      <c r="T403" s="1">
        <v>0.8</v>
      </c>
      <c r="U403" s="1">
        <v>10</v>
      </c>
      <c r="V403" s="5">
        <f t="shared" si="107"/>
        <v>2.4999999999999991</v>
      </c>
      <c r="X403" s="1">
        <v>41</v>
      </c>
      <c r="Y403" s="6">
        <f t="shared" si="109"/>
        <v>2563.2598900845851</v>
      </c>
      <c r="Z403" s="6">
        <f t="shared" si="110"/>
        <v>40725.018508265086</v>
      </c>
      <c r="AA403" s="6">
        <f t="shared" si="111"/>
        <v>5279.9915340934867</v>
      </c>
      <c r="AB403" s="1">
        <f t="shared" si="112"/>
        <v>0.4</v>
      </c>
      <c r="AC403" s="1">
        <f t="shared" si="102"/>
        <v>1.5</v>
      </c>
      <c r="AD403" s="1">
        <f t="shared" si="103"/>
        <v>1</v>
      </c>
      <c r="AE403" s="1">
        <f t="shared" si="113"/>
        <v>10</v>
      </c>
      <c r="AF403" s="36">
        <f t="shared" si="114"/>
        <v>2.4999999999999991</v>
      </c>
    </row>
    <row r="404" spans="4:32" ht="14.25" hidden="1" customHeight="1" outlineLevel="1" x14ac:dyDescent="0.2">
      <c r="D404" s="1">
        <v>42</v>
      </c>
      <c r="E404" s="6">
        <f t="shared" si="115"/>
        <v>134.5711442294407</v>
      </c>
      <c r="F404" s="6">
        <f t="shared" si="115"/>
        <v>3920.3510096021737</v>
      </c>
      <c r="G404" s="6">
        <f t="shared" si="115"/>
        <v>36.95994073865441</v>
      </c>
      <c r="H404" s="1">
        <v>0.4</v>
      </c>
      <c r="I404" s="1">
        <v>1.5</v>
      </c>
      <c r="J404" s="1">
        <v>1</v>
      </c>
      <c r="M404" s="1">
        <v>42</v>
      </c>
      <c r="N404" s="6">
        <f t="shared" si="108"/>
        <v>13457.114422944072</v>
      </c>
      <c r="O404" s="6">
        <f t="shared" si="105"/>
        <v>378315.09761467588</v>
      </c>
      <c r="P404" s="6">
        <f t="shared" si="106"/>
        <v>5543.9911107981616</v>
      </c>
      <c r="Q404" s="1">
        <v>0.4</v>
      </c>
      <c r="R404" s="1">
        <v>1.5</v>
      </c>
      <c r="S404" s="1">
        <v>1</v>
      </c>
      <c r="T404" s="1">
        <v>0.8</v>
      </c>
      <c r="U404" s="1">
        <v>10</v>
      </c>
      <c r="V404" s="5">
        <f t="shared" si="107"/>
        <v>2.4999999999999991</v>
      </c>
      <c r="X404" s="1">
        <v>42</v>
      </c>
      <c r="Y404" s="6">
        <f t="shared" si="109"/>
        <v>2691.4228845888147</v>
      </c>
      <c r="Z404" s="6">
        <f t="shared" si="110"/>
        <v>42035.0108460751</v>
      </c>
      <c r="AA404" s="6">
        <f t="shared" si="111"/>
        <v>5543.9911107981616</v>
      </c>
      <c r="AB404" s="1">
        <f t="shared" si="112"/>
        <v>0.4</v>
      </c>
      <c r="AC404" s="1">
        <f t="shared" si="102"/>
        <v>1.5</v>
      </c>
      <c r="AD404" s="1">
        <f t="shared" si="103"/>
        <v>1</v>
      </c>
      <c r="AE404" s="1">
        <f t="shared" si="113"/>
        <v>10</v>
      </c>
      <c r="AF404" s="36">
        <f t="shared" si="114"/>
        <v>2.4999999999999991</v>
      </c>
    </row>
    <row r="405" spans="4:32" ht="14.25" hidden="1" customHeight="1" outlineLevel="1" x14ac:dyDescent="0.2">
      <c r="D405" s="1">
        <v>43</v>
      </c>
      <c r="E405" s="6">
        <f t="shared" si="115"/>
        <v>141.29970144091274</v>
      </c>
      <c r="F405" s="6">
        <f t="shared" si="115"/>
        <v>4116.3685600822828</v>
      </c>
      <c r="G405" s="6">
        <f t="shared" si="115"/>
        <v>38.807937775587135</v>
      </c>
      <c r="H405" s="1">
        <v>0.4</v>
      </c>
      <c r="I405" s="1">
        <v>1.5</v>
      </c>
      <c r="J405" s="1">
        <v>1</v>
      </c>
      <c r="M405" s="1">
        <v>43</v>
      </c>
      <c r="N405" s="6">
        <f t="shared" si="108"/>
        <v>14129.970144091274</v>
      </c>
      <c r="O405" s="6">
        <f t="shared" si="105"/>
        <v>390271.05926108971</v>
      </c>
      <c r="P405" s="6">
        <f t="shared" si="106"/>
        <v>5821.1906663380705</v>
      </c>
      <c r="Q405" s="1">
        <v>0.4</v>
      </c>
      <c r="R405" s="1">
        <v>1.5</v>
      </c>
      <c r="S405" s="1">
        <v>1</v>
      </c>
      <c r="T405" s="1">
        <v>0.8</v>
      </c>
      <c r="U405" s="1">
        <v>10</v>
      </c>
      <c r="V405" s="5">
        <f t="shared" si="107"/>
        <v>2.4999999999999991</v>
      </c>
      <c r="X405" s="1">
        <v>43</v>
      </c>
      <c r="Y405" s="6">
        <f t="shared" si="109"/>
        <v>2825.9940288182547</v>
      </c>
      <c r="Z405" s="6">
        <f t="shared" si="110"/>
        <v>43363.451029009972</v>
      </c>
      <c r="AA405" s="6">
        <f t="shared" si="111"/>
        <v>5821.1906663380705</v>
      </c>
      <c r="AB405" s="1">
        <f t="shared" si="112"/>
        <v>0.4</v>
      </c>
      <c r="AC405" s="1">
        <f t="shared" si="102"/>
        <v>1.5</v>
      </c>
      <c r="AD405" s="1">
        <f t="shared" si="103"/>
        <v>1</v>
      </c>
      <c r="AE405" s="1">
        <f t="shared" si="113"/>
        <v>10</v>
      </c>
      <c r="AF405" s="36">
        <f t="shared" si="114"/>
        <v>2.4999999999999991</v>
      </c>
    </row>
    <row r="406" spans="4:32" ht="14.25" hidden="1" customHeight="1" outlineLevel="1" x14ac:dyDescent="0.2">
      <c r="D406" s="1">
        <v>44</v>
      </c>
      <c r="E406" s="6">
        <f t="shared" si="115"/>
        <v>148.36468651295837</v>
      </c>
      <c r="F406" s="6">
        <f t="shared" si="115"/>
        <v>4322.1869880863969</v>
      </c>
      <c r="G406" s="6">
        <f t="shared" si="115"/>
        <v>40.748334664366496</v>
      </c>
      <c r="H406" s="1">
        <v>0.4</v>
      </c>
      <c r="I406" s="1">
        <v>1.5</v>
      </c>
      <c r="J406" s="1">
        <v>1</v>
      </c>
      <c r="M406" s="1">
        <v>44</v>
      </c>
      <c r="N406" s="6">
        <f t="shared" si="108"/>
        <v>14836.46865129584</v>
      </c>
      <c r="O406" s="6">
        <f t="shared" si="105"/>
        <v>402382.0634481227</v>
      </c>
      <c r="P406" s="6">
        <f t="shared" si="106"/>
        <v>6112.2501996549745</v>
      </c>
      <c r="Q406" s="1">
        <v>0.4</v>
      </c>
      <c r="R406" s="1">
        <v>1.5</v>
      </c>
      <c r="S406" s="1">
        <v>1</v>
      </c>
      <c r="T406" s="1">
        <v>0.8</v>
      </c>
      <c r="U406" s="1">
        <v>10</v>
      </c>
      <c r="V406" s="5">
        <f t="shared" si="107"/>
        <v>2.4999999999999987</v>
      </c>
      <c r="X406" s="1">
        <v>44</v>
      </c>
      <c r="Y406" s="6">
        <f t="shared" si="109"/>
        <v>2967.2937302591681</v>
      </c>
      <c r="Z406" s="6">
        <f t="shared" si="110"/>
        <v>44709.118160902523</v>
      </c>
      <c r="AA406" s="6">
        <f t="shared" si="111"/>
        <v>6112.2501996549745</v>
      </c>
      <c r="AB406" s="1">
        <f t="shared" si="112"/>
        <v>0.4</v>
      </c>
      <c r="AC406" s="1">
        <f t="shared" si="102"/>
        <v>1.5</v>
      </c>
      <c r="AD406" s="1">
        <f t="shared" si="103"/>
        <v>1</v>
      </c>
      <c r="AE406" s="1">
        <f t="shared" si="113"/>
        <v>10</v>
      </c>
      <c r="AF406" s="36">
        <f t="shared" si="114"/>
        <v>2.4999999999999987</v>
      </c>
    </row>
    <row r="407" spans="4:32" ht="14.25" hidden="1" customHeight="1" outlineLevel="1" x14ac:dyDescent="0.2">
      <c r="D407" s="1">
        <v>45</v>
      </c>
      <c r="E407" s="6">
        <f t="shared" si="115"/>
        <v>155.78292083860629</v>
      </c>
      <c r="F407" s="6">
        <f t="shared" si="115"/>
        <v>4538.2963374907167</v>
      </c>
      <c r="G407" s="6">
        <f t="shared" si="115"/>
        <v>42.785751397584811</v>
      </c>
      <c r="H407" s="1">
        <v>0.4</v>
      </c>
      <c r="I407" s="1">
        <v>1.5</v>
      </c>
      <c r="J407" s="1">
        <v>1</v>
      </c>
      <c r="M407" s="1">
        <v>45</v>
      </c>
      <c r="N407" s="6">
        <f t="shared" si="108"/>
        <v>15578.292083860631</v>
      </c>
      <c r="O407" s="6">
        <f t="shared" si="105"/>
        <v>414636.4619214366</v>
      </c>
      <c r="P407" s="6">
        <f t="shared" si="106"/>
        <v>6417.8627096377213</v>
      </c>
      <c r="Q407" s="1">
        <v>0.4</v>
      </c>
      <c r="R407" s="1">
        <v>1.5</v>
      </c>
      <c r="S407" s="1">
        <v>1</v>
      </c>
      <c r="T407" s="1">
        <v>0.8</v>
      </c>
      <c r="U407" s="1">
        <v>10</v>
      </c>
      <c r="V407" s="5">
        <f t="shared" si="107"/>
        <v>2.4999999999999996</v>
      </c>
      <c r="X407" s="1">
        <v>45</v>
      </c>
      <c r="Y407" s="6">
        <f t="shared" si="109"/>
        <v>3115.6584167721262</v>
      </c>
      <c r="Z407" s="6">
        <f t="shared" si="110"/>
        <v>46070.717991270736</v>
      </c>
      <c r="AA407" s="6">
        <f t="shared" si="111"/>
        <v>6417.8627096377213</v>
      </c>
      <c r="AB407" s="1">
        <f t="shared" si="112"/>
        <v>0.4</v>
      </c>
      <c r="AC407" s="1">
        <f t="shared" si="102"/>
        <v>1.5</v>
      </c>
      <c r="AD407" s="1">
        <f t="shared" si="103"/>
        <v>1</v>
      </c>
      <c r="AE407" s="1">
        <f t="shared" si="113"/>
        <v>10</v>
      </c>
      <c r="AF407" s="36">
        <f t="shared" si="114"/>
        <v>2.4999999999999996</v>
      </c>
    </row>
    <row r="408" spans="4:32" ht="14.25" hidden="1" customHeight="1" outlineLevel="1" x14ac:dyDescent="0.2">
      <c r="D408" s="1">
        <v>46</v>
      </c>
      <c r="E408" s="6">
        <f t="shared" si="115"/>
        <v>163.57206688053662</v>
      </c>
      <c r="F408" s="6">
        <f t="shared" si="115"/>
        <v>4765.2111543652536</v>
      </c>
      <c r="G408" s="6">
        <f t="shared" si="115"/>
        <v>44.925038967464062</v>
      </c>
      <c r="H408" s="1">
        <v>0.4</v>
      </c>
      <c r="I408" s="1">
        <v>1.5</v>
      </c>
      <c r="J408" s="1">
        <v>1</v>
      </c>
      <c r="M408" s="1">
        <v>46</v>
      </c>
      <c r="N408" s="6">
        <f t="shared" si="108"/>
        <v>16357.206688053664</v>
      </c>
      <c r="O408" s="6">
        <f t="shared" si="105"/>
        <v>427021.98405217286</v>
      </c>
      <c r="P408" s="6">
        <f t="shared" si="106"/>
        <v>6738.7558451196091</v>
      </c>
      <c r="Q408" s="1">
        <v>0.4</v>
      </c>
      <c r="R408" s="1">
        <v>1.5</v>
      </c>
      <c r="S408" s="1">
        <v>1</v>
      </c>
      <c r="T408" s="1">
        <v>0.8</v>
      </c>
      <c r="U408" s="1">
        <v>10</v>
      </c>
      <c r="V408" s="5">
        <f t="shared" si="107"/>
        <v>2.4999999999999991</v>
      </c>
      <c r="X408" s="1">
        <v>46</v>
      </c>
      <c r="Y408" s="6">
        <f t="shared" si="109"/>
        <v>3271.4413376107327</v>
      </c>
      <c r="Z408" s="6">
        <f t="shared" si="110"/>
        <v>47446.887116908096</v>
      </c>
      <c r="AA408" s="6">
        <f t="shared" si="111"/>
        <v>6738.7558451196091</v>
      </c>
      <c r="AB408" s="1">
        <f t="shared" si="112"/>
        <v>0.4</v>
      </c>
      <c r="AC408" s="1">
        <f t="shared" si="102"/>
        <v>1.5</v>
      </c>
      <c r="AD408" s="1">
        <f t="shared" si="103"/>
        <v>1</v>
      </c>
      <c r="AE408" s="1">
        <f t="shared" si="113"/>
        <v>10</v>
      </c>
      <c r="AF408" s="36">
        <f t="shared" si="114"/>
        <v>2.4999999999999991</v>
      </c>
    </row>
    <row r="409" spans="4:32" ht="14.25" hidden="1" customHeight="1" outlineLevel="1" x14ac:dyDescent="0.2">
      <c r="D409" s="1">
        <v>47</v>
      </c>
      <c r="E409" s="6">
        <f t="shared" si="115"/>
        <v>171.75067022456344</v>
      </c>
      <c r="F409" s="6">
        <f t="shared" si="115"/>
        <v>5003.4717120835148</v>
      </c>
      <c r="G409" s="6">
        <f t="shared" si="115"/>
        <v>47.171290915837254</v>
      </c>
      <c r="H409" s="1">
        <v>0.4</v>
      </c>
      <c r="I409" s="1">
        <v>1.5</v>
      </c>
      <c r="J409" s="1">
        <v>1</v>
      </c>
      <c r="M409" s="1">
        <v>47</v>
      </c>
      <c r="N409" s="6">
        <f t="shared" si="108"/>
        <v>17175.067022456344</v>
      </c>
      <c r="O409" s="6">
        <f t="shared" si="105"/>
        <v>439525.78018252435</v>
      </c>
      <c r="P409" s="6">
        <f t="shared" si="106"/>
        <v>7075.693637375588</v>
      </c>
      <c r="Q409" s="1">
        <v>0.4</v>
      </c>
      <c r="R409" s="1">
        <v>1.5</v>
      </c>
      <c r="S409" s="1">
        <v>1</v>
      </c>
      <c r="T409" s="1">
        <v>0.8</v>
      </c>
      <c r="U409" s="1">
        <v>10</v>
      </c>
      <c r="V409" s="5">
        <f t="shared" si="107"/>
        <v>2.4999999999999996</v>
      </c>
      <c r="X409" s="1">
        <v>47</v>
      </c>
      <c r="Y409" s="6">
        <f t="shared" si="109"/>
        <v>3435.0134044912688</v>
      </c>
      <c r="Z409" s="6">
        <f t="shared" si="110"/>
        <v>48836.19779805826</v>
      </c>
      <c r="AA409" s="6">
        <f t="shared" si="111"/>
        <v>7075.693637375588</v>
      </c>
      <c r="AB409" s="1">
        <f t="shared" si="112"/>
        <v>0.4</v>
      </c>
      <c r="AC409" s="1">
        <f t="shared" si="102"/>
        <v>1.5</v>
      </c>
      <c r="AD409" s="1">
        <f t="shared" si="103"/>
        <v>1</v>
      </c>
      <c r="AE409" s="1">
        <f t="shared" si="113"/>
        <v>10</v>
      </c>
      <c r="AF409" s="36">
        <f t="shared" si="114"/>
        <v>2.4999999999999996</v>
      </c>
    </row>
    <row r="410" spans="4:32" ht="14.25" hidden="1" customHeight="1" outlineLevel="1" x14ac:dyDescent="0.2">
      <c r="D410" s="1">
        <v>48</v>
      </c>
      <c r="E410" s="6">
        <f t="shared" si="115"/>
        <v>180.33820373579164</v>
      </c>
      <c r="F410" s="6">
        <f t="shared" si="115"/>
        <v>5253.6452976876917</v>
      </c>
      <c r="G410" s="6">
        <f t="shared" si="115"/>
        <v>49.529855461629133</v>
      </c>
      <c r="H410" s="1">
        <v>0.4</v>
      </c>
      <c r="I410" s="1">
        <v>1.5</v>
      </c>
      <c r="J410" s="1">
        <v>1</v>
      </c>
      <c r="M410" s="1">
        <v>48</v>
      </c>
      <c r="N410" s="6">
        <f t="shared" si="108"/>
        <v>18033.820373579165</v>
      </c>
      <c r="O410" s="6">
        <f t="shared" si="105"/>
        <v>452134.47024576145</v>
      </c>
      <c r="P410" s="6">
        <f t="shared" si="106"/>
        <v>7429.4783192443701</v>
      </c>
      <c r="Q410" s="1">
        <v>0.4</v>
      </c>
      <c r="R410" s="1">
        <v>1.5</v>
      </c>
      <c r="S410" s="1">
        <v>1</v>
      </c>
      <c r="T410" s="1">
        <v>0.8</v>
      </c>
      <c r="U410" s="1">
        <v>10</v>
      </c>
      <c r="V410" s="5">
        <f t="shared" si="107"/>
        <v>2.4999999999999991</v>
      </c>
      <c r="X410" s="1">
        <v>48</v>
      </c>
      <c r="Y410" s="6">
        <f t="shared" si="109"/>
        <v>3606.764074715833</v>
      </c>
      <c r="Z410" s="6">
        <f t="shared" si="110"/>
        <v>50237.163360640159</v>
      </c>
      <c r="AA410" s="6">
        <f t="shared" si="111"/>
        <v>7429.4783192443701</v>
      </c>
      <c r="AB410" s="1">
        <f t="shared" si="112"/>
        <v>0.4</v>
      </c>
      <c r="AC410" s="1">
        <f t="shared" si="102"/>
        <v>1.5</v>
      </c>
      <c r="AD410" s="1">
        <f t="shared" si="103"/>
        <v>1</v>
      </c>
      <c r="AE410" s="1">
        <f t="shared" si="113"/>
        <v>10</v>
      </c>
      <c r="AF410" s="36">
        <f t="shared" si="114"/>
        <v>2.4999999999999991</v>
      </c>
    </row>
    <row r="411" spans="4:32" ht="14.25" hidden="1" customHeight="1" outlineLevel="1" x14ac:dyDescent="0.2">
      <c r="D411" s="1">
        <v>49</v>
      </c>
      <c r="E411" s="6">
        <f t="shared" si="115"/>
        <v>189.35511392258121</v>
      </c>
      <c r="F411" s="6">
        <f t="shared" si="115"/>
        <v>5516.3275625720762</v>
      </c>
      <c r="G411" s="6">
        <f t="shared" si="115"/>
        <v>52.006348234710586</v>
      </c>
      <c r="H411" s="1">
        <v>0.4</v>
      </c>
      <c r="I411" s="1">
        <v>1.5</v>
      </c>
      <c r="J411" s="1">
        <v>1</v>
      </c>
      <c r="M411" s="1">
        <v>49</v>
      </c>
      <c r="N411" s="6">
        <f t="shared" si="108"/>
        <v>18935.511392258122</v>
      </c>
      <c r="O411" s="6">
        <f t="shared" si="105"/>
        <v>464834.19732416834</v>
      </c>
      <c r="P411" s="6">
        <f t="shared" si="106"/>
        <v>7800.9522352065878</v>
      </c>
      <c r="Q411" s="1">
        <v>0.4</v>
      </c>
      <c r="R411" s="1">
        <v>1.5</v>
      </c>
      <c r="S411" s="1">
        <v>1</v>
      </c>
      <c r="T411" s="1">
        <v>0.8</v>
      </c>
      <c r="U411" s="1">
        <v>10</v>
      </c>
      <c r="V411" s="5">
        <f t="shared" si="107"/>
        <v>2.4999999999999996</v>
      </c>
      <c r="X411" s="1">
        <v>49</v>
      </c>
      <c r="Y411" s="6">
        <f t="shared" si="109"/>
        <v>3787.1022784516244</v>
      </c>
      <c r="Z411" s="6">
        <f t="shared" si="110"/>
        <v>51648.244147129815</v>
      </c>
      <c r="AA411" s="6">
        <f t="shared" si="111"/>
        <v>7800.9522352065878</v>
      </c>
      <c r="AB411" s="1">
        <f t="shared" si="112"/>
        <v>0.4</v>
      </c>
      <c r="AC411" s="1">
        <f t="shared" si="102"/>
        <v>1.5</v>
      </c>
      <c r="AD411" s="1">
        <f t="shared" si="103"/>
        <v>1</v>
      </c>
      <c r="AE411" s="1">
        <f t="shared" si="113"/>
        <v>10</v>
      </c>
      <c r="AF411" s="36">
        <f t="shared" si="114"/>
        <v>2.4999999999999996</v>
      </c>
    </row>
    <row r="412" spans="4:32" ht="14.25" hidden="1" customHeight="1" outlineLevel="1" x14ac:dyDescent="0.2">
      <c r="D412" s="1">
        <v>50</v>
      </c>
      <c r="E412" s="6">
        <f t="shared" si="115"/>
        <v>198.82286961871029</v>
      </c>
      <c r="F412" s="6">
        <f t="shared" si="115"/>
        <v>5792.1439407006801</v>
      </c>
      <c r="G412" s="6">
        <f t="shared" si="115"/>
        <v>54.606665646446118</v>
      </c>
      <c r="H412" s="1">
        <v>0.4</v>
      </c>
      <c r="I412" s="1">
        <v>1.5</v>
      </c>
      <c r="J412" s="1">
        <v>1</v>
      </c>
      <c r="M412" s="1">
        <v>50</v>
      </c>
      <c r="N412" s="6">
        <f t="shared" si="108"/>
        <v>19882.286961871032</v>
      </c>
      <c r="O412" s="6">
        <f t="shared" si="105"/>
        <v>477610.68573147466</v>
      </c>
      <c r="P412" s="6">
        <f t="shared" si="106"/>
        <v>8190.9998469669172</v>
      </c>
      <c r="Q412" s="1">
        <v>0.4</v>
      </c>
      <c r="R412" s="1">
        <v>1.5</v>
      </c>
      <c r="S412" s="1">
        <v>1</v>
      </c>
      <c r="T412" s="1">
        <v>0.8</v>
      </c>
      <c r="U412" s="1">
        <v>10</v>
      </c>
      <c r="V412" s="5">
        <f t="shared" si="107"/>
        <v>2.4999999999999991</v>
      </c>
      <c r="X412" s="1">
        <v>50</v>
      </c>
      <c r="Y412" s="6">
        <f t="shared" si="109"/>
        <v>3976.4573923742064</v>
      </c>
      <c r="Z412" s="6">
        <f t="shared" si="110"/>
        <v>53067.853970163851</v>
      </c>
      <c r="AA412" s="6">
        <f t="shared" si="111"/>
        <v>8190.9998469669172</v>
      </c>
      <c r="AB412" s="1">
        <f t="shared" si="112"/>
        <v>0.4</v>
      </c>
      <c r="AC412" s="1">
        <f t="shared" si="102"/>
        <v>1.5</v>
      </c>
      <c r="AD412" s="1">
        <f t="shared" si="103"/>
        <v>1</v>
      </c>
      <c r="AE412" s="1">
        <f t="shared" si="113"/>
        <v>10</v>
      </c>
      <c r="AF412" s="36">
        <f t="shared" si="114"/>
        <v>2.4999999999999991</v>
      </c>
    </row>
    <row r="413" spans="4:32" ht="14.25" hidden="1" customHeight="1" outlineLevel="1" x14ac:dyDescent="0.2">
      <c r="D413" s="1">
        <v>51</v>
      </c>
      <c r="E413" s="6">
        <f t="shared" si="115"/>
        <v>208.76401309964581</v>
      </c>
      <c r="F413" s="6">
        <f t="shared" si="115"/>
        <v>6081.7511377357141</v>
      </c>
      <c r="G413" s="6">
        <f t="shared" si="115"/>
        <v>57.336998928768423</v>
      </c>
      <c r="H413" s="1">
        <v>0.4</v>
      </c>
      <c r="I413" s="1">
        <v>1.5</v>
      </c>
      <c r="J413" s="1">
        <v>1</v>
      </c>
      <c r="M413" s="1">
        <v>51</v>
      </c>
      <c r="N413" s="6">
        <f t="shared" si="108"/>
        <v>20876.401309964582</v>
      </c>
      <c r="O413" s="6">
        <f t="shared" si="105"/>
        <v>490449.30313411634</v>
      </c>
      <c r="P413" s="6">
        <f t="shared" si="106"/>
        <v>8600.5498393152629</v>
      </c>
      <c r="Q413" s="1">
        <v>0.4</v>
      </c>
      <c r="R413" s="1">
        <v>1.5</v>
      </c>
      <c r="S413" s="1">
        <v>1</v>
      </c>
      <c r="T413" s="1">
        <v>0.8</v>
      </c>
      <c r="U413" s="1">
        <v>10</v>
      </c>
      <c r="V413" s="5">
        <f t="shared" si="107"/>
        <v>2.4999999999999991</v>
      </c>
      <c r="X413" s="1">
        <v>51</v>
      </c>
      <c r="Y413" s="6">
        <f t="shared" si="109"/>
        <v>4175.2802619929162</v>
      </c>
      <c r="Z413" s="6">
        <f t="shared" si="110"/>
        <v>54494.367014901814</v>
      </c>
      <c r="AA413" s="6">
        <f t="shared" si="111"/>
        <v>8600.5498393152629</v>
      </c>
      <c r="AB413" s="1">
        <f t="shared" si="112"/>
        <v>0.4</v>
      </c>
      <c r="AC413" s="1">
        <f t="shared" si="102"/>
        <v>1.5</v>
      </c>
      <c r="AD413" s="1">
        <f t="shared" si="103"/>
        <v>1</v>
      </c>
      <c r="AE413" s="1">
        <f t="shared" si="113"/>
        <v>10</v>
      </c>
      <c r="AF413" s="36">
        <f t="shared" si="114"/>
        <v>2.4999999999999991</v>
      </c>
    </row>
    <row r="414" spans="4:32" ht="14.25" hidden="1" customHeight="1" outlineLevel="1" x14ac:dyDescent="0.2">
      <c r="D414" s="1">
        <v>52</v>
      </c>
      <c r="E414" s="6">
        <f t="shared" si="115"/>
        <v>219.2022137546281</v>
      </c>
      <c r="F414" s="6">
        <f t="shared" si="115"/>
        <v>6385.8386946225</v>
      </c>
      <c r="G414" s="6">
        <f t="shared" si="115"/>
        <v>60.203848875206845</v>
      </c>
      <c r="H414" s="1">
        <v>0.4</v>
      </c>
      <c r="I414" s="1">
        <v>1.5</v>
      </c>
      <c r="J414" s="1">
        <v>1</v>
      </c>
      <c r="M414" s="1">
        <v>52</v>
      </c>
      <c r="N414" s="6">
        <f t="shared" si="108"/>
        <v>21920.221375462814</v>
      </c>
      <c r="O414" s="6">
        <f t="shared" si="105"/>
        <v>503335.12615977821</v>
      </c>
      <c r="P414" s="6">
        <f t="shared" si="106"/>
        <v>9030.577331281027</v>
      </c>
      <c r="Q414" s="1">
        <v>0.4</v>
      </c>
      <c r="R414" s="1">
        <v>1.5</v>
      </c>
      <c r="S414" s="1">
        <v>1</v>
      </c>
      <c r="T414" s="1">
        <v>0.8</v>
      </c>
      <c r="U414" s="1">
        <v>10</v>
      </c>
      <c r="V414" s="5">
        <f t="shared" si="107"/>
        <v>2.4999999999999987</v>
      </c>
      <c r="X414" s="1">
        <v>52</v>
      </c>
      <c r="Y414" s="6">
        <f t="shared" si="109"/>
        <v>4384.0442750925631</v>
      </c>
      <c r="Z414" s="6">
        <f t="shared" si="110"/>
        <v>55926.125128864245</v>
      </c>
      <c r="AA414" s="6">
        <f t="shared" si="111"/>
        <v>9030.577331281027</v>
      </c>
      <c r="AB414" s="1">
        <f t="shared" si="112"/>
        <v>0.4</v>
      </c>
      <c r="AC414" s="1">
        <f t="shared" si="102"/>
        <v>1.5</v>
      </c>
      <c r="AD414" s="1">
        <f t="shared" si="103"/>
        <v>1</v>
      </c>
      <c r="AE414" s="1">
        <f t="shared" si="113"/>
        <v>10</v>
      </c>
      <c r="AF414" s="36">
        <f t="shared" si="114"/>
        <v>2.4999999999999987</v>
      </c>
    </row>
    <row r="415" spans="4:32" ht="14.25" hidden="1" customHeight="1" outlineLevel="1" x14ac:dyDescent="0.2">
      <c r="D415" s="1">
        <v>53</v>
      </c>
      <c r="E415" s="6">
        <f t="shared" si="115"/>
        <v>230.16232444235951</v>
      </c>
      <c r="F415" s="6">
        <f t="shared" si="115"/>
        <v>6705.1306293536254</v>
      </c>
      <c r="G415" s="6">
        <f t="shared" si="115"/>
        <v>63.21404131896719</v>
      </c>
      <c r="H415" s="1">
        <v>0.4</v>
      </c>
      <c r="I415" s="1">
        <v>1.5</v>
      </c>
      <c r="J415" s="1">
        <v>1</v>
      </c>
      <c r="M415" s="1">
        <v>53</v>
      </c>
      <c r="N415" s="6">
        <f t="shared" si="108"/>
        <v>23016.232444235953</v>
      </c>
      <c r="O415" s="6">
        <f t="shared" si="105"/>
        <v>516253.00888375839</v>
      </c>
      <c r="P415" s="6">
        <f t="shared" si="106"/>
        <v>9482.106197845078</v>
      </c>
      <c r="Q415" s="1">
        <v>0.4</v>
      </c>
      <c r="R415" s="1">
        <v>1.5</v>
      </c>
      <c r="S415" s="1">
        <v>1</v>
      </c>
      <c r="T415" s="1">
        <v>0.8</v>
      </c>
      <c r="U415" s="1">
        <v>10</v>
      </c>
      <c r="V415" s="5">
        <f t="shared" si="107"/>
        <v>2.4999999999999991</v>
      </c>
      <c r="X415" s="1">
        <v>53</v>
      </c>
      <c r="Y415" s="6">
        <f t="shared" si="109"/>
        <v>4603.2464888471904</v>
      </c>
      <c r="Z415" s="6">
        <f t="shared" si="110"/>
        <v>57361.445431528708</v>
      </c>
      <c r="AA415" s="6">
        <f t="shared" si="111"/>
        <v>9482.106197845078</v>
      </c>
      <c r="AB415" s="1">
        <f t="shared" si="112"/>
        <v>0.4</v>
      </c>
      <c r="AC415" s="1">
        <f t="shared" si="102"/>
        <v>1.5</v>
      </c>
      <c r="AD415" s="1">
        <f t="shared" si="103"/>
        <v>1</v>
      </c>
      <c r="AE415" s="1">
        <f t="shared" si="113"/>
        <v>10</v>
      </c>
      <c r="AF415" s="36">
        <f t="shared" si="114"/>
        <v>2.4999999999999991</v>
      </c>
    </row>
    <row r="416" spans="4:32" ht="14.25" hidden="1" customHeight="1" outlineLevel="1" x14ac:dyDescent="0.2">
      <c r="D416" s="1">
        <v>54</v>
      </c>
      <c r="E416" s="6">
        <f t="shared" si="115"/>
        <v>241.67044066447747</v>
      </c>
      <c r="F416" s="6">
        <f t="shared" si="115"/>
        <v>7040.3871608213058</v>
      </c>
      <c r="G416" s="6">
        <f t="shared" si="115"/>
        <v>66.374743384915547</v>
      </c>
      <c r="H416" s="1">
        <v>0.4</v>
      </c>
      <c r="I416" s="1">
        <v>1.5</v>
      </c>
      <c r="J416" s="1">
        <v>1</v>
      </c>
      <c r="M416" s="1">
        <v>54</v>
      </c>
      <c r="N416" s="6">
        <f t="shared" si="108"/>
        <v>24167.04406644775</v>
      </c>
      <c r="O416" s="6">
        <f t="shared" si="105"/>
        <v>529187.65353521414</v>
      </c>
      <c r="P416" s="6">
        <f t="shared" si="106"/>
        <v>9956.2115077373328</v>
      </c>
      <c r="Q416" s="1">
        <v>0.4</v>
      </c>
      <c r="R416" s="1">
        <v>1.5</v>
      </c>
      <c r="S416" s="1">
        <v>1</v>
      </c>
      <c r="T416" s="1">
        <v>0.8</v>
      </c>
      <c r="U416" s="1">
        <v>10</v>
      </c>
      <c r="V416" s="5">
        <f t="shared" si="107"/>
        <v>2.4999999999999991</v>
      </c>
      <c r="X416" s="1">
        <v>54</v>
      </c>
      <c r="Y416" s="6">
        <f t="shared" si="109"/>
        <v>4833.4088132895504</v>
      </c>
      <c r="Z416" s="6">
        <f t="shared" si="110"/>
        <v>58798.628170579352</v>
      </c>
      <c r="AA416" s="6">
        <f t="shared" si="111"/>
        <v>9956.2115077373328</v>
      </c>
      <c r="AB416" s="1">
        <f t="shared" si="112"/>
        <v>0.4</v>
      </c>
      <c r="AC416" s="1">
        <f t="shared" si="102"/>
        <v>1.5</v>
      </c>
      <c r="AD416" s="1">
        <f t="shared" si="103"/>
        <v>1</v>
      </c>
      <c r="AE416" s="1">
        <f t="shared" si="113"/>
        <v>10</v>
      </c>
      <c r="AF416" s="36">
        <f t="shared" si="114"/>
        <v>2.4999999999999991</v>
      </c>
    </row>
    <row r="417" spans="4:32" ht="14.25" hidden="1" customHeight="1" outlineLevel="1" x14ac:dyDescent="0.2">
      <c r="D417" s="1">
        <v>55</v>
      </c>
      <c r="E417" s="6">
        <f t="shared" si="115"/>
        <v>253.75396269770133</v>
      </c>
      <c r="F417" s="6">
        <f t="shared" si="115"/>
        <v>7392.4065188623708</v>
      </c>
      <c r="G417" s="6">
        <f t="shared" si="115"/>
        <v>69.693480554161312</v>
      </c>
      <c r="H417" s="1">
        <v>0.4</v>
      </c>
      <c r="I417" s="1">
        <v>1.5</v>
      </c>
      <c r="J417" s="1">
        <v>1</v>
      </c>
      <c r="M417" s="1">
        <v>55</v>
      </c>
      <c r="N417" s="6">
        <f t="shared" si="108"/>
        <v>25375.396269770135</v>
      </c>
      <c r="O417" s="6">
        <f t="shared" si="105"/>
        <v>542123.68272753188</v>
      </c>
      <c r="P417" s="6">
        <f t="shared" si="106"/>
        <v>10454.022083124197</v>
      </c>
      <c r="Q417" s="1">
        <v>0.4</v>
      </c>
      <c r="R417" s="1">
        <v>1.5</v>
      </c>
      <c r="S417" s="1">
        <v>1</v>
      </c>
      <c r="T417" s="1">
        <v>0.8</v>
      </c>
      <c r="U417" s="1">
        <v>10</v>
      </c>
      <c r="V417" s="5">
        <f t="shared" si="107"/>
        <v>2.4999999999999991</v>
      </c>
      <c r="X417" s="1">
        <v>55</v>
      </c>
      <c r="Y417" s="6">
        <f t="shared" si="109"/>
        <v>5075.0792539540271</v>
      </c>
      <c r="Z417" s="6">
        <f t="shared" si="110"/>
        <v>60235.964747503545</v>
      </c>
      <c r="AA417" s="6">
        <f t="shared" si="111"/>
        <v>10454.022083124197</v>
      </c>
      <c r="AB417" s="1">
        <f t="shared" si="112"/>
        <v>0.4</v>
      </c>
      <c r="AC417" s="1">
        <f t="shared" si="102"/>
        <v>1.5</v>
      </c>
      <c r="AD417" s="1">
        <f t="shared" si="103"/>
        <v>1</v>
      </c>
      <c r="AE417" s="1">
        <f t="shared" si="113"/>
        <v>10</v>
      </c>
      <c r="AF417" s="36">
        <f t="shared" si="114"/>
        <v>2.4999999999999991</v>
      </c>
    </row>
    <row r="418" spans="4:32" ht="14.25" hidden="1" customHeight="1" outlineLevel="1" x14ac:dyDescent="0.2">
      <c r="D418" s="1">
        <v>56</v>
      </c>
      <c r="E418" s="6">
        <f t="shared" si="115"/>
        <v>266.44166083258642</v>
      </c>
      <c r="F418" s="6">
        <f t="shared" si="115"/>
        <v>7762.0268448054912</v>
      </c>
      <c r="G418" s="6">
        <f t="shared" si="115"/>
        <v>73.178154581869393</v>
      </c>
      <c r="H418" s="1">
        <v>0.4</v>
      </c>
      <c r="I418" s="1">
        <v>1.5</v>
      </c>
      <c r="J418" s="1">
        <v>1</v>
      </c>
      <c r="M418" s="1">
        <v>56</v>
      </c>
      <c r="N418" s="6">
        <f t="shared" si="108"/>
        <v>26644.166083258642</v>
      </c>
      <c r="O418" s="6">
        <f t="shared" si="105"/>
        <v>555045.71249089041</v>
      </c>
      <c r="P418" s="6">
        <f t="shared" si="106"/>
        <v>10976.72318728041</v>
      </c>
      <c r="Q418" s="1">
        <v>0.4</v>
      </c>
      <c r="R418" s="1">
        <v>1.5</v>
      </c>
      <c r="S418" s="1">
        <v>1</v>
      </c>
      <c r="T418" s="1">
        <v>0.8</v>
      </c>
      <c r="U418" s="1">
        <v>10</v>
      </c>
      <c r="V418" s="5">
        <f t="shared" si="107"/>
        <v>2.5</v>
      </c>
      <c r="X418" s="1">
        <v>56</v>
      </c>
      <c r="Y418" s="6">
        <f t="shared" si="109"/>
        <v>5328.8332166517284</v>
      </c>
      <c r="Z418" s="6">
        <f t="shared" si="110"/>
        <v>61671.745832321154</v>
      </c>
      <c r="AA418" s="6">
        <f t="shared" si="111"/>
        <v>10976.72318728041</v>
      </c>
      <c r="AB418" s="1">
        <f t="shared" si="112"/>
        <v>0.4</v>
      </c>
      <c r="AC418" s="1">
        <f t="shared" si="102"/>
        <v>1.5</v>
      </c>
      <c r="AD418" s="1">
        <f t="shared" si="103"/>
        <v>1</v>
      </c>
      <c r="AE418" s="1">
        <f t="shared" si="113"/>
        <v>10</v>
      </c>
      <c r="AF418" s="36">
        <f t="shared" si="114"/>
        <v>2.5</v>
      </c>
    </row>
    <row r="419" spans="4:32" ht="14.25" hidden="1" customHeight="1" outlineLevel="1" x14ac:dyDescent="0.2">
      <c r="D419" s="1">
        <v>57</v>
      </c>
      <c r="E419" s="6">
        <f t="shared" si="115"/>
        <v>279.76374387421572</v>
      </c>
      <c r="F419" s="6">
        <f t="shared" si="115"/>
        <v>8150.1281870457642</v>
      </c>
      <c r="G419" s="6">
        <f t="shared" si="115"/>
        <v>76.83706231096285</v>
      </c>
      <c r="H419" s="1">
        <v>0.4</v>
      </c>
      <c r="I419" s="1">
        <v>1.5</v>
      </c>
      <c r="J419" s="1">
        <v>1</v>
      </c>
      <c r="M419" s="1">
        <v>57</v>
      </c>
      <c r="N419" s="6">
        <f t="shared" si="108"/>
        <v>27976.374387421572</v>
      </c>
      <c r="O419" s="6">
        <f t="shared" si="105"/>
        <v>567938.42537125084</v>
      </c>
      <c r="P419" s="6">
        <f t="shared" si="106"/>
        <v>11525.559346644428</v>
      </c>
      <c r="Q419" s="1">
        <v>0.4</v>
      </c>
      <c r="R419" s="1">
        <v>1.5</v>
      </c>
      <c r="S419" s="1">
        <v>1</v>
      </c>
      <c r="T419" s="1">
        <v>0.8</v>
      </c>
      <c r="U419" s="1">
        <v>10</v>
      </c>
      <c r="V419" s="5">
        <f t="shared" si="107"/>
        <v>2.4999999999999991</v>
      </c>
      <c r="X419" s="1">
        <v>57</v>
      </c>
      <c r="Y419" s="6">
        <f t="shared" si="109"/>
        <v>5595.2748774843149</v>
      </c>
      <c r="Z419" s="6">
        <f t="shared" si="110"/>
        <v>63104.269485694538</v>
      </c>
      <c r="AA419" s="6">
        <f t="shared" si="111"/>
        <v>11525.559346644428</v>
      </c>
      <c r="AB419" s="1">
        <f t="shared" si="112"/>
        <v>0.4</v>
      </c>
      <c r="AC419" s="1">
        <f t="shared" si="102"/>
        <v>1.5</v>
      </c>
      <c r="AD419" s="1">
        <f t="shared" si="103"/>
        <v>1</v>
      </c>
      <c r="AE419" s="1">
        <f t="shared" si="113"/>
        <v>10</v>
      </c>
      <c r="AF419" s="36">
        <f t="shared" si="114"/>
        <v>2.4999999999999991</v>
      </c>
    </row>
    <row r="420" spans="4:32" ht="14.25" hidden="1" customHeight="1" outlineLevel="1" x14ac:dyDescent="0.2">
      <c r="D420" s="1">
        <v>58</v>
      </c>
      <c r="E420" s="6">
        <f t="shared" si="115"/>
        <v>293.75193106792653</v>
      </c>
      <c r="F420" s="6">
        <f t="shared" si="115"/>
        <v>8557.634596398053</v>
      </c>
      <c r="G420" s="6">
        <f t="shared" si="115"/>
        <v>80.678915426510997</v>
      </c>
      <c r="H420" s="1">
        <v>0.4</v>
      </c>
      <c r="I420" s="1">
        <v>1.5</v>
      </c>
      <c r="J420" s="1">
        <v>1</v>
      </c>
      <c r="M420" s="1">
        <v>58</v>
      </c>
      <c r="N420" s="6">
        <f t="shared" si="108"/>
        <v>29375.193106792656</v>
      </c>
      <c r="O420" s="6">
        <f t="shared" si="105"/>
        <v>580786.64285885543</v>
      </c>
      <c r="P420" s="6">
        <f t="shared" si="106"/>
        <v>12101.83731397665</v>
      </c>
      <c r="Q420" s="1">
        <v>0.4</v>
      </c>
      <c r="R420" s="1">
        <v>1.5</v>
      </c>
      <c r="S420" s="1">
        <v>1</v>
      </c>
      <c r="T420" s="1">
        <v>0.8</v>
      </c>
      <c r="U420" s="1">
        <v>10</v>
      </c>
      <c r="V420" s="5">
        <f t="shared" si="107"/>
        <v>2.4999999999999996</v>
      </c>
      <c r="X420" s="1">
        <v>58</v>
      </c>
      <c r="Y420" s="6">
        <f t="shared" si="109"/>
        <v>5875.0386213585316</v>
      </c>
      <c r="Z420" s="6">
        <f t="shared" si="110"/>
        <v>64531.849206539489</v>
      </c>
      <c r="AA420" s="6">
        <f t="shared" si="111"/>
        <v>12101.83731397665</v>
      </c>
      <c r="AB420" s="1">
        <f t="shared" si="112"/>
        <v>0.4</v>
      </c>
      <c r="AC420" s="1">
        <f t="shared" si="102"/>
        <v>1.5</v>
      </c>
      <c r="AD420" s="1">
        <f t="shared" si="103"/>
        <v>1</v>
      </c>
      <c r="AE420" s="1">
        <f t="shared" si="113"/>
        <v>10</v>
      </c>
      <c r="AF420" s="36">
        <f t="shared" si="114"/>
        <v>2.4999999999999996</v>
      </c>
    </row>
    <row r="421" spans="4:32" ht="14.25" hidden="1" customHeight="1" outlineLevel="1" x14ac:dyDescent="0.2">
      <c r="D421" s="1">
        <v>59</v>
      </c>
      <c r="E421" s="6">
        <f t="shared" si="115"/>
        <v>308.4395276213229</v>
      </c>
      <c r="F421" s="6">
        <f t="shared" si="115"/>
        <v>8985.5163262179558</v>
      </c>
      <c r="G421" s="6">
        <f t="shared" si="115"/>
        <v>84.71286119783656</v>
      </c>
      <c r="H421" s="1">
        <v>0.4</v>
      </c>
      <c r="I421" s="1">
        <v>1.5</v>
      </c>
      <c r="J421" s="1">
        <v>1</v>
      </c>
      <c r="M421" s="1">
        <v>59</v>
      </c>
      <c r="N421" s="6">
        <f t="shared" si="108"/>
        <v>30843.952762132292</v>
      </c>
      <c r="O421" s="6">
        <f t="shared" si="105"/>
        <v>593575.39642088918</v>
      </c>
      <c r="P421" s="6">
        <f t="shared" si="106"/>
        <v>12706.929179675484</v>
      </c>
      <c r="Q421" s="1">
        <v>0.4</v>
      </c>
      <c r="R421" s="1">
        <v>1.5</v>
      </c>
      <c r="S421" s="1">
        <v>1</v>
      </c>
      <c r="T421" s="1">
        <v>0.8</v>
      </c>
      <c r="U421" s="1">
        <v>10</v>
      </c>
      <c r="V421" s="5">
        <f t="shared" si="107"/>
        <v>2.4999999999999987</v>
      </c>
      <c r="X421" s="1">
        <v>59</v>
      </c>
      <c r="Y421" s="6">
        <f t="shared" si="109"/>
        <v>6168.7905524264588</v>
      </c>
      <c r="Z421" s="6">
        <f t="shared" si="110"/>
        <v>65952.821824543236</v>
      </c>
      <c r="AA421" s="6">
        <f t="shared" si="111"/>
        <v>12706.929179675484</v>
      </c>
      <c r="AB421" s="1">
        <f t="shared" si="112"/>
        <v>0.4</v>
      </c>
      <c r="AC421" s="1">
        <f t="shared" si="102"/>
        <v>1.5</v>
      </c>
      <c r="AD421" s="1">
        <f t="shared" si="103"/>
        <v>1</v>
      </c>
      <c r="AE421" s="1">
        <f t="shared" si="113"/>
        <v>10</v>
      </c>
      <c r="AF421" s="36">
        <f t="shared" si="114"/>
        <v>2.4999999999999987</v>
      </c>
    </row>
    <row r="422" spans="4:32" ht="14.25" hidden="1" customHeight="1" outlineLevel="1" x14ac:dyDescent="0.2">
      <c r="D422" s="1">
        <v>60</v>
      </c>
      <c r="E422" s="6">
        <f t="shared" si="115"/>
        <v>323.86150400238904</v>
      </c>
      <c r="F422" s="6">
        <f t="shared" si="115"/>
        <v>9434.792142528855</v>
      </c>
      <c r="G422" s="6">
        <f t="shared" si="115"/>
        <v>88.948504257728388</v>
      </c>
      <c r="H422" s="1">
        <v>0.4</v>
      </c>
      <c r="I422" s="1">
        <v>1.5</v>
      </c>
      <c r="J422" s="1">
        <v>1</v>
      </c>
      <c r="M422" s="1">
        <v>60</v>
      </c>
      <c r="N422" s="6">
        <f t="shared" si="108"/>
        <v>32386.150400238908</v>
      </c>
      <c r="O422" s="6">
        <f t="shared" si="105"/>
        <v>606289.99643696088</v>
      </c>
      <c r="P422" s="6">
        <f t="shared" si="106"/>
        <v>13342.275638659257</v>
      </c>
      <c r="Q422" s="1">
        <v>0.4</v>
      </c>
      <c r="R422" s="1">
        <v>1.5</v>
      </c>
      <c r="S422" s="1">
        <v>1</v>
      </c>
      <c r="T422" s="1">
        <v>0.8</v>
      </c>
      <c r="U422" s="1">
        <v>10</v>
      </c>
      <c r="V422" s="5">
        <f t="shared" si="107"/>
        <v>2.4999999999999987</v>
      </c>
      <c r="X422" s="1">
        <v>60</v>
      </c>
      <c r="Y422" s="6">
        <f t="shared" si="109"/>
        <v>6477.2300800477815</v>
      </c>
      <c r="Z422" s="6">
        <f t="shared" si="110"/>
        <v>67365.555159662326</v>
      </c>
      <c r="AA422" s="6">
        <f t="shared" si="111"/>
        <v>13342.275638659257</v>
      </c>
      <c r="AB422" s="1">
        <f t="shared" si="112"/>
        <v>0.4</v>
      </c>
      <c r="AC422" s="1">
        <f t="shared" si="102"/>
        <v>1.5</v>
      </c>
      <c r="AD422" s="1">
        <f t="shared" si="103"/>
        <v>1</v>
      </c>
      <c r="AE422" s="1">
        <f t="shared" si="113"/>
        <v>10</v>
      </c>
      <c r="AF422" s="36">
        <f t="shared" si="114"/>
        <v>2.4999999999999987</v>
      </c>
    </row>
    <row r="423" spans="4:32" ht="14.25" hidden="1" customHeight="1" outlineLevel="1" x14ac:dyDescent="0.2">
      <c r="D423" s="1">
        <v>61</v>
      </c>
      <c r="E423" s="6">
        <f t="shared" si="115"/>
        <v>340.05457920250842</v>
      </c>
      <c r="F423" s="6">
        <f t="shared" si="115"/>
        <v>9906.5317496552962</v>
      </c>
      <c r="G423" s="6">
        <f t="shared" si="115"/>
        <v>93.395929470614789</v>
      </c>
      <c r="H423" s="1">
        <v>0.4</v>
      </c>
      <c r="I423" s="1">
        <v>1.5</v>
      </c>
      <c r="J423" s="1">
        <v>1</v>
      </c>
      <c r="M423" s="1">
        <v>61</v>
      </c>
      <c r="N423" s="6">
        <f t="shared" si="108"/>
        <v>34005.457920250839</v>
      </c>
      <c r="O423" s="6">
        <f t="shared" si="105"/>
        <v>618916.09837183484</v>
      </c>
      <c r="P423" s="6">
        <f t="shared" si="106"/>
        <v>14009.389420592219</v>
      </c>
      <c r="Q423" s="1">
        <v>0.4</v>
      </c>
      <c r="R423" s="1">
        <v>1.5</v>
      </c>
      <c r="S423" s="1">
        <v>1</v>
      </c>
      <c r="T423" s="1">
        <v>0.8</v>
      </c>
      <c r="U423" s="1">
        <v>10</v>
      </c>
      <c r="V423" s="5">
        <f t="shared" si="107"/>
        <v>2.4999999999999996</v>
      </c>
      <c r="X423" s="1">
        <v>61</v>
      </c>
      <c r="Y423" s="6">
        <f t="shared" si="109"/>
        <v>6801.0915840501675</v>
      </c>
      <c r="Z423" s="6">
        <f t="shared" si="110"/>
        <v>68768.455374648314</v>
      </c>
      <c r="AA423" s="6">
        <f t="shared" si="111"/>
        <v>14009.389420592219</v>
      </c>
      <c r="AB423" s="1">
        <f t="shared" si="112"/>
        <v>0.4</v>
      </c>
      <c r="AC423" s="1">
        <f t="shared" si="102"/>
        <v>1.5</v>
      </c>
      <c r="AD423" s="1">
        <f t="shared" si="103"/>
        <v>1</v>
      </c>
      <c r="AE423" s="1">
        <f t="shared" si="113"/>
        <v>10</v>
      </c>
      <c r="AF423" s="36">
        <f t="shared" si="114"/>
        <v>2.4999999999999996</v>
      </c>
    </row>
    <row r="424" spans="4:32" ht="14.25" hidden="1" customHeight="1" outlineLevel="1" x14ac:dyDescent="0.2">
      <c r="D424" s="1">
        <v>62</v>
      </c>
      <c r="E424" s="6">
        <f t="shared" si="115"/>
        <v>357.05730816263394</v>
      </c>
      <c r="F424" s="6">
        <f t="shared" si="115"/>
        <v>10401.858337138063</v>
      </c>
      <c r="G424" s="6">
        <f t="shared" si="115"/>
        <v>98.065725944145555</v>
      </c>
      <c r="H424" s="1">
        <v>0.4</v>
      </c>
      <c r="I424" s="1">
        <v>1.5</v>
      </c>
      <c r="J424" s="1">
        <v>1</v>
      </c>
      <c r="M424" s="1">
        <v>62</v>
      </c>
      <c r="N424" s="6">
        <f t="shared" si="108"/>
        <v>35705.7308162634</v>
      </c>
      <c r="O424" s="6">
        <f t="shared" si="105"/>
        <v>631439.76556650433</v>
      </c>
      <c r="P424" s="6">
        <f t="shared" si="106"/>
        <v>14709.858891621834</v>
      </c>
      <c r="Q424" s="1">
        <v>0.4</v>
      </c>
      <c r="R424" s="1">
        <v>1.5</v>
      </c>
      <c r="S424" s="1">
        <v>1</v>
      </c>
      <c r="T424" s="1">
        <v>0.8</v>
      </c>
      <c r="U424" s="1">
        <v>10</v>
      </c>
      <c r="V424" s="5">
        <f t="shared" si="107"/>
        <v>2.4999999999999991</v>
      </c>
      <c r="X424" s="1">
        <v>62</v>
      </c>
      <c r="Y424" s="6">
        <f t="shared" si="109"/>
        <v>7141.1461632526798</v>
      </c>
      <c r="Z424" s="6">
        <f t="shared" si="110"/>
        <v>70159.973951833817</v>
      </c>
      <c r="AA424" s="6">
        <f t="shared" si="111"/>
        <v>14709.858891621834</v>
      </c>
      <c r="AB424" s="1">
        <f t="shared" si="112"/>
        <v>0.4</v>
      </c>
      <c r="AC424" s="1">
        <f t="shared" si="102"/>
        <v>1.5</v>
      </c>
      <c r="AD424" s="1">
        <f t="shared" si="103"/>
        <v>1</v>
      </c>
      <c r="AE424" s="1">
        <f t="shared" si="113"/>
        <v>10</v>
      </c>
      <c r="AF424" s="36">
        <f t="shared" si="114"/>
        <v>2.4999999999999991</v>
      </c>
    </row>
    <row r="425" spans="4:32" ht="14.25" hidden="1" customHeight="1" outlineLevel="1" x14ac:dyDescent="0.2">
      <c r="D425" s="1">
        <v>63</v>
      </c>
      <c r="E425" s="6">
        <f t="shared" si="115"/>
        <v>374.91017357076549</v>
      </c>
      <c r="F425" s="6">
        <f t="shared" si="115"/>
        <v>10921.951253994961</v>
      </c>
      <c r="G425" s="6">
        <f t="shared" si="115"/>
        <v>102.9690122413528</v>
      </c>
      <c r="H425" s="1">
        <v>0.4</v>
      </c>
      <c r="I425" s="1">
        <v>1.5</v>
      </c>
      <c r="J425" s="1">
        <v>1</v>
      </c>
      <c r="M425" s="1">
        <v>63</v>
      </c>
      <c r="N425" s="6">
        <f t="shared" si="108"/>
        <v>37491.017357076555</v>
      </c>
      <c r="O425" s="6">
        <f t="shared" si="105"/>
        <v>643847.52808500291</v>
      </c>
      <c r="P425" s="6">
        <f t="shared" si="106"/>
        <v>15445.351836202921</v>
      </c>
      <c r="Q425" s="1">
        <v>0.4</v>
      </c>
      <c r="R425" s="1">
        <v>1.5</v>
      </c>
      <c r="S425" s="1">
        <v>1</v>
      </c>
      <c r="T425" s="1">
        <v>0.8</v>
      </c>
      <c r="U425" s="1">
        <v>10</v>
      </c>
      <c r="V425" s="5">
        <f t="shared" si="107"/>
        <v>2.4999999999999991</v>
      </c>
      <c r="X425" s="1">
        <v>63</v>
      </c>
      <c r="Y425" s="6">
        <f t="shared" si="109"/>
        <v>7498.2034714153106</v>
      </c>
      <c r="Z425" s="6">
        <f t="shared" si="110"/>
        <v>71538.614231666987</v>
      </c>
      <c r="AA425" s="6">
        <f t="shared" si="111"/>
        <v>15445.351836202921</v>
      </c>
      <c r="AB425" s="1">
        <f t="shared" si="112"/>
        <v>0.4</v>
      </c>
      <c r="AC425" s="1">
        <f t="shared" si="102"/>
        <v>1.5</v>
      </c>
      <c r="AD425" s="1">
        <f t="shared" si="103"/>
        <v>1</v>
      </c>
      <c r="AE425" s="1">
        <f t="shared" si="113"/>
        <v>10</v>
      </c>
      <c r="AF425" s="36">
        <f t="shared" si="114"/>
        <v>2.4999999999999991</v>
      </c>
    </row>
    <row r="426" spans="4:32" ht="14.25" hidden="1" customHeight="1" outlineLevel="1" x14ac:dyDescent="0.2">
      <c r="D426" s="1">
        <v>64</v>
      </c>
      <c r="E426" s="6">
        <f t="shared" si="115"/>
        <v>393.65568224930394</v>
      </c>
      <c r="F426" s="6">
        <f t="shared" si="115"/>
        <v>11468.048816694714</v>
      </c>
      <c r="G426" s="6">
        <f t="shared" si="115"/>
        <v>108.11746285342048</v>
      </c>
      <c r="H426" s="1">
        <v>0.4</v>
      </c>
      <c r="I426" s="1">
        <v>1.5</v>
      </c>
      <c r="J426" s="1">
        <v>1</v>
      </c>
      <c r="M426" s="1">
        <v>64</v>
      </c>
      <c r="N426" s="6">
        <f t="shared" si="108"/>
        <v>39365.568224930401</v>
      </c>
      <c r="O426" s="6">
        <f t="shared" si="105"/>
        <v>656126.43711892306</v>
      </c>
      <c r="P426" s="6">
        <f t="shared" si="106"/>
        <v>16217.619428013071</v>
      </c>
      <c r="Q426" s="1">
        <v>0.4</v>
      </c>
      <c r="R426" s="1">
        <v>1.5</v>
      </c>
      <c r="S426" s="1">
        <v>1</v>
      </c>
      <c r="T426" s="1">
        <v>0.8</v>
      </c>
      <c r="U426" s="1">
        <v>10</v>
      </c>
      <c r="V426" s="5">
        <f t="shared" si="107"/>
        <v>2.4999999999999991</v>
      </c>
      <c r="X426" s="1">
        <v>64</v>
      </c>
      <c r="Y426" s="6">
        <f t="shared" si="109"/>
        <v>7873.1136449860805</v>
      </c>
      <c r="Z426" s="6">
        <f t="shared" si="110"/>
        <v>72902.937457658118</v>
      </c>
      <c r="AA426" s="6">
        <f t="shared" si="111"/>
        <v>16217.619428013071</v>
      </c>
      <c r="AB426" s="1">
        <f t="shared" si="112"/>
        <v>0.4</v>
      </c>
      <c r="AC426" s="1">
        <f t="shared" si="102"/>
        <v>1.5</v>
      </c>
      <c r="AD426" s="1">
        <f t="shared" si="103"/>
        <v>1</v>
      </c>
      <c r="AE426" s="1">
        <f t="shared" si="113"/>
        <v>10</v>
      </c>
      <c r="AF426" s="36">
        <f t="shared" si="114"/>
        <v>2.4999999999999991</v>
      </c>
    </row>
    <row r="427" spans="4:32" ht="14.25" hidden="1" customHeight="1" outlineLevel="1" x14ac:dyDescent="0.2">
      <c r="D427" s="1">
        <v>65</v>
      </c>
      <c r="E427" s="6">
        <f t="shared" si="115"/>
        <v>413.33846636176912</v>
      </c>
      <c r="F427" s="6">
        <f t="shared" si="115"/>
        <v>12041.45125752945</v>
      </c>
      <c r="G427" s="6">
        <f t="shared" si="115"/>
        <v>113.5233359960915</v>
      </c>
      <c r="H427" s="1">
        <v>0.4</v>
      </c>
      <c r="I427" s="1">
        <v>1.5</v>
      </c>
      <c r="J427" s="1">
        <v>1</v>
      </c>
      <c r="M427" s="1">
        <v>65</v>
      </c>
      <c r="N427" s="6">
        <f t="shared" si="108"/>
        <v>41333.846636176917</v>
      </c>
      <c r="O427" s="6">
        <f t="shared" si="105"/>
        <v>668264.11452283012</v>
      </c>
      <c r="P427" s="6">
        <f t="shared" si="106"/>
        <v>17028.500399413726</v>
      </c>
      <c r="Q427" s="1">
        <v>0.4</v>
      </c>
      <c r="R427" s="1">
        <v>1.5</v>
      </c>
      <c r="S427" s="1">
        <v>1</v>
      </c>
      <c r="T427" s="1">
        <v>0.8</v>
      </c>
      <c r="U427" s="1">
        <v>10</v>
      </c>
      <c r="V427" s="5">
        <f t="shared" si="107"/>
        <v>2.4999999999999996</v>
      </c>
      <c r="X427" s="1">
        <v>65</v>
      </c>
      <c r="Y427" s="6">
        <f t="shared" si="109"/>
        <v>8266.7693272353827</v>
      </c>
      <c r="Z427" s="6">
        <f t="shared" si="110"/>
        <v>74251.568280314459</v>
      </c>
      <c r="AA427" s="6">
        <f t="shared" si="111"/>
        <v>17028.500399413726</v>
      </c>
      <c r="AB427" s="1">
        <f t="shared" si="112"/>
        <v>0.4</v>
      </c>
      <c r="AC427" s="1">
        <f t="shared" ref="AC427:AC462" si="116">R427</f>
        <v>1.5</v>
      </c>
      <c r="AD427" s="1">
        <f t="shared" ref="AD427:AD462" si="117">S427</f>
        <v>1</v>
      </c>
      <c r="AE427" s="1">
        <f t="shared" si="113"/>
        <v>10</v>
      </c>
      <c r="AF427" s="36">
        <f t="shared" si="114"/>
        <v>2.4999999999999996</v>
      </c>
    </row>
    <row r="428" spans="4:32" ht="14.25" hidden="1" customHeight="1" outlineLevel="1" x14ac:dyDescent="0.2">
      <c r="D428" s="1">
        <v>66</v>
      </c>
      <c r="E428" s="6">
        <f t="shared" ref="E428:G462" si="118">E$360*E$361^($D428-1)</f>
        <v>434.00538967985761</v>
      </c>
      <c r="F428" s="6">
        <f t="shared" si="118"/>
        <v>12643.523820405924</v>
      </c>
      <c r="G428" s="6">
        <f t="shared" si="118"/>
        <v>119.19950279589608</v>
      </c>
      <c r="H428" s="1">
        <v>0.4</v>
      </c>
      <c r="I428" s="1">
        <v>1.5</v>
      </c>
      <c r="J428" s="1">
        <v>1</v>
      </c>
      <c r="M428" s="1">
        <v>66</v>
      </c>
      <c r="N428" s="6">
        <f t="shared" si="108"/>
        <v>43400.538967985769</v>
      </c>
      <c r="O428" s="6">
        <f t="shared" ref="O428:O462" si="119">F428*$K$21/(1+P428/$P$22)</f>
        <v>680248.79712994723</v>
      </c>
      <c r="P428" s="6">
        <f t="shared" ref="P428:P462" si="120">G428*$K$21</f>
        <v>17879.925419384414</v>
      </c>
      <c r="Q428" s="1">
        <v>0.4</v>
      </c>
      <c r="R428" s="1">
        <v>1.5</v>
      </c>
      <c r="S428" s="1">
        <v>1</v>
      </c>
      <c r="T428" s="1">
        <v>0.8</v>
      </c>
      <c r="U428" s="1">
        <v>10</v>
      </c>
      <c r="V428" s="5">
        <f t="shared" ref="V428:V462" si="121">E428*$K$21*(1-T428)/(1/U428)/(1+Q428*(R428-1))/N428</f>
        <v>2.4999999999999991</v>
      </c>
      <c r="X428" s="1">
        <v>66</v>
      </c>
      <c r="Y428" s="6">
        <f t="shared" si="109"/>
        <v>8680.1077935971534</v>
      </c>
      <c r="Z428" s="6">
        <f t="shared" si="110"/>
        <v>75583.199681105252</v>
      </c>
      <c r="AA428" s="6">
        <f t="shared" si="111"/>
        <v>17879.925419384414</v>
      </c>
      <c r="AB428" s="1">
        <f t="shared" si="112"/>
        <v>0.4</v>
      </c>
      <c r="AC428" s="1">
        <f t="shared" si="116"/>
        <v>1.5</v>
      </c>
      <c r="AD428" s="1">
        <f t="shared" si="117"/>
        <v>1</v>
      </c>
      <c r="AE428" s="1">
        <f t="shared" si="113"/>
        <v>10</v>
      </c>
      <c r="AF428" s="36">
        <f t="shared" si="114"/>
        <v>2.4999999999999991</v>
      </c>
    </row>
    <row r="429" spans="4:32" ht="14.25" hidden="1" customHeight="1" outlineLevel="1" x14ac:dyDescent="0.2">
      <c r="D429" s="1">
        <v>67</v>
      </c>
      <c r="E429" s="6">
        <f t="shared" si="118"/>
        <v>455.70565916385044</v>
      </c>
      <c r="F429" s="6">
        <f t="shared" si="118"/>
        <v>13275.700011426219</v>
      </c>
      <c r="G429" s="6">
        <f t="shared" si="118"/>
        <v>125.15947793569089</v>
      </c>
      <c r="H429" s="1">
        <v>0.4</v>
      </c>
      <c r="I429" s="1">
        <v>1.5</v>
      </c>
      <c r="J429" s="1">
        <v>1</v>
      </c>
      <c r="M429" s="1">
        <v>67</v>
      </c>
      <c r="N429" s="6">
        <f t="shared" ref="N429:N462" si="122">E429*T429*$K$21/S429/(1+Q429*(R429-1))</f>
        <v>45570.565916385051</v>
      </c>
      <c r="O429" s="6">
        <f t="shared" si="119"/>
        <v>692069.37557681918</v>
      </c>
      <c r="P429" s="6">
        <f t="shared" si="120"/>
        <v>18773.921690353633</v>
      </c>
      <c r="Q429" s="1">
        <v>0.4</v>
      </c>
      <c r="R429" s="1">
        <v>1.5</v>
      </c>
      <c r="S429" s="1">
        <v>1</v>
      </c>
      <c r="T429" s="1">
        <v>0.8</v>
      </c>
      <c r="U429" s="1">
        <v>10</v>
      </c>
      <c r="V429" s="5">
        <f t="shared" si="121"/>
        <v>2.4999999999999987</v>
      </c>
      <c r="X429" s="1">
        <v>67</v>
      </c>
      <c r="Y429" s="6">
        <f t="shared" ref="Y429:Y462" si="123">2*N429/(1+$X$22)</f>
        <v>9114.1131832770097</v>
      </c>
      <c r="Z429" s="6">
        <f t="shared" ref="Z429:Z462" si="124">O429/$X$22</f>
        <v>76896.597286313248</v>
      </c>
      <c r="AA429" s="6">
        <f t="shared" ref="AA429:AA462" si="125">P429</f>
        <v>18773.921690353633</v>
      </c>
      <c r="AB429" s="1">
        <f t="shared" ref="AB429:AB462" si="126">Q429</f>
        <v>0.4</v>
      </c>
      <c r="AC429" s="1">
        <f t="shared" si="116"/>
        <v>1.5</v>
      </c>
      <c r="AD429" s="1">
        <f t="shared" si="117"/>
        <v>1</v>
      </c>
      <c r="AE429" s="1">
        <f t="shared" ref="AE429:AE462" si="127">U429</f>
        <v>10</v>
      </c>
      <c r="AF429" s="36">
        <f t="shared" ref="AF429:AF462" si="128">V429</f>
        <v>2.4999999999999987</v>
      </c>
    </row>
    <row r="430" spans="4:32" ht="14.25" hidden="1" customHeight="1" outlineLevel="1" x14ac:dyDescent="0.2">
      <c r="D430" s="1">
        <v>68</v>
      </c>
      <c r="E430" s="6">
        <f t="shared" si="118"/>
        <v>478.49094212204301</v>
      </c>
      <c r="F430" s="6">
        <f t="shared" si="118"/>
        <v>13939.485011997531</v>
      </c>
      <c r="G430" s="6">
        <f t="shared" si="118"/>
        <v>131.41745183247542</v>
      </c>
      <c r="H430" s="1">
        <v>0.4</v>
      </c>
      <c r="I430" s="1">
        <v>1.5</v>
      </c>
      <c r="J430" s="1">
        <v>1</v>
      </c>
      <c r="M430" s="1">
        <v>68</v>
      </c>
      <c r="N430" s="6">
        <f t="shared" si="122"/>
        <v>47849.094212204312</v>
      </c>
      <c r="O430" s="6">
        <f t="shared" si="119"/>
        <v>703715.42744644126</v>
      </c>
      <c r="P430" s="6">
        <f t="shared" si="120"/>
        <v>19712.617774871313</v>
      </c>
      <c r="Q430" s="1">
        <v>0.4</v>
      </c>
      <c r="R430" s="1">
        <v>1.5</v>
      </c>
      <c r="S430" s="1">
        <v>1</v>
      </c>
      <c r="T430" s="1">
        <v>0.8</v>
      </c>
      <c r="U430" s="1">
        <v>10</v>
      </c>
      <c r="V430" s="5">
        <f t="shared" si="121"/>
        <v>2.4999999999999991</v>
      </c>
      <c r="X430" s="1">
        <v>68</v>
      </c>
      <c r="Y430" s="6">
        <f t="shared" si="123"/>
        <v>9569.8188424408618</v>
      </c>
      <c r="Z430" s="6">
        <f t="shared" si="124"/>
        <v>78190.603049604586</v>
      </c>
      <c r="AA430" s="6">
        <f t="shared" si="125"/>
        <v>19712.617774871313</v>
      </c>
      <c r="AB430" s="1">
        <f t="shared" si="126"/>
        <v>0.4</v>
      </c>
      <c r="AC430" s="1">
        <f t="shared" si="116"/>
        <v>1.5</v>
      </c>
      <c r="AD430" s="1">
        <f t="shared" si="117"/>
        <v>1</v>
      </c>
      <c r="AE430" s="1">
        <f t="shared" si="127"/>
        <v>10</v>
      </c>
      <c r="AF430" s="36">
        <f t="shared" si="128"/>
        <v>2.4999999999999991</v>
      </c>
    </row>
    <row r="431" spans="4:32" ht="14.25" hidden="1" customHeight="1" outlineLevel="1" x14ac:dyDescent="0.2">
      <c r="D431" s="1">
        <v>69</v>
      </c>
      <c r="E431" s="6">
        <f t="shared" si="118"/>
        <v>502.41548922814513</v>
      </c>
      <c r="F431" s="6">
        <f t="shared" si="118"/>
        <v>14636.459262597406</v>
      </c>
      <c r="G431" s="6">
        <f t="shared" si="118"/>
        <v>137.9883244240992</v>
      </c>
      <c r="H431" s="1">
        <v>0.4</v>
      </c>
      <c r="I431" s="1">
        <v>1.5</v>
      </c>
      <c r="J431" s="1">
        <v>1</v>
      </c>
      <c r="M431" s="1">
        <v>69</v>
      </c>
      <c r="N431" s="6">
        <f t="shared" si="122"/>
        <v>50241.548922814516</v>
      </c>
      <c r="O431" s="6">
        <f t="shared" si="119"/>
        <v>715177.24461975298</v>
      </c>
      <c r="P431" s="6">
        <f t="shared" si="120"/>
        <v>20698.248663614882</v>
      </c>
      <c r="Q431" s="1">
        <v>0.4</v>
      </c>
      <c r="R431" s="1">
        <v>1.5</v>
      </c>
      <c r="S431" s="1">
        <v>1</v>
      </c>
      <c r="T431" s="1">
        <v>0.8</v>
      </c>
      <c r="U431" s="1">
        <v>10</v>
      </c>
      <c r="V431" s="5">
        <f t="shared" si="121"/>
        <v>2.4999999999999991</v>
      </c>
      <c r="X431" s="1">
        <v>69</v>
      </c>
      <c r="Y431" s="6">
        <f t="shared" si="123"/>
        <v>10048.309784562904</v>
      </c>
      <c r="Z431" s="6">
        <f t="shared" si="124"/>
        <v>79464.138291083669</v>
      </c>
      <c r="AA431" s="6">
        <f t="shared" si="125"/>
        <v>20698.248663614882</v>
      </c>
      <c r="AB431" s="1">
        <f t="shared" si="126"/>
        <v>0.4</v>
      </c>
      <c r="AC431" s="1">
        <f t="shared" si="116"/>
        <v>1.5</v>
      </c>
      <c r="AD431" s="1">
        <f t="shared" si="117"/>
        <v>1</v>
      </c>
      <c r="AE431" s="1">
        <f t="shared" si="127"/>
        <v>10</v>
      </c>
      <c r="AF431" s="36">
        <f t="shared" si="128"/>
        <v>2.4999999999999991</v>
      </c>
    </row>
    <row r="432" spans="4:32" ht="14.25" hidden="1" customHeight="1" outlineLevel="1" x14ac:dyDescent="0.2">
      <c r="D432" s="1">
        <v>70</v>
      </c>
      <c r="E432" s="6">
        <f t="shared" si="118"/>
        <v>527.53626368955236</v>
      </c>
      <c r="F432" s="6">
        <f t="shared" si="118"/>
        <v>15368.282225727276</v>
      </c>
      <c r="G432" s="6">
        <f t="shared" si="118"/>
        <v>144.88774064530415</v>
      </c>
      <c r="H432" s="1">
        <v>0.4</v>
      </c>
      <c r="I432" s="1">
        <v>1.5</v>
      </c>
      <c r="J432" s="1">
        <v>1</v>
      </c>
      <c r="M432" s="1">
        <v>70</v>
      </c>
      <c r="N432" s="6">
        <f t="shared" si="122"/>
        <v>52753.626368955243</v>
      </c>
      <c r="O432" s="6">
        <f t="shared" si="119"/>
        <v>726445.85480387975</v>
      </c>
      <c r="P432" s="6">
        <f t="shared" si="120"/>
        <v>21733.161096795622</v>
      </c>
      <c r="Q432" s="1">
        <v>0.4</v>
      </c>
      <c r="R432" s="1">
        <v>1.5</v>
      </c>
      <c r="S432" s="1">
        <v>1</v>
      </c>
      <c r="T432" s="1">
        <v>0.8</v>
      </c>
      <c r="U432" s="1">
        <v>10</v>
      </c>
      <c r="V432" s="5">
        <f t="shared" si="121"/>
        <v>2.4999999999999996</v>
      </c>
      <c r="X432" s="1">
        <v>70</v>
      </c>
      <c r="Y432" s="6">
        <f t="shared" si="123"/>
        <v>10550.725273791049</v>
      </c>
      <c r="Z432" s="6">
        <f t="shared" si="124"/>
        <v>80716.206089319967</v>
      </c>
      <c r="AA432" s="6">
        <f t="shared" si="125"/>
        <v>21733.161096795622</v>
      </c>
      <c r="AB432" s="1">
        <f t="shared" si="126"/>
        <v>0.4</v>
      </c>
      <c r="AC432" s="1">
        <f t="shared" si="116"/>
        <v>1.5</v>
      </c>
      <c r="AD432" s="1">
        <f t="shared" si="117"/>
        <v>1</v>
      </c>
      <c r="AE432" s="1">
        <f t="shared" si="127"/>
        <v>10</v>
      </c>
      <c r="AF432" s="36">
        <f t="shared" si="128"/>
        <v>2.4999999999999996</v>
      </c>
    </row>
    <row r="433" spans="4:32" ht="14.25" hidden="1" customHeight="1" outlineLevel="1" x14ac:dyDescent="0.2">
      <c r="D433" s="1">
        <v>71</v>
      </c>
      <c r="E433" s="6">
        <f t="shared" si="118"/>
        <v>553.91307687403003</v>
      </c>
      <c r="F433" s="6">
        <f t="shared" si="118"/>
        <v>16136.69633701364</v>
      </c>
      <c r="G433" s="6">
        <f t="shared" si="118"/>
        <v>152.13212767756937</v>
      </c>
      <c r="H433" s="1">
        <v>0.4</v>
      </c>
      <c r="I433" s="1">
        <v>1.5</v>
      </c>
      <c r="J433" s="1">
        <v>1</v>
      </c>
      <c r="M433" s="1">
        <v>71</v>
      </c>
      <c r="N433" s="6">
        <f t="shared" si="122"/>
        <v>55391.307687403016</v>
      </c>
      <c r="O433" s="6">
        <f t="shared" si="119"/>
        <v>737513.0372805337</v>
      </c>
      <c r="P433" s="6">
        <f t="shared" si="120"/>
        <v>22819.819151635405</v>
      </c>
      <c r="Q433" s="1">
        <v>0.4</v>
      </c>
      <c r="R433" s="1">
        <v>1.5</v>
      </c>
      <c r="S433" s="1">
        <v>1</v>
      </c>
      <c r="T433" s="1">
        <v>0.8</v>
      </c>
      <c r="U433" s="1">
        <v>10</v>
      </c>
      <c r="V433" s="5">
        <f t="shared" si="121"/>
        <v>2.4999999999999987</v>
      </c>
      <c r="X433" s="1">
        <v>71</v>
      </c>
      <c r="Y433" s="6">
        <f t="shared" si="123"/>
        <v>11078.261537480603</v>
      </c>
      <c r="Z433" s="6">
        <f t="shared" si="124"/>
        <v>81945.893031170417</v>
      </c>
      <c r="AA433" s="6">
        <f t="shared" si="125"/>
        <v>22819.819151635405</v>
      </c>
      <c r="AB433" s="1">
        <f t="shared" si="126"/>
        <v>0.4</v>
      </c>
      <c r="AC433" s="1">
        <f t="shared" si="116"/>
        <v>1.5</v>
      </c>
      <c r="AD433" s="1">
        <f t="shared" si="117"/>
        <v>1</v>
      </c>
      <c r="AE433" s="1">
        <f t="shared" si="127"/>
        <v>10</v>
      </c>
      <c r="AF433" s="36">
        <f t="shared" si="128"/>
        <v>2.4999999999999987</v>
      </c>
    </row>
    <row r="434" spans="4:32" ht="14.25" hidden="1" customHeight="1" outlineLevel="1" x14ac:dyDescent="0.2">
      <c r="D434" s="1">
        <v>72</v>
      </c>
      <c r="E434" s="6">
        <f t="shared" si="118"/>
        <v>581.60873071773153</v>
      </c>
      <c r="F434" s="6">
        <f t="shared" si="118"/>
        <v>16943.531153864325</v>
      </c>
      <c r="G434" s="6">
        <f t="shared" si="118"/>
        <v>159.73873406144784</v>
      </c>
      <c r="H434" s="1">
        <v>0.4</v>
      </c>
      <c r="I434" s="1">
        <v>1.5</v>
      </c>
      <c r="J434" s="1">
        <v>1</v>
      </c>
      <c r="M434" s="1">
        <v>72</v>
      </c>
      <c r="N434" s="6">
        <f t="shared" si="122"/>
        <v>58160.87307177316</v>
      </c>
      <c r="O434" s="6">
        <f t="shared" si="119"/>
        <v>748371.33298827335</v>
      </c>
      <c r="P434" s="6">
        <f t="shared" si="120"/>
        <v>23960.810109217178</v>
      </c>
      <c r="Q434" s="1">
        <v>0.4</v>
      </c>
      <c r="R434" s="1">
        <v>1.5</v>
      </c>
      <c r="S434" s="1">
        <v>1</v>
      </c>
      <c r="T434" s="1">
        <v>0.8</v>
      </c>
      <c r="U434" s="1">
        <v>10</v>
      </c>
      <c r="V434" s="5">
        <f t="shared" si="121"/>
        <v>2.4999999999999991</v>
      </c>
      <c r="X434" s="1">
        <v>72</v>
      </c>
      <c r="Y434" s="6">
        <f t="shared" si="123"/>
        <v>11632.174614354632</v>
      </c>
      <c r="Z434" s="6">
        <f t="shared" si="124"/>
        <v>83152.370332030376</v>
      </c>
      <c r="AA434" s="6">
        <f t="shared" si="125"/>
        <v>23960.810109217178</v>
      </c>
      <c r="AB434" s="1">
        <f t="shared" si="126"/>
        <v>0.4</v>
      </c>
      <c r="AC434" s="1">
        <f t="shared" si="116"/>
        <v>1.5</v>
      </c>
      <c r="AD434" s="1">
        <f t="shared" si="117"/>
        <v>1</v>
      </c>
      <c r="AE434" s="1">
        <f t="shared" si="127"/>
        <v>10</v>
      </c>
      <c r="AF434" s="36">
        <f t="shared" si="128"/>
        <v>2.4999999999999991</v>
      </c>
    </row>
    <row r="435" spans="4:32" ht="14.25" hidden="1" customHeight="1" outlineLevel="1" x14ac:dyDescent="0.2">
      <c r="D435" s="1">
        <v>73</v>
      </c>
      <c r="E435" s="6">
        <f t="shared" si="118"/>
        <v>610.68916725361817</v>
      </c>
      <c r="F435" s="6">
        <f t="shared" si="118"/>
        <v>17790.707711557541</v>
      </c>
      <c r="G435" s="6">
        <f t="shared" si="118"/>
        <v>167.72567076452023</v>
      </c>
      <c r="H435" s="1">
        <v>0.4</v>
      </c>
      <c r="I435" s="1">
        <v>1.5</v>
      </c>
      <c r="J435" s="1">
        <v>1</v>
      </c>
      <c r="M435" s="1">
        <v>73</v>
      </c>
      <c r="N435" s="6">
        <f t="shared" si="122"/>
        <v>61068.916725361814</v>
      </c>
      <c r="O435" s="6">
        <f t="shared" si="119"/>
        <v>759014.0491167102</v>
      </c>
      <c r="P435" s="6">
        <f t="shared" si="120"/>
        <v>25158.850614678035</v>
      </c>
      <c r="Q435" s="1">
        <v>0.4</v>
      </c>
      <c r="R435" s="1">
        <v>1.5</v>
      </c>
      <c r="S435" s="1">
        <v>1</v>
      </c>
      <c r="T435" s="1">
        <v>0.8</v>
      </c>
      <c r="U435" s="1">
        <v>10</v>
      </c>
      <c r="V435" s="5">
        <f t="shared" si="121"/>
        <v>2.4999999999999996</v>
      </c>
      <c r="X435" s="1">
        <v>73</v>
      </c>
      <c r="Y435" s="6">
        <f t="shared" si="123"/>
        <v>12213.783345072363</v>
      </c>
      <c r="Z435" s="6">
        <f t="shared" si="124"/>
        <v>84334.894346301138</v>
      </c>
      <c r="AA435" s="6">
        <f t="shared" si="125"/>
        <v>25158.850614678035</v>
      </c>
      <c r="AB435" s="1">
        <f t="shared" si="126"/>
        <v>0.4</v>
      </c>
      <c r="AC435" s="1">
        <f t="shared" si="116"/>
        <v>1.5</v>
      </c>
      <c r="AD435" s="1">
        <f t="shared" si="117"/>
        <v>1</v>
      </c>
      <c r="AE435" s="1">
        <f t="shared" si="127"/>
        <v>10</v>
      </c>
      <c r="AF435" s="36">
        <f t="shared" si="128"/>
        <v>2.4999999999999996</v>
      </c>
    </row>
    <row r="436" spans="4:32" ht="14.25" hidden="1" customHeight="1" outlineLevel="1" x14ac:dyDescent="0.2">
      <c r="D436" s="1">
        <v>74</v>
      </c>
      <c r="E436" s="6">
        <f t="shared" si="118"/>
        <v>641.22362561629893</v>
      </c>
      <c r="F436" s="6">
        <f t="shared" si="118"/>
        <v>18680.243097135415</v>
      </c>
      <c r="G436" s="6">
        <f t="shared" si="118"/>
        <v>176.11195430274623</v>
      </c>
      <c r="H436" s="1">
        <v>0.4</v>
      </c>
      <c r="I436" s="1">
        <v>1.5</v>
      </c>
      <c r="J436" s="1">
        <v>1</v>
      </c>
      <c r="M436" s="1">
        <v>74</v>
      </c>
      <c r="N436" s="6">
        <f t="shared" si="122"/>
        <v>64122.362561629903</v>
      </c>
      <c r="O436" s="6">
        <f t="shared" si="119"/>
        <v>769435.25844843208</v>
      </c>
      <c r="P436" s="6">
        <f t="shared" si="120"/>
        <v>26416.793145411935</v>
      </c>
      <c r="Q436" s="1">
        <v>0.4</v>
      </c>
      <c r="R436" s="1">
        <v>1.5</v>
      </c>
      <c r="S436" s="1">
        <v>1</v>
      </c>
      <c r="T436" s="1">
        <v>0.8</v>
      </c>
      <c r="U436" s="1">
        <v>10</v>
      </c>
      <c r="V436" s="5">
        <f t="shared" si="121"/>
        <v>2.4999999999999991</v>
      </c>
      <c r="X436" s="1">
        <v>74</v>
      </c>
      <c r="Y436" s="6">
        <f t="shared" si="123"/>
        <v>12824.472512325981</v>
      </c>
      <c r="Z436" s="6">
        <f t="shared" si="124"/>
        <v>85492.806494270233</v>
      </c>
      <c r="AA436" s="6">
        <f t="shared" si="125"/>
        <v>26416.793145411935</v>
      </c>
      <c r="AB436" s="1">
        <f t="shared" si="126"/>
        <v>0.4</v>
      </c>
      <c r="AC436" s="1">
        <f t="shared" si="116"/>
        <v>1.5</v>
      </c>
      <c r="AD436" s="1">
        <f t="shared" si="117"/>
        <v>1</v>
      </c>
      <c r="AE436" s="1">
        <f t="shared" si="127"/>
        <v>10</v>
      </c>
      <c r="AF436" s="36">
        <f t="shared" si="128"/>
        <v>2.4999999999999991</v>
      </c>
    </row>
    <row r="437" spans="4:32" ht="14.25" hidden="1" customHeight="1" outlineLevel="1" x14ac:dyDescent="0.2">
      <c r="D437" s="1">
        <v>75</v>
      </c>
      <c r="E437" s="6">
        <f t="shared" si="118"/>
        <v>673.28480689711387</v>
      </c>
      <c r="F437" s="6">
        <f t="shared" si="118"/>
        <v>19614.255251992185</v>
      </c>
      <c r="G437" s="6">
        <f t="shared" si="118"/>
        <v>184.91755201788354</v>
      </c>
      <c r="H437" s="1">
        <v>0.4</v>
      </c>
      <c r="I437" s="1">
        <v>1.5</v>
      </c>
      <c r="J437" s="1">
        <v>1</v>
      </c>
      <c r="M437" s="1">
        <v>75</v>
      </c>
      <c r="N437" s="6">
        <f t="shared" si="122"/>
        <v>67328.480689711389</v>
      </c>
      <c r="O437" s="6">
        <f t="shared" si="119"/>
        <v>779629.79373462161</v>
      </c>
      <c r="P437" s="6">
        <f t="shared" si="120"/>
        <v>27737.632802682532</v>
      </c>
      <c r="Q437" s="1">
        <v>0.4</v>
      </c>
      <c r="R437" s="1">
        <v>1.5</v>
      </c>
      <c r="S437" s="1">
        <v>1</v>
      </c>
      <c r="T437" s="1">
        <v>0.8</v>
      </c>
      <c r="U437" s="1">
        <v>10</v>
      </c>
      <c r="V437" s="5">
        <f t="shared" si="121"/>
        <v>2.4999999999999991</v>
      </c>
      <c r="X437" s="1">
        <v>75</v>
      </c>
      <c r="Y437" s="6">
        <f t="shared" si="123"/>
        <v>13465.696137942277</v>
      </c>
      <c r="Z437" s="6">
        <f t="shared" si="124"/>
        <v>86625.532637180178</v>
      </c>
      <c r="AA437" s="6">
        <f t="shared" si="125"/>
        <v>27737.632802682532</v>
      </c>
      <c r="AB437" s="1">
        <f t="shared" si="126"/>
        <v>0.4</v>
      </c>
      <c r="AC437" s="1">
        <f t="shared" si="116"/>
        <v>1.5</v>
      </c>
      <c r="AD437" s="1">
        <f t="shared" si="117"/>
        <v>1</v>
      </c>
      <c r="AE437" s="1">
        <f t="shared" si="127"/>
        <v>10</v>
      </c>
      <c r="AF437" s="36">
        <f t="shared" si="128"/>
        <v>2.4999999999999991</v>
      </c>
    </row>
    <row r="438" spans="4:32" ht="14.25" hidden="1" customHeight="1" outlineLevel="1" x14ac:dyDescent="0.2">
      <c r="D438" s="1">
        <v>76</v>
      </c>
      <c r="E438" s="6">
        <f t="shared" si="118"/>
        <v>706.94904724196965</v>
      </c>
      <c r="F438" s="6">
        <f t="shared" si="118"/>
        <v>20594.968014591799</v>
      </c>
      <c r="G438" s="6">
        <f t="shared" si="118"/>
        <v>194.16342961877774</v>
      </c>
      <c r="H438" s="1">
        <v>0.4</v>
      </c>
      <c r="I438" s="1">
        <v>1.5</v>
      </c>
      <c r="J438" s="1">
        <v>1</v>
      </c>
      <c r="M438" s="1">
        <v>76</v>
      </c>
      <c r="N438" s="6">
        <f t="shared" si="122"/>
        <v>70694.904724196982</v>
      </c>
      <c r="O438" s="6">
        <f t="shared" si="119"/>
        <v>789593.23743274249</v>
      </c>
      <c r="P438" s="6">
        <f t="shared" si="120"/>
        <v>29124.51444281666</v>
      </c>
      <c r="Q438" s="1">
        <v>0.4</v>
      </c>
      <c r="R438" s="1">
        <v>1.5</v>
      </c>
      <c r="S438" s="1">
        <v>1</v>
      </c>
      <c r="T438" s="1">
        <v>0.8</v>
      </c>
      <c r="U438" s="1">
        <v>10</v>
      </c>
      <c r="V438" s="5">
        <f t="shared" si="121"/>
        <v>2.4999999999999987</v>
      </c>
      <c r="X438" s="1">
        <v>76</v>
      </c>
      <c r="Y438" s="6">
        <f t="shared" si="123"/>
        <v>14138.980944839397</v>
      </c>
      <c r="Z438" s="6">
        <f t="shared" si="124"/>
        <v>87732.581936971386</v>
      </c>
      <c r="AA438" s="6">
        <f t="shared" si="125"/>
        <v>29124.51444281666</v>
      </c>
      <c r="AB438" s="1">
        <f t="shared" si="126"/>
        <v>0.4</v>
      </c>
      <c r="AC438" s="1">
        <f t="shared" si="116"/>
        <v>1.5</v>
      </c>
      <c r="AD438" s="1">
        <f t="shared" si="117"/>
        <v>1</v>
      </c>
      <c r="AE438" s="1">
        <f t="shared" si="127"/>
        <v>10</v>
      </c>
      <c r="AF438" s="36">
        <f t="shared" si="128"/>
        <v>2.4999999999999987</v>
      </c>
    </row>
    <row r="439" spans="4:32" ht="14.25" hidden="1" customHeight="1" outlineLevel="1" x14ac:dyDescent="0.2">
      <c r="D439" s="1">
        <v>77</v>
      </c>
      <c r="E439" s="6">
        <f t="shared" si="118"/>
        <v>742.29649960406812</v>
      </c>
      <c r="F439" s="6">
        <f t="shared" si="118"/>
        <v>21624.716415321385</v>
      </c>
      <c r="G439" s="6">
        <f t="shared" si="118"/>
        <v>203.8716010997166</v>
      </c>
      <c r="H439" s="1">
        <v>0.4</v>
      </c>
      <c r="I439" s="1">
        <v>1.5</v>
      </c>
      <c r="J439" s="1">
        <v>1</v>
      </c>
      <c r="M439" s="1">
        <v>77</v>
      </c>
      <c r="N439" s="6">
        <f t="shared" si="122"/>
        <v>74229.649960406823</v>
      </c>
      <c r="O439" s="6">
        <f t="shared" si="119"/>
        <v>799321.90716896614</v>
      </c>
      <c r="P439" s="6">
        <f t="shared" si="120"/>
        <v>30580.740164957489</v>
      </c>
      <c r="Q439" s="1">
        <v>0.4</v>
      </c>
      <c r="R439" s="1">
        <v>1.5</v>
      </c>
      <c r="S439" s="1">
        <v>1</v>
      </c>
      <c r="T439" s="1">
        <v>0.8</v>
      </c>
      <c r="U439" s="1">
        <v>10</v>
      </c>
      <c r="V439" s="5">
        <f t="shared" si="121"/>
        <v>2.4999999999999991</v>
      </c>
      <c r="X439" s="1">
        <v>77</v>
      </c>
      <c r="Y439" s="6">
        <f t="shared" si="123"/>
        <v>14845.929992081365</v>
      </c>
      <c r="Z439" s="6">
        <f t="shared" si="124"/>
        <v>88813.545240996231</v>
      </c>
      <c r="AA439" s="6">
        <f t="shared" si="125"/>
        <v>30580.740164957489</v>
      </c>
      <c r="AB439" s="1">
        <f t="shared" si="126"/>
        <v>0.4</v>
      </c>
      <c r="AC439" s="1">
        <f t="shared" si="116"/>
        <v>1.5</v>
      </c>
      <c r="AD439" s="1">
        <f t="shared" si="117"/>
        <v>1</v>
      </c>
      <c r="AE439" s="1">
        <f t="shared" si="127"/>
        <v>10</v>
      </c>
      <c r="AF439" s="36">
        <f t="shared" si="128"/>
        <v>2.4999999999999991</v>
      </c>
    </row>
    <row r="440" spans="4:32" ht="14.25" hidden="1" customHeight="1" outlineLevel="1" x14ac:dyDescent="0.2">
      <c r="D440" s="1">
        <v>78</v>
      </c>
      <c r="E440" s="6">
        <f t="shared" si="118"/>
        <v>779.41132458427171</v>
      </c>
      <c r="F440" s="6">
        <f t="shared" si="118"/>
        <v>22705.952236087458</v>
      </c>
      <c r="G440" s="6">
        <f t="shared" si="118"/>
        <v>214.06518115470249</v>
      </c>
      <c r="H440" s="1">
        <v>0.4</v>
      </c>
      <c r="I440" s="1">
        <v>1.5</v>
      </c>
      <c r="J440" s="1">
        <v>1</v>
      </c>
      <c r="M440" s="1">
        <v>78</v>
      </c>
      <c r="N440" s="6">
        <f t="shared" si="122"/>
        <v>77941.132458427179</v>
      </c>
      <c r="O440" s="6">
        <f t="shared" si="119"/>
        <v>808812.83731425274</v>
      </c>
      <c r="P440" s="6">
        <f t="shared" si="120"/>
        <v>32109.777173205373</v>
      </c>
      <c r="Q440" s="1">
        <v>0.4</v>
      </c>
      <c r="R440" s="1">
        <v>1.5</v>
      </c>
      <c r="S440" s="1">
        <v>1</v>
      </c>
      <c r="T440" s="1">
        <v>0.8</v>
      </c>
      <c r="U440" s="1">
        <v>10</v>
      </c>
      <c r="V440" s="5">
        <f t="shared" si="121"/>
        <v>2.4999999999999991</v>
      </c>
      <c r="X440" s="1">
        <v>78</v>
      </c>
      <c r="Y440" s="6">
        <f t="shared" si="123"/>
        <v>15588.226491685436</v>
      </c>
      <c r="Z440" s="6">
        <f t="shared" si="124"/>
        <v>89868.093034916965</v>
      </c>
      <c r="AA440" s="6">
        <f t="shared" si="125"/>
        <v>32109.777173205373</v>
      </c>
      <c r="AB440" s="1">
        <f t="shared" si="126"/>
        <v>0.4</v>
      </c>
      <c r="AC440" s="1">
        <f t="shared" si="116"/>
        <v>1.5</v>
      </c>
      <c r="AD440" s="1">
        <f t="shared" si="117"/>
        <v>1</v>
      </c>
      <c r="AE440" s="1">
        <f t="shared" si="127"/>
        <v>10</v>
      </c>
      <c r="AF440" s="36">
        <f t="shared" si="128"/>
        <v>2.4999999999999991</v>
      </c>
    </row>
    <row r="441" spans="4:32" ht="14.25" hidden="1" customHeight="1" outlineLevel="1" x14ac:dyDescent="0.2">
      <c r="D441" s="1">
        <v>79</v>
      </c>
      <c r="E441" s="6">
        <f t="shared" si="118"/>
        <v>818.38189081348503</v>
      </c>
      <c r="F441" s="6">
        <f t="shared" si="118"/>
        <v>23841.249847891824</v>
      </c>
      <c r="G441" s="6">
        <f t="shared" si="118"/>
        <v>224.76844021243753</v>
      </c>
      <c r="H441" s="1">
        <v>0.4</v>
      </c>
      <c r="I441" s="1">
        <v>1.5</v>
      </c>
      <c r="J441" s="1">
        <v>1</v>
      </c>
      <c r="M441" s="1">
        <v>79</v>
      </c>
      <c r="N441" s="6">
        <f t="shared" si="122"/>
        <v>81838.189081348508</v>
      </c>
      <c r="O441" s="6">
        <f t="shared" si="119"/>
        <v>818063.75708132761</v>
      </c>
      <c r="P441" s="6">
        <f t="shared" si="120"/>
        <v>33715.266031865627</v>
      </c>
      <c r="Q441" s="1">
        <v>0.4</v>
      </c>
      <c r="R441" s="1">
        <v>1.5</v>
      </c>
      <c r="S441" s="1">
        <v>1</v>
      </c>
      <c r="T441" s="1">
        <v>0.8</v>
      </c>
      <c r="U441" s="1">
        <v>10</v>
      </c>
      <c r="V441" s="5">
        <f t="shared" si="121"/>
        <v>2.4999999999999987</v>
      </c>
      <c r="X441" s="1">
        <v>79</v>
      </c>
      <c r="Y441" s="6">
        <f t="shared" si="123"/>
        <v>16367.637816269702</v>
      </c>
      <c r="Z441" s="6">
        <f t="shared" si="124"/>
        <v>90895.973009036403</v>
      </c>
      <c r="AA441" s="6">
        <f t="shared" si="125"/>
        <v>33715.266031865627</v>
      </c>
      <c r="AB441" s="1">
        <f t="shared" si="126"/>
        <v>0.4</v>
      </c>
      <c r="AC441" s="1">
        <f t="shared" si="116"/>
        <v>1.5</v>
      </c>
      <c r="AD441" s="1">
        <f t="shared" si="117"/>
        <v>1</v>
      </c>
      <c r="AE441" s="1">
        <f t="shared" si="127"/>
        <v>10</v>
      </c>
      <c r="AF441" s="36">
        <f t="shared" si="128"/>
        <v>2.4999999999999987</v>
      </c>
    </row>
    <row r="442" spans="4:32" ht="14.25" hidden="1" customHeight="1" outlineLevel="1" x14ac:dyDescent="0.2">
      <c r="D442" s="1">
        <v>80</v>
      </c>
      <c r="E442" s="6">
        <f t="shared" si="118"/>
        <v>859.30098535415948</v>
      </c>
      <c r="F442" s="6">
        <f t="shared" si="118"/>
        <v>25033.312340286426</v>
      </c>
      <c r="G442" s="6">
        <f t="shared" si="118"/>
        <v>236.0068622230595</v>
      </c>
      <c r="H442" s="1">
        <v>0.4</v>
      </c>
      <c r="I442" s="1">
        <v>1.5</v>
      </c>
      <c r="J442" s="1">
        <v>1</v>
      </c>
      <c r="M442" s="1">
        <v>80</v>
      </c>
      <c r="N442" s="6">
        <f t="shared" si="122"/>
        <v>85930.098535415949</v>
      </c>
      <c r="O442" s="6">
        <f t="shared" si="119"/>
        <v>827073.06556057895</v>
      </c>
      <c r="P442" s="6">
        <f t="shared" si="120"/>
        <v>35401.029333458922</v>
      </c>
      <c r="Q442" s="1">
        <v>0.4</v>
      </c>
      <c r="R442" s="1">
        <v>1.5</v>
      </c>
      <c r="S442" s="1">
        <v>1</v>
      </c>
      <c r="T442" s="1">
        <v>0.8</v>
      </c>
      <c r="U442" s="1">
        <v>10</v>
      </c>
      <c r="V442" s="5">
        <f t="shared" si="121"/>
        <v>2.4999999999999991</v>
      </c>
      <c r="X442" s="1">
        <v>80</v>
      </c>
      <c r="Y442" s="6">
        <f t="shared" si="123"/>
        <v>17186.019707083189</v>
      </c>
      <c r="Z442" s="6">
        <f t="shared" si="124"/>
        <v>91897.007284508771</v>
      </c>
      <c r="AA442" s="6">
        <f t="shared" si="125"/>
        <v>35401.029333458922</v>
      </c>
      <c r="AB442" s="1">
        <f t="shared" si="126"/>
        <v>0.4</v>
      </c>
      <c r="AC442" s="1">
        <f t="shared" si="116"/>
        <v>1.5</v>
      </c>
      <c r="AD442" s="1">
        <f t="shared" si="117"/>
        <v>1</v>
      </c>
      <c r="AE442" s="1">
        <f t="shared" si="127"/>
        <v>10</v>
      </c>
      <c r="AF442" s="36">
        <f t="shared" si="128"/>
        <v>2.4999999999999991</v>
      </c>
    </row>
    <row r="443" spans="4:32" ht="14.25" hidden="1" customHeight="1" outlineLevel="1" x14ac:dyDescent="0.2">
      <c r="D443" s="1">
        <v>81</v>
      </c>
      <c r="E443" s="6">
        <f t="shared" si="118"/>
        <v>902.26603462186745</v>
      </c>
      <c r="F443" s="6">
        <f t="shared" si="118"/>
        <v>26284.977957300744</v>
      </c>
      <c r="G443" s="6">
        <f t="shared" si="118"/>
        <v>247.80720533421245</v>
      </c>
      <c r="H443" s="1">
        <v>0.4</v>
      </c>
      <c r="I443" s="1">
        <v>1.5</v>
      </c>
      <c r="J443" s="1">
        <v>1</v>
      </c>
      <c r="M443" s="1">
        <v>81</v>
      </c>
      <c r="N443" s="6">
        <f t="shared" si="122"/>
        <v>90226.603462186744</v>
      </c>
      <c r="O443" s="6">
        <f t="shared" si="119"/>
        <v>835839.8041166123</v>
      </c>
      <c r="P443" s="6">
        <f t="shared" si="120"/>
        <v>37171.080800131866</v>
      </c>
      <c r="Q443" s="1">
        <v>0.4</v>
      </c>
      <c r="R443" s="1">
        <v>1.5</v>
      </c>
      <c r="S443" s="1">
        <v>1</v>
      </c>
      <c r="T443" s="1">
        <v>0.8</v>
      </c>
      <c r="U443" s="1">
        <v>10</v>
      </c>
      <c r="V443" s="5">
        <f t="shared" si="121"/>
        <v>2.4999999999999996</v>
      </c>
      <c r="X443" s="1">
        <v>81</v>
      </c>
      <c r="Y443" s="6">
        <f t="shared" si="123"/>
        <v>18045.320692437348</v>
      </c>
      <c r="Z443" s="6">
        <f t="shared" si="124"/>
        <v>92871.08934629026</v>
      </c>
      <c r="AA443" s="6">
        <f t="shared" si="125"/>
        <v>37171.080800131866</v>
      </c>
      <c r="AB443" s="1">
        <f t="shared" si="126"/>
        <v>0.4</v>
      </c>
      <c r="AC443" s="1">
        <f t="shared" si="116"/>
        <v>1.5</v>
      </c>
      <c r="AD443" s="1">
        <f t="shared" si="117"/>
        <v>1</v>
      </c>
      <c r="AE443" s="1">
        <f t="shared" si="127"/>
        <v>10</v>
      </c>
      <c r="AF443" s="36">
        <f t="shared" si="128"/>
        <v>2.4999999999999996</v>
      </c>
    </row>
    <row r="444" spans="4:32" ht="14.25" hidden="1" customHeight="1" outlineLevel="1" x14ac:dyDescent="0.2">
      <c r="D444" s="1">
        <v>82</v>
      </c>
      <c r="E444" s="6">
        <f t="shared" si="118"/>
        <v>947.37933635296099</v>
      </c>
      <c r="F444" s="6">
        <f t="shared" si="118"/>
        <v>27599.226855165787</v>
      </c>
      <c r="G444" s="6">
        <f t="shared" si="118"/>
        <v>260.1975656009231</v>
      </c>
      <c r="H444" s="1">
        <v>0.4</v>
      </c>
      <c r="I444" s="1">
        <v>1.5</v>
      </c>
      <c r="J444" s="1">
        <v>1</v>
      </c>
      <c r="M444" s="1">
        <v>82</v>
      </c>
      <c r="N444" s="6">
        <f t="shared" si="122"/>
        <v>94737.933635296111</v>
      </c>
      <c r="O444" s="6">
        <f t="shared" si="119"/>
        <v>844363.62656442251</v>
      </c>
      <c r="P444" s="6">
        <f t="shared" si="120"/>
        <v>39029.634840138468</v>
      </c>
      <c r="Q444" s="1">
        <v>0.4</v>
      </c>
      <c r="R444" s="1">
        <v>1.5</v>
      </c>
      <c r="S444" s="1">
        <v>1</v>
      </c>
      <c r="T444" s="1">
        <v>0.8</v>
      </c>
      <c r="U444" s="1">
        <v>10</v>
      </c>
      <c r="V444" s="5">
        <f t="shared" si="121"/>
        <v>2.4999999999999987</v>
      </c>
      <c r="X444" s="1">
        <v>82</v>
      </c>
      <c r="Y444" s="6">
        <f t="shared" si="123"/>
        <v>18947.586727059221</v>
      </c>
      <c r="Z444" s="6">
        <f t="shared" si="124"/>
        <v>93818.180729380285</v>
      </c>
      <c r="AA444" s="6">
        <f t="shared" si="125"/>
        <v>39029.634840138468</v>
      </c>
      <c r="AB444" s="1">
        <f t="shared" si="126"/>
        <v>0.4</v>
      </c>
      <c r="AC444" s="1">
        <f t="shared" si="116"/>
        <v>1.5</v>
      </c>
      <c r="AD444" s="1">
        <f t="shared" si="117"/>
        <v>1</v>
      </c>
      <c r="AE444" s="1">
        <f t="shared" si="127"/>
        <v>10</v>
      </c>
      <c r="AF444" s="36">
        <f t="shared" si="128"/>
        <v>2.4999999999999987</v>
      </c>
    </row>
    <row r="445" spans="4:32" ht="14.25" hidden="1" customHeight="1" outlineLevel="1" x14ac:dyDescent="0.2">
      <c r="D445" s="1">
        <v>83</v>
      </c>
      <c r="E445" s="6">
        <f t="shared" si="118"/>
        <v>994.74830317060901</v>
      </c>
      <c r="F445" s="6">
        <f t="shared" si="118"/>
        <v>28979.188197924075</v>
      </c>
      <c r="G445" s="6">
        <f t="shared" si="118"/>
        <v>273.20744388096927</v>
      </c>
      <c r="H445" s="1">
        <v>0.4</v>
      </c>
      <c r="I445" s="1">
        <v>1.5</v>
      </c>
      <c r="J445" s="1">
        <v>1</v>
      </c>
      <c r="M445" s="1">
        <v>83</v>
      </c>
      <c r="N445" s="6">
        <f t="shared" si="122"/>
        <v>99474.8303170609</v>
      </c>
      <c r="O445" s="6">
        <f t="shared" si="119"/>
        <v>852644.76753554959</v>
      </c>
      <c r="P445" s="6">
        <f t="shared" si="120"/>
        <v>40981.116582145391</v>
      </c>
      <c r="Q445" s="1">
        <v>0.4</v>
      </c>
      <c r="R445" s="1">
        <v>1.5</v>
      </c>
      <c r="S445" s="1">
        <v>1</v>
      </c>
      <c r="T445" s="1">
        <v>0.8</v>
      </c>
      <c r="U445" s="1">
        <v>10</v>
      </c>
      <c r="V445" s="5">
        <f t="shared" si="121"/>
        <v>2.5</v>
      </c>
      <c r="X445" s="1">
        <v>83</v>
      </c>
      <c r="Y445" s="6">
        <f t="shared" si="123"/>
        <v>19894.966063412179</v>
      </c>
      <c r="Z445" s="6">
        <f t="shared" si="124"/>
        <v>94738.307503949953</v>
      </c>
      <c r="AA445" s="6">
        <f t="shared" si="125"/>
        <v>40981.116582145391</v>
      </c>
      <c r="AB445" s="1">
        <f t="shared" si="126"/>
        <v>0.4</v>
      </c>
      <c r="AC445" s="1">
        <f t="shared" si="116"/>
        <v>1.5</v>
      </c>
      <c r="AD445" s="1">
        <f t="shared" si="117"/>
        <v>1</v>
      </c>
      <c r="AE445" s="1">
        <f t="shared" si="127"/>
        <v>10</v>
      </c>
      <c r="AF445" s="36">
        <f t="shared" si="128"/>
        <v>2.5</v>
      </c>
    </row>
    <row r="446" spans="4:32" ht="14.25" hidden="1" customHeight="1" outlineLevel="1" x14ac:dyDescent="0.2">
      <c r="D446" s="1">
        <v>84</v>
      </c>
      <c r="E446" s="6">
        <f t="shared" si="118"/>
        <v>1044.4857183291394</v>
      </c>
      <c r="F446" s="6">
        <f t="shared" si="118"/>
        <v>30428.147607820276</v>
      </c>
      <c r="G446" s="6">
        <f t="shared" si="118"/>
        <v>286.86781607501769</v>
      </c>
      <c r="H446" s="1">
        <v>0.4</v>
      </c>
      <c r="I446" s="1">
        <v>1.5</v>
      </c>
      <c r="J446" s="1">
        <v>1</v>
      </c>
      <c r="M446" s="1">
        <v>84</v>
      </c>
      <c r="N446" s="6">
        <f t="shared" si="122"/>
        <v>104448.57183291396</v>
      </c>
      <c r="O446" s="6">
        <f t="shared" si="119"/>
        <v>860684.0094309299</v>
      </c>
      <c r="P446" s="6">
        <f t="shared" si="120"/>
        <v>43030.17241125265</v>
      </c>
      <c r="Q446" s="1">
        <v>0.4</v>
      </c>
      <c r="R446" s="1">
        <v>1.5</v>
      </c>
      <c r="S446" s="1">
        <v>1</v>
      </c>
      <c r="T446" s="1">
        <v>0.8</v>
      </c>
      <c r="U446" s="1">
        <v>10</v>
      </c>
      <c r="V446" s="5">
        <f t="shared" si="121"/>
        <v>2.4999999999999991</v>
      </c>
      <c r="X446" s="1">
        <v>84</v>
      </c>
      <c r="Y446" s="6">
        <f t="shared" si="123"/>
        <v>20889.714366582793</v>
      </c>
      <c r="Z446" s="6">
        <f t="shared" si="124"/>
        <v>95631.556603436649</v>
      </c>
      <c r="AA446" s="6">
        <f t="shared" si="125"/>
        <v>43030.17241125265</v>
      </c>
      <c r="AB446" s="1">
        <f t="shared" si="126"/>
        <v>0.4</v>
      </c>
      <c r="AC446" s="1">
        <f t="shared" si="116"/>
        <v>1.5</v>
      </c>
      <c r="AD446" s="1">
        <f t="shared" si="117"/>
        <v>1</v>
      </c>
      <c r="AE446" s="1">
        <f t="shared" si="127"/>
        <v>10</v>
      </c>
      <c r="AF446" s="36">
        <f t="shared" si="128"/>
        <v>2.4999999999999991</v>
      </c>
    </row>
    <row r="447" spans="4:32" ht="14.25" hidden="1" customHeight="1" outlineLevel="1" x14ac:dyDescent="0.2">
      <c r="D447" s="1">
        <v>85</v>
      </c>
      <c r="E447" s="6">
        <f t="shared" si="118"/>
        <v>1096.7100042455963</v>
      </c>
      <c r="F447" s="6">
        <f t="shared" si="118"/>
        <v>31949.55498821129</v>
      </c>
      <c r="G447" s="6">
        <f t="shared" si="118"/>
        <v>301.21120687876862</v>
      </c>
      <c r="H447" s="1">
        <v>0.4</v>
      </c>
      <c r="I447" s="1">
        <v>1.5</v>
      </c>
      <c r="J447" s="1">
        <v>1</v>
      </c>
      <c r="M447" s="1">
        <v>85</v>
      </c>
      <c r="N447" s="6">
        <f t="shared" si="122"/>
        <v>109671.00042455964</v>
      </c>
      <c r="O447" s="6">
        <f t="shared" si="119"/>
        <v>868482.64833914547</v>
      </c>
      <c r="P447" s="6">
        <f t="shared" si="120"/>
        <v>45181.681031815293</v>
      </c>
      <c r="Q447" s="1">
        <v>0.4</v>
      </c>
      <c r="R447" s="1">
        <v>1.5</v>
      </c>
      <c r="S447" s="1">
        <v>1</v>
      </c>
      <c r="T447" s="1">
        <v>0.8</v>
      </c>
      <c r="U447" s="1">
        <v>10</v>
      </c>
      <c r="V447" s="5">
        <f t="shared" si="121"/>
        <v>2.4999999999999991</v>
      </c>
      <c r="X447" s="1">
        <v>85</v>
      </c>
      <c r="Y447" s="6">
        <f t="shared" si="123"/>
        <v>21934.200084911929</v>
      </c>
      <c r="Z447" s="6">
        <f t="shared" si="124"/>
        <v>96498.072037682825</v>
      </c>
      <c r="AA447" s="6">
        <f t="shared" si="125"/>
        <v>45181.681031815293</v>
      </c>
      <c r="AB447" s="1">
        <f t="shared" si="126"/>
        <v>0.4</v>
      </c>
      <c r="AC447" s="1">
        <f t="shared" si="116"/>
        <v>1.5</v>
      </c>
      <c r="AD447" s="1">
        <f t="shared" si="117"/>
        <v>1</v>
      </c>
      <c r="AE447" s="1">
        <f t="shared" si="127"/>
        <v>10</v>
      </c>
      <c r="AF447" s="36">
        <f t="shared" si="128"/>
        <v>2.4999999999999991</v>
      </c>
    </row>
    <row r="448" spans="4:32" ht="14.25" hidden="1" customHeight="1" outlineLevel="1" x14ac:dyDescent="0.2">
      <c r="D448" s="1">
        <v>86</v>
      </c>
      <c r="E448" s="6">
        <f t="shared" si="118"/>
        <v>1151.5455044578762</v>
      </c>
      <c r="F448" s="6">
        <f t="shared" si="118"/>
        <v>33547.032737621856</v>
      </c>
      <c r="G448" s="6">
        <f t="shared" si="118"/>
        <v>316.27176722270701</v>
      </c>
      <c r="H448" s="1">
        <v>0.4</v>
      </c>
      <c r="I448" s="1">
        <v>1.5</v>
      </c>
      <c r="J448" s="1">
        <v>1</v>
      </c>
      <c r="M448" s="1">
        <v>86</v>
      </c>
      <c r="N448" s="6">
        <f t="shared" si="122"/>
        <v>115154.55044578761</v>
      </c>
      <c r="O448" s="6">
        <f t="shared" si="119"/>
        <v>876042.45927723171</v>
      </c>
      <c r="P448" s="6">
        <f t="shared" si="120"/>
        <v>47440.765083406055</v>
      </c>
      <c r="Q448" s="1">
        <v>0.4</v>
      </c>
      <c r="R448" s="1">
        <v>1.5</v>
      </c>
      <c r="S448" s="1">
        <v>1</v>
      </c>
      <c r="T448" s="1">
        <v>0.8</v>
      </c>
      <c r="U448" s="1">
        <v>10</v>
      </c>
      <c r="V448" s="5">
        <f t="shared" si="121"/>
        <v>2.4999999999999996</v>
      </c>
      <c r="X448" s="1">
        <v>86</v>
      </c>
      <c r="Y448" s="6">
        <f t="shared" si="123"/>
        <v>23030.910089157522</v>
      </c>
      <c r="Z448" s="6">
        <f t="shared" si="124"/>
        <v>97338.05103080353</v>
      </c>
      <c r="AA448" s="6">
        <f t="shared" si="125"/>
        <v>47440.765083406055</v>
      </c>
      <c r="AB448" s="1">
        <f t="shared" si="126"/>
        <v>0.4</v>
      </c>
      <c r="AC448" s="1">
        <f t="shared" si="116"/>
        <v>1.5</v>
      </c>
      <c r="AD448" s="1">
        <f t="shared" si="117"/>
        <v>1</v>
      </c>
      <c r="AE448" s="1">
        <f t="shared" si="127"/>
        <v>10</v>
      </c>
      <c r="AF448" s="36">
        <f t="shared" si="128"/>
        <v>2.4999999999999996</v>
      </c>
    </row>
    <row r="449" spans="4:32" ht="14.25" hidden="1" customHeight="1" outlineLevel="1" x14ac:dyDescent="0.2">
      <c r="D449" s="1">
        <v>87</v>
      </c>
      <c r="E449" s="6">
        <f t="shared" si="118"/>
        <v>1209.1227796807698</v>
      </c>
      <c r="F449" s="6">
        <f t="shared" si="118"/>
        <v>35224.384374502944</v>
      </c>
      <c r="G449" s="6">
        <f t="shared" si="118"/>
        <v>332.08535558384233</v>
      </c>
      <c r="H449" s="1">
        <v>0.4</v>
      </c>
      <c r="I449" s="1">
        <v>1.5</v>
      </c>
      <c r="J449" s="1">
        <v>1</v>
      </c>
      <c r="M449" s="1">
        <v>87</v>
      </c>
      <c r="N449" s="6">
        <f t="shared" si="122"/>
        <v>120912.27796807699</v>
      </c>
      <c r="O449" s="6">
        <f t="shared" si="119"/>
        <v>883365.66108682565</v>
      </c>
      <c r="P449" s="6">
        <f t="shared" si="120"/>
        <v>49812.803337576348</v>
      </c>
      <c r="Q449" s="1">
        <v>0.4</v>
      </c>
      <c r="R449" s="1">
        <v>1.5</v>
      </c>
      <c r="S449" s="1">
        <v>1</v>
      </c>
      <c r="T449" s="1">
        <v>0.8</v>
      </c>
      <c r="U449" s="1">
        <v>10</v>
      </c>
      <c r="V449" s="5">
        <f t="shared" si="121"/>
        <v>2.4999999999999991</v>
      </c>
      <c r="X449" s="1">
        <v>87</v>
      </c>
      <c r="Y449" s="6">
        <f t="shared" si="123"/>
        <v>24182.455593615399</v>
      </c>
      <c r="Z449" s="6">
        <f t="shared" si="124"/>
        <v>98151.740120758404</v>
      </c>
      <c r="AA449" s="6">
        <f t="shared" si="125"/>
        <v>49812.803337576348</v>
      </c>
      <c r="AB449" s="1">
        <f t="shared" si="126"/>
        <v>0.4</v>
      </c>
      <c r="AC449" s="1">
        <f t="shared" si="116"/>
        <v>1.5</v>
      </c>
      <c r="AD449" s="1">
        <f t="shared" si="117"/>
        <v>1</v>
      </c>
      <c r="AE449" s="1">
        <f t="shared" si="127"/>
        <v>10</v>
      </c>
      <c r="AF449" s="36">
        <f t="shared" si="128"/>
        <v>2.4999999999999991</v>
      </c>
    </row>
    <row r="450" spans="4:32" ht="14.25" hidden="1" customHeight="1" outlineLevel="1" x14ac:dyDescent="0.2">
      <c r="D450" s="1">
        <v>88</v>
      </c>
      <c r="E450" s="6">
        <f t="shared" si="118"/>
        <v>1269.5789186648087</v>
      </c>
      <c r="F450" s="6">
        <f t="shared" si="118"/>
        <v>36985.603593228101</v>
      </c>
      <c r="G450" s="6">
        <f t="shared" si="118"/>
        <v>348.68962336303457</v>
      </c>
      <c r="H450" s="1">
        <v>0.4</v>
      </c>
      <c r="I450" s="1">
        <v>1.5</v>
      </c>
      <c r="J450" s="1">
        <v>1</v>
      </c>
      <c r="M450" s="1">
        <v>88</v>
      </c>
      <c r="N450" s="6">
        <f t="shared" si="122"/>
        <v>126957.89186648089</v>
      </c>
      <c r="O450" s="6">
        <f t="shared" si="119"/>
        <v>890454.88129199483</v>
      </c>
      <c r="P450" s="6">
        <f t="shared" si="120"/>
        <v>52303.443504455186</v>
      </c>
      <c r="Q450" s="1">
        <v>0.4</v>
      </c>
      <c r="R450" s="1">
        <v>1.5</v>
      </c>
      <c r="S450" s="1">
        <v>1</v>
      </c>
      <c r="T450" s="1">
        <v>0.8</v>
      </c>
      <c r="U450" s="1">
        <v>10</v>
      </c>
      <c r="V450" s="5">
        <f t="shared" si="121"/>
        <v>2.4999999999999991</v>
      </c>
      <c r="X450" s="1">
        <v>88</v>
      </c>
      <c r="Y450" s="6">
        <f t="shared" si="123"/>
        <v>25391.578373296179</v>
      </c>
      <c r="Z450" s="6">
        <f t="shared" si="124"/>
        <v>98939.431254666095</v>
      </c>
      <c r="AA450" s="6">
        <f t="shared" si="125"/>
        <v>52303.443504455186</v>
      </c>
      <c r="AB450" s="1">
        <f t="shared" si="126"/>
        <v>0.4</v>
      </c>
      <c r="AC450" s="1">
        <f t="shared" si="116"/>
        <v>1.5</v>
      </c>
      <c r="AD450" s="1">
        <f t="shared" si="117"/>
        <v>1</v>
      </c>
      <c r="AE450" s="1">
        <f t="shared" si="127"/>
        <v>10</v>
      </c>
      <c r="AF450" s="36">
        <f t="shared" si="128"/>
        <v>2.4999999999999991</v>
      </c>
    </row>
    <row r="451" spans="4:32" ht="14.25" hidden="1" customHeight="1" outlineLevel="1" x14ac:dyDescent="0.2">
      <c r="D451" s="1">
        <v>89</v>
      </c>
      <c r="E451" s="6">
        <f t="shared" si="118"/>
        <v>1333.0578645980488</v>
      </c>
      <c r="F451" s="6">
        <f t="shared" si="118"/>
        <v>38834.883772889494</v>
      </c>
      <c r="G451" s="6">
        <f t="shared" si="118"/>
        <v>366.12410453118622</v>
      </c>
      <c r="H451" s="1">
        <v>0.4</v>
      </c>
      <c r="I451" s="1">
        <v>1.5</v>
      </c>
      <c r="J451" s="1">
        <v>1</v>
      </c>
      <c r="M451" s="1">
        <v>89</v>
      </c>
      <c r="N451" s="6">
        <f t="shared" si="122"/>
        <v>133305.78645980492</v>
      </c>
      <c r="O451" s="6">
        <f t="shared" si="119"/>
        <v>897313.1211972147</v>
      </c>
      <c r="P451" s="6">
        <f t="shared" si="120"/>
        <v>54918.615679677932</v>
      </c>
      <c r="Q451" s="1">
        <v>0.4</v>
      </c>
      <c r="R451" s="1">
        <v>1.5</v>
      </c>
      <c r="S451" s="1">
        <v>1</v>
      </c>
      <c r="T451" s="1">
        <v>0.8</v>
      </c>
      <c r="U451" s="1">
        <v>10</v>
      </c>
      <c r="V451" s="5">
        <f t="shared" si="121"/>
        <v>2.4999999999999987</v>
      </c>
      <c r="X451" s="1">
        <v>89</v>
      </c>
      <c r="Y451" s="6">
        <f t="shared" si="123"/>
        <v>26661.157291960983</v>
      </c>
      <c r="Z451" s="6">
        <f t="shared" si="124"/>
        <v>99701.457910801633</v>
      </c>
      <c r="AA451" s="6">
        <f t="shared" si="125"/>
        <v>54918.615679677932</v>
      </c>
      <c r="AB451" s="1">
        <f t="shared" si="126"/>
        <v>0.4</v>
      </c>
      <c r="AC451" s="1">
        <f t="shared" si="116"/>
        <v>1.5</v>
      </c>
      <c r="AD451" s="1">
        <f t="shared" si="117"/>
        <v>1</v>
      </c>
      <c r="AE451" s="1">
        <f t="shared" si="127"/>
        <v>10</v>
      </c>
      <c r="AF451" s="36">
        <f t="shared" si="128"/>
        <v>2.4999999999999987</v>
      </c>
    </row>
    <row r="452" spans="4:32" ht="14.25" hidden="1" customHeight="1" outlineLevel="1" x14ac:dyDescent="0.2">
      <c r="D452" s="1">
        <v>90</v>
      </c>
      <c r="E452" s="6">
        <f t="shared" si="118"/>
        <v>1399.7107578279515</v>
      </c>
      <c r="F452" s="6">
        <f t="shared" si="118"/>
        <v>40776.627961533974</v>
      </c>
      <c r="G452" s="6">
        <f t="shared" si="118"/>
        <v>384.43030975774553</v>
      </c>
      <c r="H452" s="1">
        <v>0.4</v>
      </c>
      <c r="I452" s="1">
        <v>1.5</v>
      </c>
      <c r="J452" s="1">
        <v>1</v>
      </c>
      <c r="M452" s="1">
        <v>90</v>
      </c>
      <c r="N452" s="6">
        <f t="shared" si="122"/>
        <v>139971.07578279517</v>
      </c>
      <c r="O452" s="6">
        <f t="shared" si="119"/>
        <v>903943.72147530213</v>
      </c>
      <c r="P452" s="6">
        <f t="shared" si="120"/>
        <v>57664.546463661827</v>
      </c>
      <c r="Q452" s="1">
        <v>0.4</v>
      </c>
      <c r="R452" s="1">
        <v>1.5</v>
      </c>
      <c r="S452" s="1">
        <v>1</v>
      </c>
      <c r="T452" s="1">
        <v>0.8</v>
      </c>
      <c r="U452" s="1">
        <v>10</v>
      </c>
      <c r="V452" s="5">
        <f t="shared" si="121"/>
        <v>2.4999999999999987</v>
      </c>
      <c r="X452" s="1">
        <v>90</v>
      </c>
      <c r="Y452" s="6">
        <f t="shared" si="123"/>
        <v>27994.215156559036</v>
      </c>
      <c r="Z452" s="6">
        <f t="shared" si="124"/>
        <v>100438.19127503358</v>
      </c>
      <c r="AA452" s="6">
        <f t="shared" si="125"/>
        <v>57664.546463661827</v>
      </c>
      <c r="AB452" s="1">
        <f t="shared" si="126"/>
        <v>0.4</v>
      </c>
      <c r="AC452" s="1">
        <f t="shared" si="116"/>
        <v>1.5</v>
      </c>
      <c r="AD452" s="1">
        <f t="shared" si="117"/>
        <v>1</v>
      </c>
      <c r="AE452" s="1">
        <f t="shared" si="127"/>
        <v>10</v>
      </c>
      <c r="AF452" s="36">
        <f t="shared" si="128"/>
        <v>2.4999999999999987</v>
      </c>
    </row>
    <row r="453" spans="4:32" ht="14.25" hidden="1" customHeight="1" outlineLevel="1" x14ac:dyDescent="0.2">
      <c r="D453" s="1">
        <v>91</v>
      </c>
      <c r="E453" s="6">
        <f t="shared" si="118"/>
        <v>1469.6962957193489</v>
      </c>
      <c r="F453" s="6">
        <f t="shared" si="118"/>
        <v>42815.459359610672</v>
      </c>
      <c r="G453" s="6">
        <f t="shared" si="118"/>
        <v>403.65182524563284</v>
      </c>
      <c r="H453" s="1">
        <v>0.4</v>
      </c>
      <c r="I453" s="1">
        <v>1.5</v>
      </c>
      <c r="J453" s="1">
        <v>1</v>
      </c>
      <c r="M453" s="1">
        <v>91</v>
      </c>
      <c r="N453" s="6">
        <f t="shared" si="122"/>
        <v>146969.6295719349</v>
      </c>
      <c r="O453" s="6">
        <f t="shared" si="119"/>
        <v>910350.32846623624</v>
      </c>
      <c r="P453" s="6">
        <f t="shared" si="120"/>
        <v>60547.773786844926</v>
      </c>
      <c r="Q453" s="1">
        <v>0.4</v>
      </c>
      <c r="R453" s="1">
        <v>1.5</v>
      </c>
      <c r="S453" s="1">
        <v>1</v>
      </c>
      <c r="T453" s="1">
        <v>0.8</v>
      </c>
      <c r="U453" s="1">
        <v>10</v>
      </c>
      <c r="V453" s="5">
        <f t="shared" si="121"/>
        <v>2.4999999999999991</v>
      </c>
      <c r="X453" s="1">
        <v>91</v>
      </c>
      <c r="Y453" s="6">
        <f t="shared" si="123"/>
        <v>29393.925914386979</v>
      </c>
      <c r="Z453" s="6">
        <f t="shared" si="124"/>
        <v>101150.03649624847</v>
      </c>
      <c r="AA453" s="6">
        <f t="shared" si="125"/>
        <v>60547.773786844926</v>
      </c>
      <c r="AB453" s="1">
        <f t="shared" si="126"/>
        <v>0.4</v>
      </c>
      <c r="AC453" s="1">
        <f t="shared" si="116"/>
        <v>1.5</v>
      </c>
      <c r="AD453" s="1">
        <f t="shared" si="117"/>
        <v>1</v>
      </c>
      <c r="AE453" s="1">
        <f t="shared" si="127"/>
        <v>10</v>
      </c>
      <c r="AF453" s="36">
        <f t="shared" si="128"/>
        <v>2.4999999999999991</v>
      </c>
    </row>
    <row r="454" spans="4:32" ht="14.25" hidden="1" customHeight="1" outlineLevel="1" x14ac:dyDescent="0.2">
      <c r="D454" s="1">
        <v>92</v>
      </c>
      <c r="E454" s="6">
        <f t="shared" si="118"/>
        <v>1543.1811105053166</v>
      </c>
      <c r="F454" s="6">
        <f t="shared" si="118"/>
        <v>44956.232327591213</v>
      </c>
      <c r="G454" s="6">
        <f t="shared" si="118"/>
        <v>423.83441650791451</v>
      </c>
      <c r="H454" s="1">
        <v>0.4</v>
      </c>
      <c r="I454" s="1">
        <v>1.5</v>
      </c>
      <c r="J454" s="1">
        <v>1</v>
      </c>
      <c r="M454" s="1">
        <v>92</v>
      </c>
      <c r="N454" s="6">
        <f t="shared" si="122"/>
        <v>154318.1110505317</v>
      </c>
      <c r="O454" s="6">
        <f t="shared" si="119"/>
        <v>916536.86137916648</v>
      </c>
      <c r="P454" s="6">
        <f t="shared" si="120"/>
        <v>63575.162476187179</v>
      </c>
      <c r="Q454" s="1">
        <v>0.4</v>
      </c>
      <c r="R454" s="1">
        <v>1.5</v>
      </c>
      <c r="S454" s="1">
        <v>1</v>
      </c>
      <c r="T454" s="1">
        <v>0.8</v>
      </c>
      <c r="U454" s="1">
        <v>10</v>
      </c>
      <c r="V454" s="5">
        <f t="shared" si="121"/>
        <v>2.4999999999999982</v>
      </c>
      <c r="X454" s="1">
        <v>92</v>
      </c>
      <c r="Y454" s="6">
        <f t="shared" si="123"/>
        <v>30863.622210106339</v>
      </c>
      <c r="Z454" s="6">
        <f t="shared" si="124"/>
        <v>101837.4290421296</v>
      </c>
      <c r="AA454" s="6">
        <f t="shared" si="125"/>
        <v>63575.162476187179</v>
      </c>
      <c r="AB454" s="1">
        <f t="shared" si="126"/>
        <v>0.4</v>
      </c>
      <c r="AC454" s="1">
        <f t="shared" si="116"/>
        <v>1.5</v>
      </c>
      <c r="AD454" s="1">
        <f t="shared" si="117"/>
        <v>1</v>
      </c>
      <c r="AE454" s="1">
        <f t="shared" si="127"/>
        <v>10</v>
      </c>
      <c r="AF454" s="36">
        <f t="shared" si="128"/>
        <v>2.4999999999999982</v>
      </c>
    </row>
    <row r="455" spans="4:32" ht="14.25" hidden="1" customHeight="1" outlineLevel="1" x14ac:dyDescent="0.2">
      <c r="D455" s="1">
        <v>93</v>
      </c>
      <c r="E455" s="6">
        <f t="shared" si="118"/>
        <v>1620.3401660305822</v>
      </c>
      <c r="F455" s="6">
        <f t="shared" si="118"/>
        <v>47204.04394397077</v>
      </c>
      <c r="G455" s="6">
        <f t="shared" si="118"/>
        <v>445.0261373333102</v>
      </c>
      <c r="H455" s="1">
        <v>0.4</v>
      </c>
      <c r="I455" s="1">
        <v>1.5</v>
      </c>
      <c r="J455" s="1">
        <v>1</v>
      </c>
      <c r="M455" s="1">
        <v>93</v>
      </c>
      <c r="N455" s="6">
        <f t="shared" si="122"/>
        <v>162034.01660305823</v>
      </c>
      <c r="O455" s="6">
        <f t="shared" si="119"/>
        <v>922507.48056196817</v>
      </c>
      <c r="P455" s="6">
        <f t="shared" si="120"/>
        <v>66753.920599996534</v>
      </c>
      <c r="Q455" s="1">
        <v>0.4</v>
      </c>
      <c r="R455" s="1">
        <v>1.5</v>
      </c>
      <c r="S455" s="1">
        <v>1</v>
      </c>
      <c r="T455" s="1">
        <v>0.8</v>
      </c>
      <c r="U455" s="1">
        <v>10</v>
      </c>
      <c r="V455" s="5">
        <f t="shared" si="121"/>
        <v>2.4999999999999991</v>
      </c>
      <c r="X455" s="1">
        <v>93</v>
      </c>
      <c r="Y455" s="6">
        <f t="shared" si="123"/>
        <v>32406.803320611645</v>
      </c>
      <c r="Z455" s="6">
        <f t="shared" si="124"/>
        <v>102500.83117355203</v>
      </c>
      <c r="AA455" s="6">
        <f t="shared" si="125"/>
        <v>66753.920599996534</v>
      </c>
      <c r="AB455" s="1">
        <f t="shared" si="126"/>
        <v>0.4</v>
      </c>
      <c r="AC455" s="1">
        <f t="shared" si="116"/>
        <v>1.5</v>
      </c>
      <c r="AD455" s="1">
        <f t="shared" si="117"/>
        <v>1</v>
      </c>
      <c r="AE455" s="1">
        <f t="shared" si="127"/>
        <v>10</v>
      </c>
      <c r="AF455" s="36">
        <f t="shared" si="128"/>
        <v>2.4999999999999991</v>
      </c>
    </row>
    <row r="456" spans="4:32" ht="14.25" hidden="1" customHeight="1" outlineLevel="1" x14ac:dyDescent="0.2">
      <c r="D456" s="1">
        <v>94</v>
      </c>
      <c r="E456" s="6">
        <f t="shared" si="118"/>
        <v>1701.3571743321115</v>
      </c>
      <c r="F456" s="6">
        <f t="shared" si="118"/>
        <v>49564.246141169315</v>
      </c>
      <c r="G456" s="6">
        <f t="shared" si="118"/>
        <v>467.27744419997578</v>
      </c>
      <c r="H456" s="1">
        <v>0.4</v>
      </c>
      <c r="I456" s="1">
        <v>1.5</v>
      </c>
      <c r="J456" s="1">
        <v>1</v>
      </c>
      <c r="M456" s="1">
        <v>94</v>
      </c>
      <c r="N456" s="6">
        <f t="shared" si="122"/>
        <v>170135.71743321119</v>
      </c>
      <c r="O456" s="6">
        <f t="shared" si="119"/>
        <v>928266.55697581894</v>
      </c>
      <c r="P456" s="6">
        <f t="shared" si="120"/>
        <v>70091.616629996366</v>
      </c>
      <c r="Q456" s="1">
        <v>0.4</v>
      </c>
      <c r="R456" s="1">
        <v>1.5</v>
      </c>
      <c r="S456" s="1">
        <v>1</v>
      </c>
      <c r="T456" s="1">
        <v>0.8</v>
      </c>
      <c r="U456" s="1">
        <v>10</v>
      </c>
      <c r="V456" s="5">
        <f t="shared" si="121"/>
        <v>2.4999999999999991</v>
      </c>
      <c r="X456" s="1">
        <v>94</v>
      </c>
      <c r="Y456" s="6">
        <f t="shared" si="123"/>
        <v>34027.143486642235</v>
      </c>
      <c r="Z456" s="6">
        <f t="shared" si="124"/>
        <v>103140.72855286876</v>
      </c>
      <c r="AA456" s="6">
        <f t="shared" si="125"/>
        <v>70091.616629996366</v>
      </c>
      <c r="AB456" s="1">
        <f t="shared" si="126"/>
        <v>0.4</v>
      </c>
      <c r="AC456" s="1">
        <f t="shared" si="116"/>
        <v>1.5</v>
      </c>
      <c r="AD456" s="1">
        <f t="shared" si="117"/>
        <v>1</v>
      </c>
      <c r="AE456" s="1">
        <f t="shared" si="127"/>
        <v>10</v>
      </c>
      <c r="AF456" s="36">
        <f t="shared" si="128"/>
        <v>2.4999999999999991</v>
      </c>
    </row>
    <row r="457" spans="4:32" ht="14.25" hidden="1" customHeight="1" outlineLevel="1" x14ac:dyDescent="0.2">
      <c r="D457" s="1">
        <v>95</v>
      </c>
      <c r="E457" s="6">
        <f t="shared" si="118"/>
        <v>1786.4250330487166</v>
      </c>
      <c r="F457" s="6">
        <f t="shared" si="118"/>
        <v>52042.458448227764</v>
      </c>
      <c r="G457" s="6">
        <f t="shared" si="118"/>
        <v>490.64131640997437</v>
      </c>
      <c r="H457" s="1">
        <v>0.4</v>
      </c>
      <c r="I457" s="1">
        <v>1.5</v>
      </c>
      <c r="J457" s="1">
        <v>1</v>
      </c>
      <c r="M457" s="1">
        <v>95</v>
      </c>
      <c r="N457" s="6">
        <f t="shared" si="122"/>
        <v>178642.50330487167</v>
      </c>
      <c r="O457" s="6">
        <f t="shared" si="119"/>
        <v>933818.64298668911</v>
      </c>
      <c r="P457" s="6">
        <f t="shared" si="120"/>
        <v>73596.197461496151</v>
      </c>
      <c r="Q457" s="1">
        <v>0.4</v>
      </c>
      <c r="R457" s="1">
        <v>1.5</v>
      </c>
      <c r="S457" s="1">
        <v>1</v>
      </c>
      <c r="T457" s="1">
        <v>0.8</v>
      </c>
      <c r="U457" s="1">
        <v>10</v>
      </c>
      <c r="V457" s="5">
        <f t="shared" si="121"/>
        <v>2.4999999999999991</v>
      </c>
      <c r="X457" s="1">
        <v>95</v>
      </c>
      <c r="Y457" s="6">
        <f t="shared" si="123"/>
        <v>35728.500660974336</v>
      </c>
      <c r="Z457" s="6">
        <f t="shared" si="124"/>
        <v>103757.62699852101</v>
      </c>
      <c r="AA457" s="6">
        <f t="shared" si="125"/>
        <v>73596.197461496151</v>
      </c>
      <c r="AB457" s="1">
        <f t="shared" si="126"/>
        <v>0.4</v>
      </c>
      <c r="AC457" s="1">
        <f t="shared" si="116"/>
        <v>1.5</v>
      </c>
      <c r="AD457" s="1">
        <f t="shared" si="117"/>
        <v>1</v>
      </c>
      <c r="AE457" s="1">
        <f t="shared" si="127"/>
        <v>10</v>
      </c>
      <c r="AF457" s="36">
        <f t="shared" si="128"/>
        <v>2.4999999999999991</v>
      </c>
    </row>
    <row r="458" spans="4:32" ht="14.25" hidden="1" customHeight="1" outlineLevel="1" x14ac:dyDescent="0.2">
      <c r="D458" s="1">
        <v>96</v>
      </c>
      <c r="E458" s="6">
        <f t="shared" si="118"/>
        <v>1875.7462847011532</v>
      </c>
      <c r="F458" s="6">
        <f t="shared" si="118"/>
        <v>54644.581370639171</v>
      </c>
      <c r="G458" s="6">
        <f t="shared" si="118"/>
        <v>515.17338223047329</v>
      </c>
      <c r="H458" s="1">
        <v>0.4</v>
      </c>
      <c r="I458" s="1">
        <v>1.5</v>
      </c>
      <c r="J458" s="1">
        <v>1</v>
      </c>
      <c r="M458" s="1">
        <v>96</v>
      </c>
      <c r="N458" s="6">
        <f t="shared" si="122"/>
        <v>187574.62847011533</v>
      </c>
      <c r="O458" s="6">
        <f t="shared" si="119"/>
        <v>939168.44456163363</v>
      </c>
      <c r="P458" s="6">
        <f t="shared" si="120"/>
        <v>77276.007334570997</v>
      </c>
      <c r="Q458" s="1">
        <v>0.4</v>
      </c>
      <c r="R458" s="1">
        <v>1.5</v>
      </c>
      <c r="S458" s="1">
        <v>1</v>
      </c>
      <c r="T458" s="1">
        <v>0.8</v>
      </c>
      <c r="U458" s="1">
        <v>10</v>
      </c>
      <c r="V458" s="5">
        <f t="shared" si="121"/>
        <v>2.4999999999999987</v>
      </c>
      <c r="X458" s="1">
        <v>96</v>
      </c>
      <c r="Y458" s="6">
        <f t="shared" si="123"/>
        <v>37514.92569402307</v>
      </c>
      <c r="Z458" s="6">
        <f t="shared" si="124"/>
        <v>104352.04939573706</v>
      </c>
      <c r="AA458" s="6">
        <f t="shared" si="125"/>
        <v>77276.007334570997</v>
      </c>
      <c r="AB458" s="1">
        <f t="shared" si="126"/>
        <v>0.4</v>
      </c>
      <c r="AC458" s="1">
        <f t="shared" si="116"/>
        <v>1.5</v>
      </c>
      <c r="AD458" s="1">
        <f t="shared" si="117"/>
        <v>1</v>
      </c>
      <c r="AE458" s="1">
        <f t="shared" si="127"/>
        <v>10</v>
      </c>
      <c r="AF458" s="36">
        <f t="shared" si="128"/>
        <v>2.4999999999999987</v>
      </c>
    </row>
    <row r="459" spans="4:32" ht="14.25" hidden="1" customHeight="1" outlineLevel="1" x14ac:dyDescent="0.2">
      <c r="D459" s="1">
        <v>97</v>
      </c>
      <c r="E459" s="6">
        <f t="shared" si="118"/>
        <v>1969.5335989362106</v>
      </c>
      <c r="F459" s="6">
        <f t="shared" si="118"/>
        <v>57376.810439171124</v>
      </c>
      <c r="G459" s="6">
        <f t="shared" si="118"/>
        <v>540.93205134199695</v>
      </c>
      <c r="H459" s="1">
        <v>0.4</v>
      </c>
      <c r="I459" s="1">
        <v>1.5</v>
      </c>
      <c r="J459" s="1">
        <v>1</v>
      </c>
      <c r="M459" s="1">
        <v>97</v>
      </c>
      <c r="N459" s="6">
        <f t="shared" si="122"/>
        <v>196953.35989362106</v>
      </c>
      <c r="O459" s="6">
        <f t="shared" si="119"/>
        <v>944320.79493546591</v>
      </c>
      <c r="P459" s="6">
        <f t="shared" si="120"/>
        <v>81139.807701299549</v>
      </c>
      <c r="Q459" s="1">
        <v>0.4</v>
      </c>
      <c r="R459" s="1">
        <v>1.5</v>
      </c>
      <c r="S459" s="1">
        <v>1</v>
      </c>
      <c r="T459" s="1">
        <v>0.8</v>
      </c>
      <c r="U459" s="1">
        <v>10</v>
      </c>
      <c r="V459" s="5">
        <f t="shared" si="121"/>
        <v>2.4999999999999996</v>
      </c>
      <c r="X459" s="1">
        <v>97</v>
      </c>
      <c r="Y459" s="6">
        <f t="shared" si="123"/>
        <v>39390.671978724211</v>
      </c>
      <c r="Z459" s="6">
        <f t="shared" si="124"/>
        <v>104924.53277060733</v>
      </c>
      <c r="AA459" s="6">
        <f t="shared" si="125"/>
        <v>81139.807701299549</v>
      </c>
      <c r="AB459" s="1">
        <f t="shared" si="126"/>
        <v>0.4</v>
      </c>
      <c r="AC459" s="1">
        <f t="shared" si="116"/>
        <v>1.5</v>
      </c>
      <c r="AD459" s="1">
        <f t="shared" si="117"/>
        <v>1</v>
      </c>
      <c r="AE459" s="1">
        <f t="shared" si="127"/>
        <v>10</v>
      </c>
      <c r="AF459" s="36">
        <f t="shared" si="128"/>
        <v>2.4999999999999996</v>
      </c>
    </row>
    <row r="460" spans="4:32" ht="14.25" hidden="1" customHeight="1" outlineLevel="1" x14ac:dyDescent="0.2">
      <c r="D460" s="1">
        <v>98</v>
      </c>
      <c r="E460" s="6">
        <f t="shared" si="118"/>
        <v>2068.0102788830213</v>
      </c>
      <c r="F460" s="6">
        <f t="shared" si="118"/>
        <v>60245.650961129679</v>
      </c>
      <c r="G460" s="6">
        <f t="shared" si="118"/>
        <v>567.97865390909681</v>
      </c>
      <c r="H460" s="1">
        <v>0.4</v>
      </c>
      <c r="I460" s="1">
        <v>1.5</v>
      </c>
      <c r="J460" s="1">
        <v>1</v>
      </c>
      <c r="M460" s="1">
        <v>98</v>
      </c>
      <c r="N460" s="6">
        <f t="shared" si="122"/>
        <v>206801.02788830217</v>
      </c>
      <c r="O460" s="6">
        <f t="shared" si="119"/>
        <v>949280.62979293009</v>
      </c>
      <c r="P460" s="6">
        <f t="shared" si="120"/>
        <v>85196.798086364521</v>
      </c>
      <c r="Q460" s="1">
        <v>0.4</v>
      </c>
      <c r="R460" s="1">
        <v>1.5</v>
      </c>
      <c r="S460" s="1">
        <v>1</v>
      </c>
      <c r="T460" s="1">
        <v>0.8</v>
      </c>
      <c r="U460" s="1">
        <v>10</v>
      </c>
      <c r="V460" s="5">
        <f t="shared" si="121"/>
        <v>2.4999999999999991</v>
      </c>
      <c r="X460" s="1">
        <v>98</v>
      </c>
      <c r="Y460" s="6">
        <f t="shared" si="123"/>
        <v>41360.205577660432</v>
      </c>
      <c r="Z460" s="6">
        <f t="shared" si="124"/>
        <v>105475.62553254778</v>
      </c>
      <c r="AA460" s="6">
        <f t="shared" si="125"/>
        <v>85196.798086364521</v>
      </c>
      <c r="AB460" s="1">
        <f t="shared" si="126"/>
        <v>0.4</v>
      </c>
      <c r="AC460" s="1">
        <f t="shared" si="116"/>
        <v>1.5</v>
      </c>
      <c r="AD460" s="1">
        <f t="shared" si="117"/>
        <v>1</v>
      </c>
      <c r="AE460" s="1">
        <f t="shared" si="127"/>
        <v>10</v>
      </c>
      <c r="AF460" s="36">
        <f t="shared" si="128"/>
        <v>2.4999999999999991</v>
      </c>
    </row>
    <row r="461" spans="4:32" ht="14.25" hidden="1" customHeight="1" outlineLevel="1" x14ac:dyDescent="0.2">
      <c r="D461" s="1">
        <v>99</v>
      </c>
      <c r="E461" s="6">
        <f t="shared" si="118"/>
        <v>2171.4107928271724</v>
      </c>
      <c r="F461" s="6">
        <f t="shared" si="118"/>
        <v>63257.933509186165</v>
      </c>
      <c r="G461" s="6">
        <f t="shared" si="118"/>
        <v>596.37758660455165</v>
      </c>
      <c r="H461" s="1">
        <v>0.4</v>
      </c>
      <c r="I461" s="1">
        <v>1.5</v>
      </c>
      <c r="J461" s="1">
        <v>1</v>
      </c>
      <c r="M461" s="1">
        <v>99</v>
      </c>
      <c r="N461" s="6">
        <f t="shared" si="122"/>
        <v>217141.07928271723</v>
      </c>
      <c r="O461" s="6">
        <f t="shared" si="119"/>
        <v>954052.96399289521</v>
      </c>
      <c r="P461" s="6">
        <f t="shared" si="120"/>
        <v>89456.63799068275</v>
      </c>
      <c r="Q461" s="1">
        <v>0.4</v>
      </c>
      <c r="R461" s="1">
        <v>1.5</v>
      </c>
      <c r="S461" s="1">
        <v>1</v>
      </c>
      <c r="T461" s="1">
        <v>0.8</v>
      </c>
      <c r="U461" s="1">
        <v>10</v>
      </c>
      <c r="V461" s="5">
        <f t="shared" si="121"/>
        <v>2.4999999999999996</v>
      </c>
      <c r="X461" s="1">
        <v>99</v>
      </c>
      <c r="Y461" s="6">
        <f t="shared" si="123"/>
        <v>43428.215856543444</v>
      </c>
      <c r="Z461" s="6">
        <f t="shared" si="124"/>
        <v>106005.88488809946</v>
      </c>
      <c r="AA461" s="6">
        <f t="shared" si="125"/>
        <v>89456.63799068275</v>
      </c>
      <c r="AB461" s="1">
        <f t="shared" si="126"/>
        <v>0.4</v>
      </c>
      <c r="AC461" s="1">
        <f t="shared" si="116"/>
        <v>1.5</v>
      </c>
      <c r="AD461" s="1">
        <f t="shared" si="117"/>
        <v>1</v>
      </c>
      <c r="AE461" s="1">
        <f t="shared" si="127"/>
        <v>10</v>
      </c>
      <c r="AF461" s="36">
        <f t="shared" si="128"/>
        <v>2.4999999999999996</v>
      </c>
    </row>
    <row r="462" spans="4:32" ht="14.25" hidden="1" customHeight="1" outlineLevel="1" x14ac:dyDescent="0.2">
      <c r="D462" s="1">
        <v>100</v>
      </c>
      <c r="E462" s="6">
        <f t="shared" si="118"/>
        <v>2279.981332468531</v>
      </c>
      <c r="F462" s="6">
        <f t="shared" si="118"/>
        <v>66420.830184645485</v>
      </c>
      <c r="G462" s="6">
        <f t="shared" si="118"/>
        <v>626.19646593477933</v>
      </c>
      <c r="H462" s="1">
        <v>0.4</v>
      </c>
      <c r="I462" s="1">
        <v>1.5</v>
      </c>
      <c r="J462" s="1">
        <v>1</v>
      </c>
      <c r="M462" s="1">
        <v>100</v>
      </c>
      <c r="N462" s="6">
        <f t="shared" si="122"/>
        <v>227998.1332468531</v>
      </c>
      <c r="O462" s="6">
        <f t="shared" si="119"/>
        <v>958642.86984443397</v>
      </c>
      <c r="P462" s="6">
        <f t="shared" si="120"/>
        <v>93929.469890216904</v>
      </c>
      <c r="Q462" s="1">
        <v>0.4</v>
      </c>
      <c r="R462" s="1">
        <v>1.5</v>
      </c>
      <c r="S462" s="1">
        <v>1</v>
      </c>
      <c r="T462" s="1">
        <v>0.8</v>
      </c>
      <c r="U462" s="1">
        <v>10</v>
      </c>
      <c r="V462" s="5">
        <f t="shared" si="121"/>
        <v>2.4999999999999996</v>
      </c>
      <c r="X462" s="1">
        <v>100</v>
      </c>
      <c r="Y462" s="6">
        <f t="shared" si="123"/>
        <v>45599.626649370621</v>
      </c>
      <c r="Z462" s="6">
        <f t="shared" si="124"/>
        <v>106515.87442715933</v>
      </c>
      <c r="AA462" s="6">
        <f t="shared" si="125"/>
        <v>93929.469890216904</v>
      </c>
      <c r="AB462" s="1">
        <f t="shared" si="126"/>
        <v>0.4</v>
      </c>
      <c r="AC462" s="1">
        <f t="shared" si="116"/>
        <v>1.5</v>
      </c>
      <c r="AD462" s="1">
        <f t="shared" si="117"/>
        <v>1</v>
      </c>
      <c r="AE462" s="1">
        <f t="shared" si="127"/>
        <v>10</v>
      </c>
      <c r="AF462" s="36">
        <f t="shared" si="128"/>
        <v>2.4999999999999996</v>
      </c>
    </row>
  </sheetData>
  <mergeCells count="1">
    <mergeCell ref="A1:B2"/>
  </mergeCells>
  <phoneticPr fontId="1" type="noConversion"/>
  <pageMargins left="0.7" right="0.7" top="0.75" bottom="0.75" header="0.3" footer="0.3"/>
  <pageSetup paperSize="9" orientation="portrait" r:id="rId1"/>
  <ignoredErrors>
    <ignoredError sqref="F128:F131 F241:F244 F354:F357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D1925-F17C-465A-A7A8-68F2FCA76537}">
  <sheetPr codeName="Sheet10"/>
  <dimension ref="A1:Y62"/>
  <sheetViews>
    <sheetView workbookViewId="0">
      <pane xSplit="3" ySplit="7" topLeftCell="D32" activePane="bottomRight" state="frozen"/>
      <selection pane="topRight" activeCell="D1" sqref="D1"/>
      <selection pane="bottomLeft" activeCell="A8" sqref="A8"/>
      <selection pane="bottomRight" activeCell="Q38" sqref="Q38"/>
    </sheetView>
  </sheetViews>
  <sheetFormatPr defaultRowHeight="14.25" customHeight="1" x14ac:dyDescent="0.2"/>
  <cols>
    <col min="1" max="16384" width="9" style="1"/>
  </cols>
  <sheetData>
    <row r="1" spans="1:25" ht="14.25" customHeight="1" x14ac:dyDescent="0.2">
      <c r="A1" s="81" t="s">
        <v>233</v>
      </c>
      <c r="B1" s="82"/>
      <c r="D1" s="72" t="s">
        <v>276</v>
      </c>
      <c r="G1" s="1">
        <v>1000</v>
      </c>
      <c r="J1" s="72" t="s">
        <v>277</v>
      </c>
      <c r="L1" s="6"/>
      <c r="M1" s="6"/>
    </row>
    <row r="2" spans="1:25" ht="14.25" customHeight="1" x14ac:dyDescent="0.2">
      <c r="A2" s="83"/>
      <c r="B2" s="84"/>
      <c r="D2" s="5">
        <f>D3/$G$1</f>
        <v>1.0999999999999999E-2</v>
      </c>
      <c r="G2" s="5">
        <f>G3/$G$1</f>
        <v>0.70499999999999996</v>
      </c>
      <c r="J2" s="5">
        <f>J3/$G$1</f>
        <v>1.0999999999999999E-2</v>
      </c>
      <c r="L2" s="6"/>
      <c r="M2" s="6"/>
    </row>
    <row r="3" spans="1:25" ht="14.25" customHeight="1" thickBot="1" x14ac:dyDescent="0.25">
      <c r="C3" s="3" t="s">
        <v>234</v>
      </c>
      <c r="D3" s="46">
        <v>11</v>
      </c>
      <c r="E3" s="46"/>
      <c r="F3" s="46">
        <v>52</v>
      </c>
      <c r="G3" s="1">
        <v>705</v>
      </c>
      <c r="H3" s="46">
        <f>G1-D3-G3-J3</f>
        <v>273</v>
      </c>
      <c r="I3" s="46"/>
      <c r="J3" s="46">
        <v>11</v>
      </c>
      <c r="L3" s="6"/>
      <c r="M3" s="6"/>
    </row>
    <row r="4" spans="1:25" ht="14.25" customHeight="1" x14ac:dyDescent="0.2">
      <c r="C4" s="49"/>
      <c r="D4" s="103" t="s">
        <v>254</v>
      </c>
      <c r="E4" s="104"/>
      <c r="F4" s="105"/>
      <c r="G4" s="50"/>
      <c r="H4" s="103" t="s">
        <v>255</v>
      </c>
      <c r="I4" s="104"/>
      <c r="J4" s="105"/>
      <c r="K4" s="71"/>
      <c r="L4" s="6"/>
      <c r="M4" s="6"/>
      <c r="N4" s="10"/>
    </row>
    <row r="5" spans="1:25" ht="14.25" customHeight="1" x14ac:dyDescent="0.2">
      <c r="C5" s="49"/>
      <c r="D5" s="58">
        <v>7</v>
      </c>
      <c r="E5" s="1">
        <v>4</v>
      </c>
      <c r="F5" s="69">
        <v>1</v>
      </c>
      <c r="G5" s="50"/>
      <c r="H5" s="58">
        <v>1</v>
      </c>
      <c r="I5" s="1">
        <v>4</v>
      </c>
      <c r="J5" s="69">
        <v>7</v>
      </c>
      <c r="K5" s="51"/>
      <c r="L5" s="6"/>
      <c r="M5" s="6"/>
    </row>
    <row r="6" spans="1:25" ht="14.25" customHeight="1" x14ac:dyDescent="0.2">
      <c r="C6" s="49"/>
      <c r="D6" s="58">
        <v>8</v>
      </c>
      <c r="E6" s="1">
        <v>5</v>
      </c>
      <c r="F6" s="69">
        <v>2</v>
      </c>
      <c r="G6" s="50"/>
      <c r="H6" s="58">
        <v>2</v>
      </c>
      <c r="I6" s="1">
        <v>5</v>
      </c>
      <c r="J6" s="69">
        <v>8</v>
      </c>
      <c r="K6" s="71"/>
      <c r="L6" s="6"/>
      <c r="M6" s="6"/>
      <c r="N6" s="10"/>
    </row>
    <row r="7" spans="1:25" ht="14.25" customHeight="1" thickBot="1" x14ac:dyDescent="0.25">
      <c r="C7" s="49"/>
      <c r="D7" s="60">
        <v>9</v>
      </c>
      <c r="E7" s="61">
        <v>6</v>
      </c>
      <c r="F7" s="70">
        <v>3</v>
      </c>
      <c r="G7" s="50"/>
      <c r="H7" s="60">
        <v>3</v>
      </c>
      <c r="I7" s="61">
        <v>6</v>
      </c>
      <c r="J7" s="70">
        <v>9</v>
      </c>
      <c r="K7" s="51"/>
      <c r="L7" s="6"/>
      <c r="M7" s="6"/>
    </row>
    <row r="8" spans="1:25" ht="14.25" customHeight="1" thickBot="1" x14ac:dyDescent="0.25">
      <c r="D8" s="68">
        <v>1</v>
      </c>
      <c r="E8" s="68">
        <v>2</v>
      </c>
      <c r="F8" s="68">
        <v>3</v>
      </c>
      <c r="G8" s="52">
        <v>4</v>
      </c>
      <c r="H8" s="68">
        <v>5</v>
      </c>
      <c r="I8" s="68">
        <v>6</v>
      </c>
      <c r="J8" s="65">
        <v>50</v>
      </c>
      <c r="K8" s="53">
        <v>40</v>
      </c>
      <c r="L8" s="52">
        <v>9</v>
      </c>
      <c r="M8" s="52">
        <v>10</v>
      </c>
      <c r="N8" s="52">
        <v>11</v>
      </c>
      <c r="O8" s="52">
        <v>12</v>
      </c>
      <c r="P8" s="52">
        <v>13</v>
      </c>
      <c r="Q8" s="52">
        <v>14</v>
      </c>
      <c r="R8" s="52">
        <v>15</v>
      </c>
      <c r="S8" s="52">
        <v>16</v>
      </c>
      <c r="T8" s="52">
        <v>17</v>
      </c>
      <c r="U8" s="52">
        <v>18</v>
      </c>
      <c r="V8" s="46" t="s">
        <v>250</v>
      </c>
      <c r="W8" s="46" t="s">
        <v>251</v>
      </c>
      <c r="X8" s="46" t="s">
        <v>252</v>
      </c>
    </row>
    <row r="9" spans="1:25" ht="14.25" customHeight="1" x14ac:dyDescent="0.2">
      <c r="A9" s="4">
        <f>B9/(SUM(M10:M18)*$G$1)</f>
        <v>3.7831470369002231E-2</v>
      </c>
      <c r="B9" s="6">
        <v>17166630.347467158</v>
      </c>
      <c r="C9" s="49">
        <f>ROW(D10)</f>
        <v>10</v>
      </c>
      <c r="D9" s="54" t="s">
        <v>256</v>
      </c>
      <c r="E9" s="55" t="s">
        <v>257</v>
      </c>
      <c r="F9" s="55" t="s">
        <v>235</v>
      </c>
      <c r="G9" s="56" t="s">
        <v>157</v>
      </c>
      <c r="H9" s="55" t="s">
        <v>92</v>
      </c>
      <c r="I9" s="55" t="s">
        <v>93</v>
      </c>
      <c r="J9" s="56" t="s">
        <v>244</v>
      </c>
      <c r="K9" s="56" t="s">
        <v>245</v>
      </c>
      <c r="L9" s="55" t="s">
        <v>34</v>
      </c>
      <c r="M9" s="55" t="s">
        <v>213</v>
      </c>
      <c r="N9" s="55" t="s">
        <v>35</v>
      </c>
      <c r="O9" s="55" t="s">
        <v>146</v>
      </c>
      <c r="P9" s="55" t="s">
        <v>147</v>
      </c>
      <c r="Q9" s="55" t="s">
        <v>148</v>
      </c>
      <c r="R9" s="55" t="s">
        <v>176</v>
      </c>
      <c r="S9" s="55" t="s">
        <v>206</v>
      </c>
      <c r="T9" s="55" t="s">
        <v>274</v>
      </c>
      <c r="U9" s="55" t="s">
        <v>207</v>
      </c>
      <c r="V9" s="55" t="s">
        <v>208</v>
      </c>
      <c r="W9" s="55" t="s">
        <v>210</v>
      </c>
      <c r="X9" s="57" t="s">
        <v>242</v>
      </c>
      <c r="Y9" s="51"/>
    </row>
    <row r="10" spans="1:25" ht="14.25" customHeight="1" x14ac:dyDescent="0.2">
      <c r="C10" s="49">
        <f>COLUMN(D10)</f>
        <v>4</v>
      </c>
      <c r="D10" s="58">
        <f>IFERROR(MOD(F10+3-1,3)+1,"")</f>
        <v>1</v>
      </c>
      <c r="E10" s="1">
        <f>IFERROR(ABS(INT((F10-7)/3))+1,"")</f>
        <v>3</v>
      </c>
      <c r="F10" s="1">
        <f>IF(G10="","",ROW(G10)-$C$9+1)</f>
        <v>1</v>
      </c>
      <c r="G10" s="1" t="s">
        <v>258</v>
      </c>
      <c r="H10" s="1" t="str">
        <f>IFERROR(VLOOKUP($G10,角色设定!$R:$S,2,0),"")</f>
        <v>防御</v>
      </c>
      <c r="I10" s="1" t="str">
        <f>IFERROR(VLOOKUP(H10,角色设定!$D$9:$E$15,2,0),"")</f>
        <v>坦克</v>
      </c>
      <c r="J10" s="1">
        <f>IF($G10="","",J$8)</f>
        <v>50</v>
      </c>
      <c r="K10" s="1">
        <f>IF($G10="","",K$8)</f>
        <v>40</v>
      </c>
      <c r="L10" s="8">
        <f>IFERROR(VLOOKUP($G10,角色设定!$AB$9:$AJ$21,MATCH(角色成长!$E$17,角色设定!$AB$9:$AJ$9,0),0)*VLOOKUP($J10,角色成长!$D$17:$J$117,MATCH(角色成长!$E$17,角色成长!$D$17:$J$17,0),0)*角色成长!$L$15*R10/Q10/(1+O10*(P10-1)),"")</f>
        <v>5119.374904354323</v>
      </c>
      <c r="M10" s="8">
        <f>IFERROR(VLOOKUP($G10,角色设定!$AB$9:$AJ$21,MATCH(角色成长!$F$17,角色设定!$AB$9:$AJ$9,0),0)*VLOOKUP($J10,角色成长!$D$17:$J$117,MATCH(角色成长!$F$17,角色成长!$D$17:$J$17,0),0)*角色成长!$L$15/(1+N10/角色成长!$N$16),"")</f>
        <v>129134.98620806873</v>
      </c>
      <c r="N10" s="8">
        <f>IFERROR(VLOOKUP($G10,角色设定!$AB$9:$AJ$21,MATCH(N$9,角色设定!$AB$9:$AJ$9,0),0)*VLOOKUP($J10,角色成长!$D$17:$J$117,MATCH(N$9,角色成长!$D$17:$J$17,0),0)*角色成长!$L$15,"")</f>
        <v>40954.999234834577</v>
      </c>
      <c r="O10" s="1">
        <f>IFERROR(VLOOKUP($G10,角色设定!$AB$9:$AJ$21,MATCH(O$9,角色设定!$AB$9:$AJ$9,0),0)*VLOOKUP($J10,角色成长!$D$17:$J$117,MATCH(O$9,角色成长!$D$17:$J$17,0),0),"")</f>
        <v>0.4</v>
      </c>
      <c r="P10" s="1">
        <f>IFERROR(VLOOKUP($G10,角色设定!$AB$9:$AJ$21,MATCH(P$9,角色设定!$AB$9:$AJ$9,0),0)*VLOOKUP($J10,角色成长!$D$17:$J$117,MATCH(P$9,角色成长!$D$17:$J$17,0),0),"")</f>
        <v>1.5</v>
      </c>
      <c r="Q10" s="1">
        <f>IFERROR(VLOOKUP($G10,角色设定!$AB$9:$AJ$21,MATCH(Q$9,角色设定!$AB$9:$AJ$9,0),0)*VLOOKUP($J10,角色成长!$D$17:$J$117,MATCH(Q$9,角色成长!$D$17:$J$17,0),0),"")</f>
        <v>0.9</v>
      </c>
      <c r="R10" s="1">
        <f>IFERROR(VLOOKUP($G10,角色设定!$AB$9:$AJ$21,MATCH(R$9,角色设定!$AB$9:$AJ$9,0),0),"")</f>
        <v>0.75</v>
      </c>
      <c r="S10" s="1">
        <f>IFERROR(VLOOKUP($G10,角色技能!$D:$M,MATCH(S$9,角色技能!$D$4:$M$4,0),0),"")</f>
        <v>10</v>
      </c>
      <c r="T10" s="1">
        <f>IFERROR(VLOOKUP($G10,角色技能!$D:$M,MATCH(T$9,角色技能!$D$4:$M$4,0),0),"")</f>
        <v>5</v>
      </c>
      <c r="U10" s="6">
        <f>IFERROR(VLOOKUP($G10,角色技能!$D:$M,MATCH(U$9,角色技能!$D$4:$M$4,0),0)*(1+$K10/100*(VLOOKUP($H10,技能模板!$D$13:$U$19,MATCH(技能模板!R$13,技能模板!$D$13:$U$13,0),0)-1)),"")</f>
        <v>3.7199999999999998</v>
      </c>
      <c r="V10" s="6">
        <f>IFERROR(VLOOKUP($G10,角色技能!$D:$M,MATCH(V$9,角色技能!$D$4:$M$4,0),0)*(1+$K10/100*(VLOOKUP($H10,技能模板!$D$13:$U$19,MATCH(技能模板!S$13,技能模板!$D$13:$U$13,0),0)-1)),"")</f>
        <v>0</v>
      </c>
      <c r="W10" s="6">
        <f>IFERROR(VLOOKUP($G10,角色技能!$D:$M,MATCH(W$9,角色技能!$D$4:$M$4,0),0)*(1+$K10/100*(VLOOKUP($H10,技能模板!$D$13:$U$19,MATCH(技能模板!T$13,技能模板!$D$13:$U$13,0),0)-1)),"")</f>
        <v>0.97587692307692286</v>
      </c>
      <c r="X10" s="59">
        <f>IFERROR(VLOOKUP($G10,角色技能!$D:$M,MATCH(X$9,角色技能!$D$4:$M$4,0),0)*(1+$K10/100*(VLOOKUP($H10,技能模板!$D$13:$U$19,MATCH(技能模板!U$13,技能模板!$D$13:$U$13,0),0)-1)),"")</f>
        <v>0</v>
      </c>
      <c r="Y10" s="51"/>
    </row>
    <row r="11" spans="1:25" ht="14.25" customHeight="1" x14ac:dyDescent="0.2">
      <c r="C11" s="49">
        <f>ROW(X18)</f>
        <v>18</v>
      </c>
      <c r="D11" s="58" t="str">
        <f t="shared" ref="D11:D18" si="0">IFERROR(MOD(F11+3-1,3)+1,"")</f>
        <v/>
      </c>
      <c r="E11" s="1" t="str">
        <f t="shared" ref="E11:E18" si="1">IFERROR(ABS(INT((F11-7)/3))+1,"")</f>
        <v/>
      </c>
      <c r="F11" s="1" t="str">
        <f t="shared" ref="F11:F18" si="2">IF(G11="","",ROW(G11)-$C$9+1)</f>
        <v/>
      </c>
      <c r="H11" s="1" t="str">
        <f>IFERROR(VLOOKUP($G11,角色设定!$R:$S,2,0),"")</f>
        <v/>
      </c>
      <c r="I11" s="1" t="str">
        <f>IFERROR(VLOOKUP(H11,角色设定!$D$9:$E$15,2,0),"")</f>
        <v/>
      </c>
      <c r="J11" s="1" t="str">
        <f t="shared" ref="J11:K18" si="3">IF($G11="","",J$8)</f>
        <v/>
      </c>
      <c r="K11" s="1" t="str">
        <f t="shared" si="3"/>
        <v/>
      </c>
      <c r="L11" s="8" t="str">
        <f>IFERROR(VLOOKUP($G11,角色设定!$AB$9:$AJ$21,MATCH(角色成长!$E$17,角色设定!$AB$9:$AJ$9,0),0)*VLOOKUP($J11,角色成长!$D$17:$J$117,MATCH(角色成长!$E$17,角色成长!$D$17:$J$17,0),0)*角色成长!$L$15*R11/Q11/(1+O11*(P11-1)),"")</f>
        <v/>
      </c>
      <c r="M11" s="8" t="str">
        <f>IFERROR(VLOOKUP($G11,角色设定!$AB$9:$AJ$21,MATCH(角色成长!$F$17,角色设定!$AB$9:$AJ$9,0),0)*VLOOKUP($J11,角色成长!$D$17:$J$117,MATCH(角色成长!$F$17,角色成长!$D$17:$J$17,0),0)*角色成长!$L$15/(1+N11/角色成长!$N$16),"")</f>
        <v/>
      </c>
      <c r="N11" s="8" t="str">
        <f>IFERROR(VLOOKUP($G11,角色设定!$AB$9:$AJ$21,MATCH(N$9,角色设定!$AB$9:$AJ$9,0),0)*VLOOKUP($J11,角色成长!$D$17:$J$117,MATCH(N$9,角色成长!$D$17:$J$17,0),0)*角色成长!$L$15,"")</f>
        <v/>
      </c>
      <c r="O11" s="1" t="str">
        <f>IFERROR(VLOOKUP($G11,角色设定!$AB$9:$AJ$21,MATCH(O$9,角色设定!$AB$9:$AJ$9,0),0)*VLOOKUP($J11,角色成长!$D$17:$J$117,MATCH(O$9,角色成长!$D$17:$J$17,0),0),"")</f>
        <v/>
      </c>
      <c r="P11" s="1" t="str">
        <f>IFERROR(VLOOKUP($G11,角色设定!$AB$9:$AJ$21,MATCH(P$9,角色设定!$AB$9:$AJ$9,0),0)*VLOOKUP($J11,角色成长!$D$17:$J$117,MATCH(P$9,角色成长!$D$17:$J$17,0),0),"")</f>
        <v/>
      </c>
      <c r="Q11" s="1" t="str">
        <f>IFERROR(VLOOKUP($G11,角色设定!$AB$9:$AJ$21,MATCH(Q$9,角色设定!$AB$9:$AJ$9,0),0)*VLOOKUP($J11,角色成长!$D$17:$J$117,MATCH(Q$9,角色成长!$D$17:$J$17,0),0),"")</f>
        <v/>
      </c>
      <c r="R11" s="1" t="str">
        <f>IFERROR(VLOOKUP($G11,角色设定!$AB$9:$AJ$21,MATCH(R$9,角色设定!$AB$9:$AJ$9,0),0),"")</f>
        <v/>
      </c>
      <c r="S11" s="1" t="str">
        <f>IFERROR(VLOOKUP($G11,角色技能!$D:$M,MATCH(S$9,角色技能!$D$4:$M$4,0),0),"")</f>
        <v/>
      </c>
      <c r="T11" s="1" t="str">
        <f>IFERROR(VLOOKUP($G11,角色技能!$D:$M,MATCH(T$9,角色技能!$D$4:$M$4,0),0),"")</f>
        <v/>
      </c>
      <c r="U11" s="6" t="str">
        <f>IFERROR(VLOOKUP($G11,角色技能!$D:$M,MATCH(U$9,角色技能!$D$4:$M$4,0),0)*(1+$K11/100*(VLOOKUP($H11,技能模板!$D$13:$U$19,MATCH(技能模板!R$13,技能模板!$D$13:$U$13,0),0)-1)),"")</f>
        <v/>
      </c>
      <c r="V11" s="6" t="str">
        <f>IFERROR(VLOOKUP($G11,角色技能!$D:$M,MATCH(V$9,角色技能!$D$4:$M$4,0),0)*(1+$K11/100*(VLOOKUP($H11,技能模板!$D$13:$U$19,MATCH(技能模板!S$13,技能模板!$D$13:$U$13,0),0)-1)),"")</f>
        <v/>
      </c>
      <c r="W11" s="6" t="str">
        <f>IFERROR(VLOOKUP($G11,角色技能!$D:$M,MATCH(W$9,角色技能!$D$4:$M$4,0),0)*(1+$K11/100*(VLOOKUP($H11,技能模板!$D$13:$U$19,MATCH(技能模板!T$13,技能模板!$D$13:$U$13,0),0)-1)),"")</f>
        <v/>
      </c>
      <c r="X11" s="59" t="str">
        <f>IFERROR(VLOOKUP($G11,角色技能!$D:$M,MATCH(X$9,角色技能!$D$4:$M$4,0),0)*(1+$K11/100*(VLOOKUP($H11,技能模板!$D$13:$U$19,MATCH(技能模板!U$13,技能模板!$D$13:$U$13,0),0)-1)),"")</f>
        <v/>
      </c>
      <c r="Y11" s="51"/>
    </row>
    <row r="12" spans="1:25" ht="14.25" customHeight="1" x14ac:dyDescent="0.2">
      <c r="C12" s="49">
        <f>COLUMN(X18)</f>
        <v>24</v>
      </c>
      <c r="D12" s="58">
        <f t="shared" si="0"/>
        <v>3</v>
      </c>
      <c r="E12" s="1">
        <f t="shared" si="1"/>
        <v>3</v>
      </c>
      <c r="F12" s="1">
        <f t="shared" si="2"/>
        <v>3</v>
      </c>
      <c r="G12" s="1" t="s">
        <v>270</v>
      </c>
      <c r="H12" s="1" t="str">
        <f>IFERROR(VLOOKUP($G12,角色设定!$R:$S,2,0),"")</f>
        <v>防御</v>
      </c>
      <c r="I12" s="1" t="str">
        <f>IFERROR(VLOOKUP(H12,角色设定!$D$9:$E$15,2,0),"")</f>
        <v>坦克</v>
      </c>
      <c r="J12" s="1">
        <f t="shared" si="3"/>
        <v>50</v>
      </c>
      <c r="K12" s="1">
        <f t="shared" si="3"/>
        <v>40</v>
      </c>
      <c r="L12" s="8">
        <f>IFERROR(VLOOKUP($G12,角色设定!$AB$9:$AJ$21,MATCH(角色成长!$E$17,角色设定!$AB$9:$AJ$9,0),0)*VLOOKUP($J12,角色成长!$D$17:$J$117,MATCH(角色成长!$E$17,角色成长!$D$17:$J$17,0),0)*角色成长!$L$15*R12/Q12/(1+O12*(P12-1)),"")</f>
        <v>5688.1943381714718</v>
      </c>
      <c r="M12" s="8">
        <f>IFERROR(VLOOKUP($G12,角色设定!$AB$9:$AJ$21,MATCH(角色成长!$F$17,角色设定!$AB$9:$AJ$9,0),0)*VLOOKUP($J12,角色成长!$D$17:$J$117,MATCH(角色成长!$F$17,角色成长!$D$17:$J$17,0),0)*角色成长!$L$15/(1+N12/角色成长!$N$16),"")</f>
        <v>123391.88160545025</v>
      </c>
      <c r="N12" s="8">
        <f>IFERROR(VLOOKUP($G12,角色设定!$AB$9:$AJ$21,MATCH(N$9,角色设定!$AB$9:$AJ$9,0),0)*VLOOKUP($J12,角色成长!$D$17:$J$117,MATCH(N$9,角色成长!$D$17:$J$17,0),0)*角色成长!$L$15,"")</f>
        <v>32763.999387867669</v>
      </c>
      <c r="O12" s="1">
        <f>IFERROR(VLOOKUP($G12,角色设定!$AB$9:$AJ$21,MATCH(O$9,角色设定!$AB$9:$AJ$9,0),0)*VLOOKUP($J12,角色成长!$D$17:$J$117,MATCH(O$9,角色成长!$D$17:$J$17,0),0),"")</f>
        <v>0.4</v>
      </c>
      <c r="P12" s="1">
        <f>IFERROR(VLOOKUP($G12,角色设定!$AB$9:$AJ$21,MATCH(P$9,角色设定!$AB$9:$AJ$9,0),0)*VLOOKUP($J12,角色成长!$D$17:$J$117,MATCH(P$9,角色成长!$D$17:$J$17,0),0),"")</f>
        <v>1.5</v>
      </c>
      <c r="Q12" s="1">
        <f>IFERROR(VLOOKUP($G12,角色设定!$AB$9:$AJ$21,MATCH(Q$9,角色设定!$AB$9:$AJ$9,0),0)*VLOOKUP($J12,角色成长!$D$17:$J$117,MATCH(Q$9,角色成长!$D$17:$J$17,0),0),"")</f>
        <v>0.9</v>
      </c>
      <c r="R12" s="1">
        <f>IFERROR(VLOOKUP($G12,角色设定!$AB$9:$AJ$21,MATCH(R$9,角色设定!$AB$9:$AJ$9,0),0),"")</f>
        <v>0.75</v>
      </c>
      <c r="S12" s="1">
        <f>IFERROR(VLOOKUP($G12,角色技能!$D:$M,MATCH(S$9,角色技能!$D$4:$M$4,0),0),"")</f>
        <v>10</v>
      </c>
      <c r="T12" s="1">
        <f>IFERROR(VLOOKUP($G12,角色技能!$D:$M,MATCH(T$9,角色技能!$D$4:$M$4,0),0),"")</f>
        <v>5</v>
      </c>
      <c r="U12" s="6">
        <f>IFERROR(VLOOKUP($G12,角色技能!$D:$M,MATCH(U$9,角色技能!$D$4:$M$4,0),0)*(1+$K12/100*(VLOOKUP($H12,技能模板!$D$13:$U$19,MATCH(技能模板!R$13,技能模板!$D$13:$U$13,0),0)-1)),"")</f>
        <v>3.7199999999999998</v>
      </c>
      <c r="V12" s="6">
        <f>IFERROR(VLOOKUP($G12,角色技能!$D:$M,MATCH(V$9,角色技能!$D$4:$M$4,0),0)*(1+$K12/100*(VLOOKUP($H12,技能模板!$D$13:$U$19,MATCH(技能模板!S$13,技能模板!$D$13:$U$13,0),0)-1)),"")</f>
        <v>0</v>
      </c>
      <c r="W12" s="6">
        <f>IFERROR(VLOOKUP($G12,角色技能!$D:$M,MATCH(W$9,角色技能!$D$4:$M$4,0),0)*(1+$K12/100*(VLOOKUP($H12,技能模板!$D$13:$U$19,MATCH(技能模板!T$13,技能模板!$D$13:$U$13,0),0)-1)),"")</f>
        <v>0.97587692307692286</v>
      </c>
      <c r="X12" s="59">
        <f>IFERROR(VLOOKUP($G12,角色技能!$D:$M,MATCH(X$9,角色技能!$D$4:$M$4,0),0)*(1+$K12/100*(VLOOKUP($H12,技能模板!$D$13:$U$19,MATCH(技能模板!U$13,技能模板!$D$13:$U$13,0),0)-1)),"")</f>
        <v>0</v>
      </c>
      <c r="Y12" s="51"/>
    </row>
    <row r="13" spans="1:25" ht="14.25" customHeight="1" x14ac:dyDescent="0.2">
      <c r="C13" s="49"/>
      <c r="D13" s="58">
        <f t="shared" si="0"/>
        <v>1</v>
      </c>
      <c r="E13" s="1">
        <f t="shared" si="1"/>
        <v>2</v>
      </c>
      <c r="F13" s="1">
        <f t="shared" si="2"/>
        <v>4</v>
      </c>
      <c r="G13" s="1" t="s">
        <v>271</v>
      </c>
      <c r="H13" s="1" t="str">
        <f>IFERROR(VLOOKUP($G13,角色设定!$R:$S,2,0),"")</f>
        <v>魔法</v>
      </c>
      <c r="I13" s="1" t="str">
        <f>IFERROR(VLOOKUP(H13,角色设定!$D$9:$E$15,2,0),"")</f>
        <v>输出</v>
      </c>
      <c r="J13" s="1">
        <f t="shared" si="3"/>
        <v>50</v>
      </c>
      <c r="K13" s="1">
        <f t="shared" si="3"/>
        <v>40</v>
      </c>
      <c r="L13" s="8">
        <f>IFERROR(VLOOKUP($G13,角色设定!$AB$9:$AJ$21,MATCH(角色成长!$E$17,角色设定!$AB$9:$AJ$9,0),0)*VLOOKUP($J13,角色成长!$D$17:$J$117,MATCH(角色成长!$E$17,角色成长!$D$17:$J$17,0),0)*角色成长!$L$15*R13/Q13/(1+O13*(P13-1)),"")</f>
        <v>11467.399785753685</v>
      </c>
      <c r="M13" s="8">
        <f>IFERROR(VLOOKUP($G13,角色设定!$AB$9:$AJ$21,MATCH(角色成长!$F$17,角色设定!$AB$9:$AJ$9,0),0)*VLOOKUP($J13,角色成长!$D$17:$J$117,MATCH(角色成长!$F$17,角色成长!$D$17:$J$17,0),0)*角色成长!$L$15/(1+N13/角色成长!$N$16),"")</f>
        <v>57682.818321234205</v>
      </c>
      <c r="N13" s="8">
        <f>IFERROR(VLOOKUP($G13,角色设定!$AB$9:$AJ$21,MATCH(N$9,角色设定!$AB$9:$AJ$9,0),0)*VLOOKUP($J13,角色成长!$D$17:$J$117,MATCH(N$9,角色成长!$D$17:$J$17,0),0)*角色成长!$L$15,"")</f>
        <v>8190.9998469669172</v>
      </c>
      <c r="O13" s="1">
        <f>IFERROR(VLOOKUP($G13,角色设定!$AB$9:$AJ$21,MATCH(O$9,角色设定!$AB$9:$AJ$9,0),0)*VLOOKUP($J13,角色成长!$D$17:$J$117,MATCH(O$9,角色成长!$D$17:$J$17,0),0),"")</f>
        <v>0.4</v>
      </c>
      <c r="P13" s="1">
        <f>IFERROR(VLOOKUP($G13,角色设定!$AB$9:$AJ$21,MATCH(P$9,角色设定!$AB$9:$AJ$9,0),0)*VLOOKUP($J13,角色成长!$D$17:$J$117,MATCH(P$9,角色成长!$D$17:$J$17,0),0),"")</f>
        <v>1.5</v>
      </c>
      <c r="Q13" s="1">
        <f>IFERROR(VLOOKUP($G13,角色设定!$AB$9:$AJ$21,MATCH(Q$9,角色设定!$AB$9:$AJ$9,0),0)*VLOOKUP($J13,角色成长!$D$17:$J$117,MATCH(Q$9,角色成长!$D$17:$J$17,0),0),"")</f>
        <v>1</v>
      </c>
      <c r="R13" s="1">
        <f>IFERROR(VLOOKUP($G13,角色设定!$AB$9:$AJ$21,MATCH(R$9,角色设定!$AB$9:$AJ$9,0),0),"")</f>
        <v>0.8</v>
      </c>
      <c r="S13" s="1">
        <f>IFERROR(VLOOKUP($G13,角色技能!$D:$M,MATCH(S$9,角色技能!$D$4:$M$4,0),0),"")</f>
        <v>20</v>
      </c>
      <c r="T13" s="1">
        <f>IFERROR(VLOOKUP($G13,角色技能!$D:$M,MATCH(T$9,角色技能!$D$4:$M$4,0),0),"")</f>
        <v>10</v>
      </c>
      <c r="U13" s="6">
        <f>IFERROR(VLOOKUP($G13,角色技能!$D:$M,MATCH(U$9,角色技能!$D$4:$M$4,0),0)*(1+$K13/100*(VLOOKUP($H13,技能模板!$D$13:$U$19,MATCH(技能模板!R$13,技能模板!$D$13:$U$13,0),0)-1)),"")</f>
        <v>6.3333333333333304</v>
      </c>
      <c r="V13" s="6">
        <f>IFERROR(VLOOKUP($G13,角色技能!$D:$M,MATCH(V$9,角色技能!$D$4:$M$4,0),0)*(1+$K13/100*(VLOOKUP($H13,技能模板!$D$13:$U$19,MATCH(技能模板!S$13,技能模板!$D$13:$U$13,0),0)-1)),"")</f>
        <v>0</v>
      </c>
      <c r="W13" s="6">
        <f>IFERROR(VLOOKUP($G13,角色技能!$D:$M,MATCH(W$9,角色技能!$D$4:$M$4,0),0)*(1+$K13/100*(VLOOKUP($H13,技能模板!$D$13:$U$19,MATCH(技能模板!T$13,技能模板!$D$13:$U$13,0),0)-1)),"")</f>
        <v>0</v>
      </c>
      <c r="X13" s="59">
        <f>IFERROR(VLOOKUP($G13,角色技能!$D:$M,MATCH(X$9,角色技能!$D$4:$M$4,0),0)*(1+$K13/100*(VLOOKUP($H13,技能模板!$D$13:$U$19,MATCH(技能模板!U$13,技能模板!$D$13:$U$13,0),0)-1)),"")</f>
        <v>0</v>
      </c>
      <c r="Y13" s="51"/>
    </row>
    <row r="14" spans="1:25" ht="14.25" customHeight="1" x14ac:dyDescent="0.2">
      <c r="C14" s="49"/>
      <c r="D14" s="58" t="str">
        <f t="shared" si="0"/>
        <v/>
      </c>
      <c r="E14" s="1" t="str">
        <f t="shared" si="1"/>
        <v/>
      </c>
      <c r="F14" s="1" t="str">
        <f t="shared" si="2"/>
        <v/>
      </c>
      <c r="H14" s="1" t="str">
        <f>IFERROR(VLOOKUP($G14,角色设定!$R:$S,2,0),"")</f>
        <v/>
      </c>
      <c r="I14" s="1" t="str">
        <f>IFERROR(VLOOKUP(H14,角色设定!$D$9:$E$15,2,0),"")</f>
        <v/>
      </c>
      <c r="J14" s="1" t="str">
        <f t="shared" si="3"/>
        <v/>
      </c>
      <c r="K14" s="1" t="str">
        <f t="shared" si="3"/>
        <v/>
      </c>
      <c r="L14" s="8" t="str">
        <f>IFERROR(VLOOKUP($G14,角色设定!$AB$9:$AJ$21,MATCH(角色成长!$E$17,角色设定!$AB$9:$AJ$9,0),0)*VLOOKUP($J14,角色成长!$D$17:$J$117,MATCH(角色成长!$E$17,角色成长!$D$17:$J$17,0),0)*角色成长!$L$15*R14/Q14/(1+O14*(P14-1)),"")</f>
        <v/>
      </c>
      <c r="M14" s="8" t="str">
        <f>IFERROR(VLOOKUP($G14,角色设定!$AB$9:$AJ$21,MATCH(角色成长!$F$17,角色设定!$AB$9:$AJ$9,0),0)*VLOOKUP($J14,角色成长!$D$17:$J$117,MATCH(角色成长!$F$17,角色成长!$D$17:$J$17,0),0)*角色成长!$L$15/(1+N14/角色成长!$N$16),"")</f>
        <v/>
      </c>
      <c r="N14" s="8" t="str">
        <f>IFERROR(VLOOKUP($G14,角色设定!$AB$9:$AJ$21,MATCH(N$9,角色设定!$AB$9:$AJ$9,0),0)*VLOOKUP($J14,角色成长!$D$17:$J$117,MATCH(N$9,角色成长!$D$17:$J$17,0),0)*角色成长!$L$15,"")</f>
        <v/>
      </c>
      <c r="O14" s="1" t="str">
        <f>IFERROR(VLOOKUP($G14,角色设定!$AB$9:$AJ$21,MATCH(O$9,角色设定!$AB$9:$AJ$9,0),0)*VLOOKUP($J14,角色成长!$D$17:$J$117,MATCH(O$9,角色成长!$D$17:$J$17,0),0),"")</f>
        <v/>
      </c>
      <c r="P14" s="1" t="str">
        <f>IFERROR(VLOOKUP($G14,角色设定!$AB$9:$AJ$21,MATCH(P$9,角色设定!$AB$9:$AJ$9,0),0)*VLOOKUP($J14,角色成长!$D$17:$J$117,MATCH(P$9,角色成长!$D$17:$J$17,0),0),"")</f>
        <v/>
      </c>
      <c r="Q14" s="1" t="str">
        <f>IFERROR(VLOOKUP($G14,角色设定!$AB$9:$AJ$21,MATCH(Q$9,角色设定!$AB$9:$AJ$9,0),0)*VLOOKUP($J14,角色成长!$D$17:$J$117,MATCH(Q$9,角色成长!$D$17:$J$17,0),0),"")</f>
        <v/>
      </c>
      <c r="R14" s="1" t="str">
        <f>IFERROR(VLOOKUP($G14,角色设定!$AB$9:$AJ$21,MATCH(R$9,角色设定!$AB$9:$AJ$9,0),0),"")</f>
        <v/>
      </c>
      <c r="S14" s="1" t="str">
        <f>IFERROR(VLOOKUP($G14,角色技能!$D:$M,MATCH(S$9,角色技能!$D$4:$M$4,0),0),"")</f>
        <v/>
      </c>
      <c r="T14" s="1" t="str">
        <f>IFERROR(VLOOKUP($G14,角色技能!$D:$M,MATCH(T$9,角色技能!$D$4:$M$4,0),0),"")</f>
        <v/>
      </c>
      <c r="U14" s="6" t="str">
        <f>IFERROR(VLOOKUP($G14,角色技能!$D:$M,MATCH(U$9,角色技能!$D$4:$M$4,0),0)*(1+$K14/100*(VLOOKUP($H14,技能模板!$D$13:$U$19,MATCH(技能模板!R$13,技能模板!$D$13:$U$13,0),0)-1)),"")</f>
        <v/>
      </c>
      <c r="V14" s="6" t="str">
        <f>IFERROR(VLOOKUP($G14,角色技能!$D:$M,MATCH(V$9,角色技能!$D$4:$M$4,0),0)*(1+$K14/100*(VLOOKUP($H14,技能模板!$D$13:$U$19,MATCH(技能模板!S$13,技能模板!$D$13:$U$13,0),0)-1)),"")</f>
        <v/>
      </c>
      <c r="W14" s="6" t="str">
        <f>IFERROR(VLOOKUP($G14,角色技能!$D:$M,MATCH(W$9,角色技能!$D$4:$M$4,0),0)*(1+$K14/100*(VLOOKUP($H14,技能模板!$D$13:$U$19,MATCH(技能模板!T$13,技能模板!$D$13:$U$13,0),0)-1)),"")</f>
        <v/>
      </c>
      <c r="X14" s="59" t="str">
        <f>IFERROR(VLOOKUP($G14,角色技能!$D:$M,MATCH(X$9,角色技能!$D$4:$M$4,0),0)*(1+$K14/100*(VLOOKUP($H14,技能模板!$D$13:$U$19,MATCH(技能模板!U$13,技能模板!$D$13:$U$13,0),0)-1)),"")</f>
        <v/>
      </c>
      <c r="Y14" s="51"/>
    </row>
    <row r="15" spans="1:25" ht="14.25" customHeight="1" x14ac:dyDescent="0.2">
      <c r="C15" s="49"/>
      <c r="D15" s="58">
        <f t="shared" si="0"/>
        <v>3</v>
      </c>
      <c r="E15" s="1">
        <f t="shared" si="1"/>
        <v>2</v>
      </c>
      <c r="F15" s="1">
        <f t="shared" si="2"/>
        <v>6</v>
      </c>
      <c r="G15" s="1" t="s">
        <v>272</v>
      </c>
      <c r="H15" s="1" t="str">
        <f>IFERROR(VLOOKUP($G15,角色设定!$R:$S,2,0),"")</f>
        <v>射击</v>
      </c>
      <c r="I15" s="1" t="str">
        <f>IFERROR(VLOOKUP(H15,角色设定!$D$9:$E$15,2,0),"")</f>
        <v>输出</v>
      </c>
      <c r="J15" s="1">
        <f t="shared" si="3"/>
        <v>50</v>
      </c>
      <c r="K15" s="1">
        <f t="shared" si="3"/>
        <v>40</v>
      </c>
      <c r="L15" s="8">
        <f>IFERROR(VLOOKUP($G15,角色设定!$AB$9:$AJ$21,MATCH(角色成长!$E$17,角色设定!$AB$9:$AJ$9,0),0)*VLOOKUP($J15,角色成长!$D$17:$J$117,MATCH(角色成长!$E$17,角色成长!$D$17:$J$17,0),0)*角色成长!$L$15*R15/Q15/(1+O15*(P15-1)),"")</f>
        <v>9590.916184448537</v>
      </c>
      <c r="M15" s="8">
        <f>IFERROR(VLOOKUP($G15,角色设定!$AB$9:$AJ$21,MATCH(角色成长!$F$17,角色设定!$AB$9:$AJ$9,0),0)*VLOOKUP($J15,角色成长!$D$17:$J$117,MATCH(角色成长!$F$17,角色成长!$D$17:$J$17,0),0)*角色成长!$L$15/(1+N15/角色成长!$N$16),"")</f>
        <v>63090.582538849922</v>
      </c>
      <c r="N15" s="8">
        <f>IFERROR(VLOOKUP($G15,角色设定!$AB$9:$AJ$21,MATCH(N$9,角色设定!$AB$9:$AJ$9,0),0)*VLOOKUP($J15,角色成长!$D$17:$J$117,MATCH(N$9,角色成长!$D$17:$J$17,0),0)*角色成长!$L$15,"")</f>
        <v>8190.9998469669172</v>
      </c>
      <c r="O15" s="1">
        <f>IFERROR(VLOOKUP($G15,角色设定!$AB$9:$AJ$21,MATCH(O$9,角色设定!$AB$9:$AJ$9,0),0)*VLOOKUP($J15,角色成长!$D$17:$J$117,MATCH(O$9,角色成长!$D$17:$J$17,0),0),"")</f>
        <v>0.4</v>
      </c>
      <c r="P15" s="1">
        <f>IFERROR(VLOOKUP($G15,角色设定!$AB$9:$AJ$21,MATCH(P$9,角色设定!$AB$9:$AJ$9,0),0)*VLOOKUP($J15,角色成长!$D$17:$J$117,MATCH(P$9,角色成长!$D$17:$J$17,0),0),"")</f>
        <v>1.5</v>
      </c>
      <c r="Q15" s="1">
        <f>IFERROR(VLOOKUP($G15,角色设定!$AB$9:$AJ$21,MATCH(Q$9,角色设定!$AB$9:$AJ$9,0),0)*VLOOKUP($J15,角色成长!$D$17:$J$117,MATCH(Q$9,角色成长!$D$17:$J$17,0),0),"")</f>
        <v>1.1000000000000001</v>
      </c>
      <c r="R15" s="1">
        <f>IFERROR(VLOOKUP($G15,角色设定!$AB$9:$AJ$21,MATCH(R$9,角色设定!$AB$9:$AJ$9,0),0),"")</f>
        <v>0.80500000000000005</v>
      </c>
      <c r="S15" s="1">
        <f>IFERROR(VLOOKUP($G15,角色技能!$D:$M,MATCH(S$9,角色技能!$D$4:$M$4,0),0),"")</f>
        <v>20</v>
      </c>
      <c r="T15" s="1">
        <f>IFERROR(VLOOKUP($G15,角色技能!$D:$M,MATCH(T$9,角色技能!$D$4:$M$4,0),0),"")</f>
        <v>10</v>
      </c>
      <c r="U15" s="6">
        <f>IFERROR(VLOOKUP($G15,角色技能!$D:$M,MATCH(U$9,角色技能!$D$4:$M$4,0),0)*(1+$K15/100*(VLOOKUP($H15,技能模板!$D$13:$U$19,MATCH(技能模板!R$13,技能模板!$D$13:$U$13,0),0)-1)),"")</f>
        <v>6.765175810182174</v>
      </c>
      <c r="V15" s="6">
        <f>IFERROR(VLOOKUP($G15,角色技能!$D:$M,MATCH(V$9,角色技能!$D$4:$M$4,0),0)*(1+$K15/100*(VLOOKUP($H15,技能模板!$D$13:$U$19,MATCH(技能模板!S$13,技能模板!$D$13:$U$13,0),0)-1)),"")</f>
        <v>0</v>
      </c>
      <c r="W15" s="6">
        <f>IFERROR(VLOOKUP($G15,角色技能!$D:$M,MATCH(W$9,角色技能!$D$4:$M$4,0),0)*(1+$K15/100*(VLOOKUP($H15,技能模板!$D$13:$U$19,MATCH(技能模板!T$13,技能模板!$D$13:$U$13,0),0)-1)),"")</f>
        <v>0</v>
      </c>
      <c r="X15" s="59">
        <f>IFERROR(VLOOKUP($G15,角色技能!$D:$M,MATCH(X$9,角色技能!$D$4:$M$4,0),0)*(1+$K15/100*(VLOOKUP($H15,技能模板!$D$13:$U$19,MATCH(技能模板!U$13,技能模板!$D$13:$U$13,0),0)-1)),"")</f>
        <v>0</v>
      </c>
      <c r="Y15" s="51"/>
    </row>
    <row r="16" spans="1:25" ht="14.25" customHeight="1" x14ac:dyDescent="0.2">
      <c r="C16" s="49"/>
      <c r="D16" s="58" t="str">
        <f t="shared" si="0"/>
        <v/>
      </c>
      <c r="E16" s="1" t="str">
        <f t="shared" si="1"/>
        <v/>
      </c>
      <c r="F16" s="1" t="str">
        <f t="shared" si="2"/>
        <v/>
      </c>
      <c r="H16" s="1" t="str">
        <f>IFERROR(VLOOKUP($G16,角色设定!$R:$S,2,0),"")</f>
        <v/>
      </c>
      <c r="I16" s="1" t="str">
        <f>IFERROR(VLOOKUP(H16,角色设定!$D$9:$E$15,2,0),"")</f>
        <v/>
      </c>
      <c r="J16" s="1" t="str">
        <f t="shared" si="3"/>
        <v/>
      </c>
      <c r="K16" s="1" t="str">
        <f t="shared" si="3"/>
        <v/>
      </c>
      <c r="L16" s="8" t="str">
        <f>IFERROR(VLOOKUP($G16,角色设定!$AB$9:$AJ$21,MATCH(角色成长!$E$17,角色设定!$AB$9:$AJ$9,0),0)*VLOOKUP($J16,角色成长!$D$17:$J$117,MATCH(角色成长!$E$17,角色成长!$D$17:$J$17,0),0)*角色成长!$L$15*R16/Q16/(1+O16*(P16-1)),"")</f>
        <v/>
      </c>
      <c r="M16" s="8" t="str">
        <f>IFERROR(VLOOKUP($G16,角色设定!$AB$9:$AJ$21,MATCH(角色成长!$F$17,角色设定!$AB$9:$AJ$9,0),0)*VLOOKUP($J16,角色成长!$D$17:$J$117,MATCH(角色成长!$F$17,角色成长!$D$17:$J$17,0),0)*角色成长!$L$15/(1+N16/角色成长!$N$16),"")</f>
        <v/>
      </c>
      <c r="N16" s="8" t="str">
        <f>IFERROR(VLOOKUP($G16,角色设定!$AB$9:$AJ$21,MATCH(N$9,角色设定!$AB$9:$AJ$9,0),0)*VLOOKUP($J16,角色成长!$D$17:$J$117,MATCH(N$9,角色成长!$D$17:$J$17,0),0)*角色成长!$L$15,"")</f>
        <v/>
      </c>
      <c r="O16" s="1" t="str">
        <f>IFERROR(VLOOKUP($G16,角色设定!$AB$9:$AJ$21,MATCH(O$9,角色设定!$AB$9:$AJ$9,0),0)*VLOOKUP($J16,角色成长!$D$17:$J$117,MATCH(O$9,角色成长!$D$17:$J$17,0),0),"")</f>
        <v/>
      </c>
      <c r="P16" s="1" t="str">
        <f>IFERROR(VLOOKUP($G16,角色设定!$AB$9:$AJ$21,MATCH(P$9,角色设定!$AB$9:$AJ$9,0),0)*VLOOKUP($J16,角色成长!$D$17:$J$117,MATCH(P$9,角色成长!$D$17:$J$17,0),0),"")</f>
        <v/>
      </c>
      <c r="Q16" s="1" t="str">
        <f>IFERROR(VLOOKUP($G16,角色设定!$AB$9:$AJ$21,MATCH(Q$9,角色设定!$AB$9:$AJ$9,0),0)*VLOOKUP($J16,角色成长!$D$17:$J$117,MATCH(Q$9,角色成长!$D$17:$J$17,0),0),"")</f>
        <v/>
      </c>
      <c r="R16" s="1" t="str">
        <f>IFERROR(VLOOKUP($G16,角色设定!$AB$9:$AJ$21,MATCH(R$9,角色设定!$AB$9:$AJ$9,0),0),"")</f>
        <v/>
      </c>
      <c r="S16" s="1" t="str">
        <f>IFERROR(VLOOKUP($G16,角色技能!$D:$M,MATCH(S$9,角色技能!$D$4:$M$4,0),0),"")</f>
        <v/>
      </c>
      <c r="T16" s="1" t="str">
        <f>IFERROR(VLOOKUP($G16,角色技能!$D:$M,MATCH(T$9,角色技能!$D$4:$M$4,0),0),"")</f>
        <v/>
      </c>
      <c r="U16" s="6" t="str">
        <f>IFERROR(VLOOKUP($G16,角色技能!$D:$M,MATCH(U$9,角色技能!$D$4:$M$4,0),0)*(1+$K16/100*(VLOOKUP($H16,技能模板!$D$13:$U$19,MATCH(技能模板!R$13,技能模板!$D$13:$U$13,0),0)-1)),"")</f>
        <v/>
      </c>
      <c r="V16" s="6" t="str">
        <f>IFERROR(VLOOKUP($G16,角色技能!$D:$M,MATCH(V$9,角色技能!$D$4:$M$4,0),0)*(1+$K16/100*(VLOOKUP($H16,技能模板!$D$13:$U$19,MATCH(技能模板!S$13,技能模板!$D$13:$U$13,0),0)-1)),"")</f>
        <v/>
      </c>
      <c r="W16" s="6" t="str">
        <f>IFERROR(VLOOKUP($G16,角色技能!$D:$M,MATCH(W$9,角色技能!$D$4:$M$4,0),0)*(1+$K16/100*(VLOOKUP($H16,技能模板!$D$13:$U$19,MATCH(技能模板!T$13,技能模板!$D$13:$U$13,0),0)-1)),"")</f>
        <v/>
      </c>
      <c r="X16" s="59" t="str">
        <f>IFERROR(VLOOKUP($G16,角色技能!$D:$M,MATCH(X$9,角色技能!$D$4:$M$4,0),0)*(1+$K16/100*(VLOOKUP($H16,技能模板!$D$13:$U$19,MATCH(技能模板!U$13,技能模板!$D$13:$U$13,0),0)-1)),"")</f>
        <v/>
      </c>
      <c r="Y16" s="51"/>
    </row>
    <row r="17" spans="1:25" ht="14.25" customHeight="1" x14ac:dyDescent="0.2">
      <c r="C17" s="49"/>
      <c r="D17" s="58">
        <f t="shared" si="0"/>
        <v>2</v>
      </c>
      <c r="E17" s="1">
        <f t="shared" si="1"/>
        <v>1</v>
      </c>
      <c r="F17" s="1">
        <f t="shared" si="2"/>
        <v>8</v>
      </c>
      <c r="G17" s="1" t="s">
        <v>273</v>
      </c>
      <c r="H17" s="1" t="str">
        <f>IFERROR(VLOOKUP($G17,角色设定!$R:$S,2,0),"")</f>
        <v>恢复</v>
      </c>
      <c r="I17" s="1" t="str">
        <f>IFERROR(VLOOKUP(H17,角色设定!$D$9:$E$15,2,0),"")</f>
        <v>治疗</v>
      </c>
      <c r="J17" s="1">
        <f t="shared" si="3"/>
        <v>50</v>
      </c>
      <c r="K17" s="1">
        <f t="shared" si="3"/>
        <v>40</v>
      </c>
      <c r="L17" s="8">
        <f>IFERROR(VLOOKUP($G17,角色设定!$AB$9:$AJ$21,MATCH(角色成长!$E$17,角色设定!$AB$9:$AJ$9,0),0)*VLOOKUP($J17,角色成长!$D$17:$J$117,MATCH(角色成长!$E$17,角色成长!$D$17:$J$17,0),0)*角色成长!$L$15*R17/Q17/(1+O17*(P17-1)),"")</f>
        <v>4357.6119185864018</v>
      </c>
      <c r="M17" s="8">
        <f>IFERROR(VLOOKUP($G17,角色设定!$AB$9:$AJ$21,MATCH(角色成长!$F$17,角色设定!$AB$9:$AJ$9,0),0)*VLOOKUP($J17,角色成长!$D$17:$J$117,MATCH(角色成长!$F$17,角色成长!$D$17:$J$17,0),0)*角色成长!$L$15/(1+N17/角色成长!$N$16),"")</f>
        <v>80465.608783089367</v>
      </c>
      <c r="N17" s="8">
        <f>IFERROR(VLOOKUP($G17,角色设定!$AB$9:$AJ$21,MATCH(N$9,角色设定!$AB$9:$AJ$9,0),0)*VLOOKUP($J17,角色成长!$D$17:$J$117,MATCH(N$9,角色成长!$D$17:$J$17,0),0)*角色成长!$L$15,"")</f>
        <v>13105.599755147066</v>
      </c>
      <c r="O17" s="1">
        <f>IFERROR(VLOOKUP($G17,角色设定!$AB$9:$AJ$21,MATCH(O$9,角色设定!$AB$9:$AJ$9,0),0)*VLOOKUP($J17,角色成长!$D$17:$J$117,MATCH(O$9,角色成长!$D$17:$J$17,0),0),"")</f>
        <v>0.4</v>
      </c>
      <c r="P17" s="1">
        <f>IFERROR(VLOOKUP($G17,角色设定!$AB$9:$AJ$21,MATCH(P$9,角色设定!$AB$9:$AJ$9,0),0)*VLOOKUP($J17,角色成长!$D$17:$J$117,MATCH(P$9,角色成长!$D$17:$J$17,0),0),"")</f>
        <v>1.5</v>
      </c>
      <c r="Q17" s="1">
        <f>IFERROR(VLOOKUP($G17,角色设定!$AB$9:$AJ$21,MATCH(Q$9,角色设定!$AB$9:$AJ$9,0),0)*VLOOKUP($J17,角色成长!$D$17:$J$117,MATCH(Q$9,角色成长!$D$17:$J$17,0),0),"")</f>
        <v>0.9</v>
      </c>
      <c r="R17" s="1">
        <f>IFERROR(VLOOKUP($G17,角色设定!$AB$9:$AJ$21,MATCH(R$9,角色设定!$AB$9:$AJ$9,0),0),"")</f>
        <v>0.79800000000000004</v>
      </c>
      <c r="S17" s="1">
        <f>IFERROR(VLOOKUP($G17,角色技能!$D:$M,MATCH(S$9,角色技能!$D$4:$M$4,0),0),"")</f>
        <v>10</v>
      </c>
      <c r="T17" s="1">
        <f>IFERROR(VLOOKUP($G17,角色技能!$D:$M,MATCH(T$9,角色技能!$D$4:$M$4,0),0),"")</f>
        <v>5</v>
      </c>
      <c r="U17" s="6">
        <f>IFERROR(VLOOKUP($G17,角色技能!$D:$M,MATCH(U$9,角色技能!$D$4:$M$4,0),0)*(1+$K17/100*(VLOOKUP($H17,技能模板!$D$13:$U$19,MATCH(技能模板!R$13,技能模板!$D$13:$U$13,0),0)-1)),"")</f>
        <v>2.8831871692542497</v>
      </c>
      <c r="V17" s="6">
        <f>IFERROR(VLOOKUP($G17,角色技能!$D:$M,MATCH(V$9,角色技能!$D$4:$M$4,0),0)*(1+$K17/100*(VLOOKUP($H17,技能模板!$D$13:$U$19,MATCH(技能模板!S$13,技能模板!$D$13:$U$13,0),0)-1)),"")</f>
        <v>0</v>
      </c>
      <c r="W17" s="6">
        <f>IFERROR(VLOOKUP($G17,角色技能!$D:$M,MATCH(W$9,角色技能!$D$4:$M$4,0),0)*(1+$K17/100*(VLOOKUP($H17,技能模板!$D$13:$U$19,MATCH(技能模板!T$13,技能模板!$D$13:$U$13,0),0)-1)),"")</f>
        <v>0</v>
      </c>
      <c r="X17" s="59">
        <f>IFERROR(VLOOKUP($G17,角色技能!$D:$M,MATCH(X$9,角色技能!$D$4:$M$4,0),0)*(1+$K17/100*(VLOOKUP($H17,技能模板!$D$13:$U$19,MATCH(技能模板!U$13,技能模板!$D$13:$U$13,0),0)-1)),"")</f>
        <v>1.103589319113375</v>
      </c>
      <c r="Y17" s="51"/>
    </row>
    <row r="18" spans="1:25" ht="14.25" customHeight="1" thickBot="1" x14ac:dyDescent="0.25">
      <c r="C18" s="49"/>
      <c r="D18" s="60" t="str">
        <f t="shared" si="0"/>
        <v/>
      </c>
      <c r="E18" s="61" t="str">
        <f t="shared" si="1"/>
        <v/>
      </c>
      <c r="F18" s="61" t="str">
        <f t="shared" si="2"/>
        <v/>
      </c>
      <c r="G18" s="61"/>
      <c r="H18" s="61" t="str">
        <f>IFERROR(VLOOKUP($G18,角色设定!$R:$S,2,0),"")</f>
        <v/>
      </c>
      <c r="I18" s="61" t="str">
        <f>IFERROR(VLOOKUP(H18,角色设定!$D$9:$E$15,2,0),"")</f>
        <v/>
      </c>
      <c r="J18" s="61" t="str">
        <f t="shared" si="3"/>
        <v/>
      </c>
      <c r="K18" s="61" t="str">
        <f t="shared" si="3"/>
        <v/>
      </c>
      <c r="L18" s="62" t="str">
        <f>IFERROR(VLOOKUP($G18,角色设定!$AB$9:$AJ$21,MATCH(角色成长!$E$17,角色设定!$AB$9:$AJ$9,0),0)*VLOOKUP($J18,角色成长!$D$17:$J$117,MATCH(角色成长!$E$17,角色成长!$D$17:$J$17,0),0)*角色成长!$L$15*R18/Q18/(1+O18*(P18-1)),"")</f>
        <v/>
      </c>
      <c r="M18" s="62" t="str">
        <f>IFERROR(VLOOKUP($G18,角色设定!$AB$9:$AJ$21,MATCH(角色成长!$F$17,角色设定!$AB$9:$AJ$9,0),0)*VLOOKUP($J18,角色成长!$D$17:$J$117,MATCH(角色成长!$F$17,角色成长!$D$17:$J$17,0),0)*角色成长!$L$15/(1+N18/角色成长!$N$16),"")</f>
        <v/>
      </c>
      <c r="N18" s="62" t="str">
        <f>IFERROR(VLOOKUP($G18,角色设定!$AB$9:$AJ$21,MATCH(N$9,角色设定!$AB$9:$AJ$9,0),0)*VLOOKUP($J18,角色成长!$D$17:$J$117,MATCH(N$9,角色成长!$D$17:$J$17,0),0)*角色成长!$L$15,"")</f>
        <v/>
      </c>
      <c r="O18" s="61" t="str">
        <f>IFERROR(VLOOKUP($G18,角色设定!$AB$9:$AJ$21,MATCH(O$9,角色设定!$AB$9:$AJ$9,0),0)*VLOOKUP($J18,角色成长!$D$17:$J$117,MATCH(O$9,角色成长!$D$17:$J$17,0),0),"")</f>
        <v/>
      </c>
      <c r="P18" s="61" t="str">
        <f>IFERROR(VLOOKUP($G18,角色设定!$AB$9:$AJ$21,MATCH(P$9,角色设定!$AB$9:$AJ$9,0),0)*VLOOKUP($J18,角色成长!$D$17:$J$117,MATCH(P$9,角色成长!$D$17:$J$17,0),0),"")</f>
        <v/>
      </c>
      <c r="Q18" s="61" t="str">
        <f>IFERROR(VLOOKUP($G18,角色设定!$AB$9:$AJ$21,MATCH(Q$9,角色设定!$AB$9:$AJ$9,0),0)*VLOOKUP($J18,角色成长!$D$17:$J$117,MATCH(Q$9,角色成长!$D$17:$J$17,0),0),"")</f>
        <v/>
      </c>
      <c r="R18" s="61" t="str">
        <f>IFERROR(VLOOKUP($G18,角色设定!$AB$9:$AJ$21,MATCH(R$9,角色设定!$AB$9:$AJ$9,0),0),"")</f>
        <v/>
      </c>
      <c r="S18" s="61" t="str">
        <f>IFERROR(VLOOKUP($G18,角色技能!$D:$M,MATCH(S$9,角色技能!$D$4:$M$4,0),0),"")</f>
        <v/>
      </c>
      <c r="T18" s="61" t="str">
        <f>IFERROR(VLOOKUP($G18,角色技能!$D:$M,MATCH(T$9,角色技能!$D$4:$M$4,0),0),"")</f>
        <v/>
      </c>
      <c r="U18" s="63" t="str">
        <f>IFERROR(VLOOKUP($G18,角色技能!$D:$M,MATCH(U$9,角色技能!$D$4:$M$4,0),0)*(1+$K18/100*(VLOOKUP($H18,技能模板!$D$13:$U$19,MATCH(技能模板!R$13,技能模板!$D$13:$U$13,0),0)-1)),"")</f>
        <v/>
      </c>
      <c r="V18" s="63" t="str">
        <f>IFERROR(VLOOKUP($G18,角色技能!$D:$M,MATCH(V$9,角色技能!$D$4:$M$4,0),0)*(1+$K18/100*(VLOOKUP($H18,技能模板!$D$13:$U$19,MATCH(技能模板!S$13,技能模板!$D$13:$U$13,0),0)-1)),"")</f>
        <v/>
      </c>
      <c r="W18" s="63" t="str">
        <f>IFERROR(VLOOKUP($G18,角色技能!$D:$M,MATCH(W$9,角色技能!$D$4:$M$4,0),0)*(1+$K18/100*(VLOOKUP($H18,技能模板!$D$13:$U$19,MATCH(技能模板!T$13,技能模板!$D$13:$U$13,0),0)-1)),"")</f>
        <v/>
      </c>
      <c r="X18" s="64" t="str">
        <f>IFERROR(VLOOKUP($G18,角色技能!$D:$M,MATCH(X$9,角色技能!$D$4:$M$4,0),0)*(1+$K18/100*(VLOOKUP($H18,技能模板!$D$13:$U$19,MATCH(技能模板!U$13,技能模板!$D$13:$U$13,0),0)-1)),"")</f>
        <v/>
      </c>
      <c r="Y18" s="51"/>
    </row>
    <row r="19" spans="1:25" ht="14.25" customHeight="1" thickBot="1" x14ac:dyDescent="0.25">
      <c r="D19" s="47"/>
      <c r="E19" s="47"/>
      <c r="F19" s="47"/>
      <c r="G19" s="47"/>
      <c r="H19" s="47"/>
      <c r="I19" s="47"/>
      <c r="J19" s="65">
        <v>50</v>
      </c>
      <c r="K19" s="65">
        <v>40</v>
      </c>
      <c r="L19" s="66"/>
      <c r="M19" s="66"/>
      <c r="N19" s="66"/>
      <c r="O19" s="47"/>
      <c r="P19" s="47"/>
      <c r="Q19" s="47"/>
      <c r="R19" s="47"/>
      <c r="S19" s="47">
        <v>0</v>
      </c>
      <c r="T19" s="47">
        <v>0</v>
      </c>
      <c r="U19" s="67"/>
      <c r="V19" s="47" t="s">
        <v>250</v>
      </c>
      <c r="W19" s="47" t="s">
        <v>251</v>
      </c>
      <c r="X19" s="47" t="s">
        <v>252</v>
      </c>
    </row>
    <row r="20" spans="1:25" ht="14.25" customHeight="1" x14ac:dyDescent="0.2">
      <c r="A20" s="4">
        <f>B20/(SUM(M21:M29)*$G$1)</f>
        <v>3.7091792925839417E-2</v>
      </c>
      <c r="B20" s="6">
        <v>16830989.96343546</v>
      </c>
      <c r="C20" s="49">
        <f>ROW(D21)</f>
        <v>21</v>
      </c>
      <c r="D20" s="54" t="s">
        <v>256</v>
      </c>
      <c r="E20" s="55" t="s">
        <v>257</v>
      </c>
      <c r="F20" s="55" t="s">
        <v>236</v>
      </c>
      <c r="G20" s="56" t="s">
        <v>157</v>
      </c>
      <c r="H20" s="55" t="s">
        <v>92</v>
      </c>
      <c r="I20" s="55" t="s">
        <v>93</v>
      </c>
      <c r="J20" s="56" t="s">
        <v>244</v>
      </c>
      <c r="K20" s="56" t="s">
        <v>245</v>
      </c>
      <c r="L20" s="55" t="s">
        <v>34</v>
      </c>
      <c r="M20" s="55" t="s">
        <v>213</v>
      </c>
      <c r="N20" s="55" t="s">
        <v>35</v>
      </c>
      <c r="O20" s="55" t="s">
        <v>146</v>
      </c>
      <c r="P20" s="55" t="s">
        <v>147</v>
      </c>
      <c r="Q20" s="55" t="s">
        <v>148</v>
      </c>
      <c r="R20" s="55" t="s">
        <v>176</v>
      </c>
      <c r="S20" s="55" t="s">
        <v>206</v>
      </c>
      <c r="T20" s="55" t="s">
        <v>274</v>
      </c>
      <c r="U20" s="55" t="s">
        <v>207</v>
      </c>
      <c r="V20" s="55" t="s">
        <v>208</v>
      </c>
      <c r="W20" s="55" t="s">
        <v>210</v>
      </c>
      <c r="X20" s="57" t="s">
        <v>242</v>
      </c>
      <c r="Y20" s="51"/>
    </row>
    <row r="21" spans="1:25" ht="14.25" customHeight="1" x14ac:dyDescent="0.2">
      <c r="C21" s="49">
        <f>COLUMN(D21)</f>
        <v>4</v>
      </c>
      <c r="D21" s="58">
        <f>IFERROR(MOD(F21+3-1,3)+1,"")</f>
        <v>1</v>
      </c>
      <c r="E21" s="1">
        <f>IFERROR(INT((F21-1)/3)+5,"")</f>
        <v>5</v>
      </c>
      <c r="F21" s="1">
        <f>IF(G21="","",ROW(G21)-$C$20+1)</f>
        <v>1</v>
      </c>
      <c r="G21" s="1" t="s">
        <v>289</v>
      </c>
      <c r="H21" s="1" t="str">
        <f>IFERROR(VLOOKUP($G21,角色设定!$R:$S,2,0),"")</f>
        <v>防御</v>
      </c>
      <c r="I21" s="1" t="str">
        <f>IFERROR(VLOOKUP(H21,角色设定!$D$9:$E$15,2,0),"")</f>
        <v>坦克</v>
      </c>
      <c r="J21" s="1">
        <f>IF($G21="","",J$19)</f>
        <v>50</v>
      </c>
      <c r="K21" s="1">
        <f>IF($G21="","",K$19)</f>
        <v>40</v>
      </c>
      <c r="L21" s="8">
        <f>IFERROR(VLOOKUP($G21,角色设定!$AB$9:$AJ$21,MATCH(角色成长!$E$17,角色设定!$AB$9:$AJ$9,0),0)*VLOOKUP($J21,角色成长!$D$17:$J$117,MATCH(角色成长!$E$17,角色成长!$D$17:$J$17,0),0)*角色成长!$L$15*R21/Q21/(1+O21*(P21-1)),"")</f>
        <v>5119.374904354323</v>
      </c>
      <c r="M21" s="8">
        <f>IFERROR(VLOOKUP($G21,角色设定!$AB$9:$AJ$21,MATCH(角色成长!$F$17,角色设定!$AB$9:$AJ$9,0),0)*VLOOKUP($J21,角色成长!$D$17:$J$117,MATCH(角色成长!$F$17,角色成长!$D$17:$J$17,0),0)*角色成长!$L$15/(1+N21/角色成长!$N$16),"")</f>
        <v>129134.98620806873</v>
      </c>
      <c r="N21" s="8">
        <f>IFERROR(VLOOKUP($G21,角色设定!$AB$9:$AJ$21,MATCH(N$9,角色设定!$AB$9:$AJ$9,0),0)*VLOOKUP($J21,角色成长!$D$17:$J$117,MATCH(N$9,角色成长!$D$17:$J$17,0),0)*角色成长!$L$15,"")</f>
        <v>40954.999234834577</v>
      </c>
      <c r="O21" s="1">
        <f>IFERROR(VLOOKUP($G21,角色设定!$AB$9:$AJ$21,MATCH(O$9,角色设定!$AB$9:$AJ$9,0),0)*VLOOKUP($J21,角色成长!$D$17:$J$117,MATCH(O$9,角色成长!$D$17:$J$17,0),0),"")</f>
        <v>0.4</v>
      </c>
      <c r="P21" s="1">
        <f>IFERROR(VLOOKUP($G21,角色设定!$AB$9:$AJ$21,MATCH(P$9,角色设定!$AB$9:$AJ$9,0),0)*VLOOKUP($J21,角色成长!$D$17:$J$117,MATCH(P$9,角色成长!$D$17:$J$17,0),0),"")</f>
        <v>1.5</v>
      </c>
      <c r="Q21" s="1">
        <f>IFERROR(VLOOKUP($G21,角色设定!$AB$9:$AJ$21,MATCH(Q$9,角色设定!$AB$9:$AJ$9,0),0)*VLOOKUP($J21,角色成长!$D$17:$J$117,MATCH(Q$9,角色成长!$D$17:$J$17,0),0),"")</f>
        <v>0.9</v>
      </c>
      <c r="R21" s="1">
        <f>IFERROR(VLOOKUP($G21,角色设定!$AB$9:$AJ$21,MATCH(R$9,角色设定!$AB$9:$AJ$9,0),0),"")</f>
        <v>0.75</v>
      </c>
      <c r="S21" s="1">
        <f>IFERROR(VLOOKUP($G21,角色技能!$D:$M,MATCH(S$9,角色技能!$D$4:$M$4,0),0)*(1-$S$19),"")</f>
        <v>10</v>
      </c>
      <c r="T21" s="1">
        <f>IFERROR(VLOOKUP($G21,角色技能!$D:$M,MATCH(T$9,角色技能!$D$4:$M$4,0),0)*(1-$T$19),"")</f>
        <v>5</v>
      </c>
      <c r="U21" s="6">
        <f>IFERROR(VLOOKUP($G21,角色技能!$D:$M,MATCH(U$9,角色技能!$D$4:$M$4,0),0)*(1+$K21/100*(VLOOKUP($H21,技能模板!$D$13:$U$19,MATCH(技能模板!R$13,技能模板!$D$13:$U$13,0),0)-1)),"")</f>
        <v>3.7199999999999998</v>
      </c>
      <c r="V21" s="6">
        <f>IFERROR(VLOOKUP($G21,角色技能!$D:$M,MATCH(V$9,角色技能!$D$4:$M$4,0),0)*(1+$K21/100*(VLOOKUP($H21,技能模板!$D$13:$U$19,MATCH(技能模板!S$13,技能模板!$D$13:$U$13,0),0)-1)),"")</f>
        <v>0</v>
      </c>
      <c r="W21" s="6">
        <f>IFERROR(VLOOKUP($G21,角色技能!$D:$M,MATCH(W$9,角色技能!$D$4:$M$4,0),0)*(1+$K21/100*(VLOOKUP($H21,技能模板!$D$13:$U$19,MATCH(技能模板!T$13,技能模板!$D$13:$U$13,0),0)-1)),"")</f>
        <v>0.97587692307692286</v>
      </c>
      <c r="X21" s="59">
        <f>IFERROR(VLOOKUP($G21,角色技能!$D:$M,MATCH(X$9,角色技能!$D$4:$M$4,0),0)*(1+$K21/100*(VLOOKUP($H21,技能模板!$D$13:$U$19,MATCH(技能模板!U$13,技能模板!$D$13:$U$13,0),0)-1)),"")</f>
        <v>0</v>
      </c>
      <c r="Y21" s="51"/>
    </row>
    <row r="22" spans="1:25" ht="14.25" customHeight="1" x14ac:dyDescent="0.2">
      <c r="C22" s="49">
        <f>ROW(X29)</f>
        <v>29</v>
      </c>
      <c r="D22" s="58" t="str">
        <f t="shared" ref="D22:D29" si="4">IFERROR(MOD(F22+3-1,3)+1,"")</f>
        <v/>
      </c>
      <c r="E22" s="1" t="str">
        <f t="shared" ref="E22:E29" si="5">IFERROR(INT((F22-1)/3)+5,"")</f>
        <v/>
      </c>
      <c r="F22" s="1" t="str">
        <f t="shared" ref="F22:F29" si="6">IF(G22="","",ROW(G22)-$C$20+1)</f>
        <v/>
      </c>
      <c r="H22" s="1" t="str">
        <f>IFERROR(VLOOKUP($G22,角色设定!$R:$S,2,0),"")</f>
        <v/>
      </c>
      <c r="I22" s="1" t="str">
        <f>IFERROR(VLOOKUP(H22,角色设定!$D$9:$E$15,2,0),"")</f>
        <v/>
      </c>
      <c r="J22" s="1" t="str">
        <f t="shared" ref="J22:K29" si="7">IF($G22="","",J$19)</f>
        <v/>
      </c>
      <c r="K22" s="1" t="str">
        <f t="shared" si="7"/>
        <v/>
      </c>
      <c r="L22" s="8" t="str">
        <f>IFERROR(VLOOKUP($G22,角色设定!$AB$9:$AJ$21,MATCH(角色成长!$E$17,角色设定!$AB$9:$AJ$9,0),0)*VLOOKUP($J22,角色成长!$D$17:$J$117,MATCH(角色成长!$E$17,角色成长!$D$17:$J$17,0),0)*角色成长!$L$15*R22/Q22/(1+O22*(P22-1)),"")</f>
        <v/>
      </c>
      <c r="M22" s="8" t="str">
        <f>IFERROR(VLOOKUP($G22,角色设定!$AB$9:$AJ$21,MATCH(角色成长!$F$17,角色设定!$AB$9:$AJ$9,0),0)*VLOOKUP($J22,角色成长!$D$17:$J$117,MATCH(角色成长!$F$17,角色成长!$D$17:$J$17,0),0)*角色成长!$L$15/(1+N22/角色成长!$N$16),"")</f>
        <v/>
      </c>
      <c r="N22" s="8" t="str">
        <f>IFERROR(VLOOKUP($G22,角色设定!$AB$9:$AJ$21,MATCH(N$9,角色设定!$AB$9:$AJ$9,0),0)*VLOOKUP($J22,角色成长!$D$17:$J$117,MATCH(N$9,角色成长!$D$17:$J$17,0),0)*角色成长!$L$15,"")</f>
        <v/>
      </c>
      <c r="O22" s="1" t="str">
        <f>IFERROR(VLOOKUP($G22,角色设定!$AB$9:$AJ$21,MATCH(O$9,角色设定!$AB$9:$AJ$9,0),0)*VLOOKUP($J22,角色成长!$D$17:$J$117,MATCH(O$9,角色成长!$D$17:$J$17,0),0),"")</f>
        <v/>
      </c>
      <c r="P22" s="1" t="str">
        <f>IFERROR(VLOOKUP($G22,角色设定!$AB$9:$AJ$21,MATCH(P$9,角色设定!$AB$9:$AJ$9,0),0)*VLOOKUP($J22,角色成长!$D$17:$J$117,MATCH(P$9,角色成长!$D$17:$J$17,0),0),"")</f>
        <v/>
      </c>
      <c r="Q22" s="1" t="str">
        <f>IFERROR(VLOOKUP($G22,角色设定!$AB$9:$AJ$21,MATCH(Q$9,角色设定!$AB$9:$AJ$9,0),0)*VLOOKUP($J22,角色成长!$D$17:$J$117,MATCH(Q$9,角色成长!$D$17:$J$17,0),0),"")</f>
        <v/>
      </c>
      <c r="R22" s="1" t="str">
        <f>IFERROR(VLOOKUP($G22,角色设定!$AB$9:$AJ$21,MATCH(R$9,角色设定!$AB$9:$AJ$9,0),0),"")</f>
        <v/>
      </c>
      <c r="S22" s="1" t="str">
        <f>IFERROR(VLOOKUP($G22,角色技能!$D:$M,MATCH(S$9,角色技能!$D$4:$M$4,0),0)*(1-$S$19),"")</f>
        <v/>
      </c>
      <c r="T22" s="1" t="str">
        <f>IFERROR(VLOOKUP($G22,角色技能!$D:$M,MATCH(T$9,角色技能!$D$4:$M$4,0),0)*(1-$T$19),"")</f>
        <v/>
      </c>
      <c r="U22" s="6" t="str">
        <f>IFERROR(VLOOKUP($G22,角色技能!$D:$M,MATCH(U$9,角色技能!$D$4:$M$4,0),0)*(1+$K22/100*(VLOOKUP($H22,技能模板!$D$13:$U$19,MATCH(技能模板!R$13,技能模板!$D$13:$U$13,0),0)-1)),"")</f>
        <v/>
      </c>
      <c r="V22" s="6" t="str">
        <f>IFERROR(VLOOKUP($G22,角色技能!$D:$M,MATCH(V$9,角色技能!$D$4:$M$4,0),0)*(1+$K22/100*(VLOOKUP($H22,技能模板!$D$13:$U$19,MATCH(技能模板!S$13,技能模板!$D$13:$U$13,0),0)-1)),"")</f>
        <v/>
      </c>
      <c r="W22" s="6" t="str">
        <f>IFERROR(VLOOKUP($G22,角色技能!$D:$M,MATCH(W$9,角色技能!$D$4:$M$4,0),0)*(1+$K22/100*(VLOOKUP($H22,技能模板!$D$13:$U$19,MATCH(技能模板!T$13,技能模板!$D$13:$U$13,0),0)-1)),"")</f>
        <v/>
      </c>
      <c r="X22" s="59" t="str">
        <f>IFERROR(VLOOKUP($G22,角色技能!$D:$M,MATCH(X$9,角色技能!$D$4:$M$4,0),0)*(1+$K22/100*(VLOOKUP($H22,技能模板!$D$13:$U$19,MATCH(技能模板!U$13,技能模板!$D$13:$U$13,0),0)-1)),"")</f>
        <v/>
      </c>
      <c r="Y22" s="51"/>
    </row>
    <row r="23" spans="1:25" ht="14.25" customHeight="1" x14ac:dyDescent="0.2">
      <c r="C23" s="49">
        <f>COLUMN(X29)</f>
        <v>24</v>
      </c>
      <c r="D23" s="58">
        <f t="shared" si="4"/>
        <v>3</v>
      </c>
      <c r="E23" s="1">
        <f t="shared" si="5"/>
        <v>5</v>
      </c>
      <c r="F23" s="1">
        <f t="shared" si="6"/>
        <v>3</v>
      </c>
      <c r="G23" s="1" t="s">
        <v>259</v>
      </c>
      <c r="H23" s="1" t="str">
        <f>IFERROR(VLOOKUP($G23,角色设定!$R:$S,2,0),"")</f>
        <v>防御</v>
      </c>
      <c r="I23" s="1" t="str">
        <f>IFERROR(VLOOKUP(H23,角色设定!$D$9:$E$15,2,0),"")</f>
        <v>坦克</v>
      </c>
      <c r="J23" s="1">
        <f t="shared" si="7"/>
        <v>50</v>
      </c>
      <c r="K23" s="1">
        <f t="shared" si="7"/>
        <v>40</v>
      </c>
      <c r="L23" s="8">
        <f>IFERROR(VLOOKUP($G23,角色设定!$AB$9:$AJ$21,MATCH(角色成长!$E$17,角色设定!$AB$9:$AJ$9,0),0)*VLOOKUP($J23,角色成长!$D$17:$J$117,MATCH(角色成长!$E$17,角色成长!$D$17:$J$17,0),0)*角色成长!$L$15*R23/Q23/(1+O23*(P23-1)),"")</f>
        <v>5688.1943381714718</v>
      </c>
      <c r="M23" s="8">
        <f>IFERROR(VLOOKUP($G23,角色设定!$AB$9:$AJ$21,MATCH(角色成长!$F$17,角色设定!$AB$9:$AJ$9,0),0)*VLOOKUP($J23,角色成长!$D$17:$J$117,MATCH(角色成长!$F$17,角色成长!$D$17:$J$17,0),0)*角色成长!$L$15/(1+N23/角色成长!$N$16),"")</f>
        <v>123391.88160545025</v>
      </c>
      <c r="N23" s="8">
        <f>IFERROR(VLOOKUP($G23,角色设定!$AB$9:$AJ$21,MATCH(N$9,角色设定!$AB$9:$AJ$9,0),0)*VLOOKUP($J23,角色成长!$D$17:$J$117,MATCH(N$9,角色成长!$D$17:$J$17,0),0)*角色成长!$L$15,"")</f>
        <v>32763.999387867669</v>
      </c>
      <c r="O23" s="1">
        <f>IFERROR(VLOOKUP($G23,角色设定!$AB$9:$AJ$21,MATCH(O$9,角色设定!$AB$9:$AJ$9,0),0)*VLOOKUP($J23,角色成长!$D$17:$J$117,MATCH(O$9,角色成长!$D$17:$J$17,0),0),"")</f>
        <v>0.4</v>
      </c>
      <c r="P23" s="1">
        <f>IFERROR(VLOOKUP($G23,角色设定!$AB$9:$AJ$21,MATCH(P$9,角色设定!$AB$9:$AJ$9,0),0)*VLOOKUP($J23,角色成长!$D$17:$J$117,MATCH(P$9,角色成长!$D$17:$J$17,0),0),"")</f>
        <v>1.5</v>
      </c>
      <c r="Q23" s="1">
        <f>IFERROR(VLOOKUP($G23,角色设定!$AB$9:$AJ$21,MATCH(Q$9,角色设定!$AB$9:$AJ$9,0),0)*VLOOKUP($J23,角色成长!$D$17:$J$117,MATCH(Q$9,角色成长!$D$17:$J$17,0),0),"")</f>
        <v>0.9</v>
      </c>
      <c r="R23" s="1">
        <f>IFERROR(VLOOKUP($G23,角色设定!$AB$9:$AJ$21,MATCH(R$9,角色设定!$AB$9:$AJ$9,0),0),"")</f>
        <v>0.75</v>
      </c>
      <c r="S23" s="1">
        <f>IFERROR(VLOOKUP($G23,角色技能!$D:$M,MATCH(S$9,角色技能!$D$4:$M$4,0),0)*(1-$S$19),"")</f>
        <v>10</v>
      </c>
      <c r="T23" s="1">
        <f>IFERROR(VLOOKUP($G23,角色技能!$D:$M,MATCH(T$9,角色技能!$D$4:$M$4,0),0)*(1-$T$19),"")</f>
        <v>5</v>
      </c>
      <c r="U23" s="6">
        <f>IFERROR(VLOOKUP($G23,角色技能!$D:$M,MATCH(U$9,角色技能!$D$4:$M$4,0),0)*(1+$K23/100*(VLOOKUP($H23,技能模板!$D$13:$U$19,MATCH(技能模板!R$13,技能模板!$D$13:$U$13,0),0)-1)),"")</f>
        <v>3.7199999999999998</v>
      </c>
      <c r="V23" s="6">
        <f>IFERROR(VLOOKUP($G23,角色技能!$D:$M,MATCH(V$9,角色技能!$D$4:$M$4,0),0)*(1+$K23/100*(VLOOKUP($H23,技能模板!$D$13:$U$19,MATCH(技能模板!S$13,技能模板!$D$13:$U$13,0),0)-1)),"")</f>
        <v>0</v>
      </c>
      <c r="W23" s="6">
        <f>IFERROR(VLOOKUP($G23,角色技能!$D:$M,MATCH(W$9,角色技能!$D$4:$M$4,0),0)*(1+$K23/100*(VLOOKUP($H23,技能模板!$D$13:$U$19,MATCH(技能模板!T$13,技能模板!$D$13:$U$13,0),0)-1)),"")</f>
        <v>0.97587692307692286</v>
      </c>
      <c r="X23" s="59">
        <f>IFERROR(VLOOKUP($G23,角色技能!$D:$M,MATCH(X$9,角色技能!$D$4:$M$4,0),0)*(1+$K23/100*(VLOOKUP($H23,技能模板!$D$13:$U$19,MATCH(技能模板!U$13,技能模板!$D$13:$U$13,0),0)-1)),"")</f>
        <v>0</v>
      </c>
      <c r="Y23" s="51"/>
    </row>
    <row r="24" spans="1:25" ht="14.25" customHeight="1" x14ac:dyDescent="0.2">
      <c r="C24" s="49"/>
      <c r="D24" s="58">
        <f t="shared" si="4"/>
        <v>1</v>
      </c>
      <c r="E24" s="1">
        <f t="shared" si="5"/>
        <v>6</v>
      </c>
      <c r="F24" s="1">
        <f t="shared" si="6"/>
        <v>4</v>
      </c>
      <c r="G24" s="1" t="s">
        <v>262</v>
      </c>
      <c r="H24" s="1" t="str">
        <f>IFERROR(VLOOKUP($G24,角色设定!$R:$S,2,0),"")</f>
        <v>魔法</v>
      </c>
      <c r="I24" s="1" t="str">
        <f>IFERROR(VLOOKUP(H24,角色设定!$D$9:$E$15,2,0),"")</f>
        <v>输出</v>
      </c>
      <c r="J24" s="1">
        <f t="shared" si="7"/>
        <v>50</v>
      </c>
      <c r="K24" s="1">
        <f t="shared" si="7"/>
        <v>40</v>
      </c>
      <c r="L24" s="8">
        <f>IFERROR(VLOOKUP($G24,角色设定!$AB$9:$AJ$21,MATCH(角色成长!$E$17,角色设定!$AB$9:$AJ$9,0),0)*VLOOKUP($J24,角色成长!$D$17:$J$117,MATCH(角色成长!$E$17,角色成长!$D$17:$J$17,0),0)*角色成长!$L$15*R24/Q24/(1+O24*(P24-1)),"")</f>
        <v>11467.399785753685</v>
      </c>
      <c r="M24" s="8">
        <f>IFERROR(VLOOKUP($G24,角色设定!$AB$9:$AJ$21,MATCH(角色成长!$F$17,角色设定!$AB$9:$AJ$9,0),0)*VLOOKUP($J24,角色成长!$D$17:$J$117,MATCH(角色成长!$F$17,角色成长!$D$17:$J$17,0),0)*角色成长!$L$15/(1+N24/角色成长!$N$16),"")</f>
        <v>57682.818321234205</v>
      </c>
      <c r="N24" s="8">
        <f>IFERROR(VLOOKUP($G24,角色设定!$AB$9:$AJ$21,MATCH(N$9,角色设定!$AB$9:$AJ$9,0),0)*VLOOKUP($J24,角色成长!$D$17:$J$117,MATCH(N$9,角色成长!$D$17:$J$17,0),0)*角色成长!$L$15,"")</f>
        <v>8190.9998469669172</v>
      </c>
      <c r="O24" s="1">
        <f>IFERROR(VLOOKUP($G24,角色设定!$AB$9:$AJ$21,MATCH(O$9,角色设定!$AB$9:$AJ$9,0),0)*VLOOKUP($J24,角色成长!$D$17:$J$117,MATCH(O$9,角色成长!$D$17:$J$17,0),0),"")</f>
        <v>0.4</v>
      </c>
      <c r="P24" s="1">
        <f>IFERROR(VLOOKUP($G24,角色设定!$AB$9:$AJ$21,MATCH(P$9,角色设定!$AB$9:$AJ$9,0),0)*VLOOKUP($J24,角色成长!$D$17:$J$117,MATCH(P$9,角色成长!$D$17:$J$17,0),0),"")</f>
        <v>1.5</v>
      </c>
      <c r="Q24" s="1">
        <f>IFERROR(VLOOKUP($G24,角色设定!$AB$9:$AJ$21,MATCH(Q$9,角色设定!$AB$9:$AJ$9,0),0)*VLOOKUP($J24,角色成长!$D$17:$J$117,MATCH(Q$9,角色成长!$D$17:$J$17,0),0),"")</f>
        <v>1</v>
      </c>
      <c r="R24" s="1">
        <f>IFERROR(VLOOKUP($G24,角色设定!$AB$9:$AJ$21,MATCH(R$9,角色设定!$AB$9:$AJ$9,0),0),"")</f>
        <v>0.8</v>
      </c>
      <c r="S24" s="1">
        <f>IFERROR(VLOOKUP($G24,角色技能!$D:$M,MATCH(S$9,角色技能!$D$4:$M$4,0),0)*(1-$S$19),"")</f>
        <v>20</v>
      </c>
      <c r="T24" s="1">
        <f>IFERROR(VLOOKUP($G24,角色技能!$D:$M,MATCH(T$9,角色技能!$D$4:$M$4,0),0)*(1-$T$19),"")</f>
        <v>10</v>
      </c>
      <c r="U24" s="6">
        <f>IFERROR(VLOOKUP($G24,角色技能!$D:$M,MATCH(U$9,角色技能!$D$4:$M$4,0),0)*(1+$K24/100*(VLOOKUP($H24,技能模板!$D$13:$U$19,MATCH(技能模板!R$13,技能模板!$D$13:$U$13,0),0)-1)),"")</f>
        <v>6.3333333333333304</v>
      </c>
      <c r="V24" s="6">
        <f>IFERROR(VLOOKUP($G24,角色技能!$D:$M,MATCH(V$9,角色技能!$D$4:$M$4,0),0)*(1+$K24/100*(VLOOKUP($H24,技能模板!$D$13:$U$19,MATCH(技能模板!S$13,技能模板!$D$13:$U$13,0),0)-1)),"")</f>
        <v>0</v>
      </c>
      <c r="W24" s="6">
        <f>IFERROR(VLOOKUP($G24,角色技能!$D:$M,MATCH(W$9,角色技能!$D$4:$M$4,0),0)*(1+$K24/100*(VLOOKUP($H24,技能模板!$D$13:$U$19,MATCH(技能模板!T$13,技能模板!$D$13:$U$13,0),0)-1)),"")</f>
        <v>0</v>
      </c>
      <c r="X24" s="59">
        <f>IFERROR(VLOOKUP($G24,角色技能!$D:$M,MATCH(X$9,角色技能!$D$4:$M$4,0),0)*(1+$K24/100*(VLOOKUP($H24,技能模板!$D$13:$U$19,MATCH(技能模板!U$13,技能模板!$D$13:$U$13,0),0)-1)),"")</f>
        <v>0</v>
      </c>
      <c r="Y24" s="51"/>
    </row>
    <row r="25" spans="1:25" ht="14.25" customHeight="1" x14ac:dyDescent="0.2">
      <c r="C25" s="49"/>
      <c r="D25" s="58" t="str">
        <f t="shared" si="4"/>
        <v/>
      </c>
      <c r="E25" s="1" t="str">
        <f t="shared" si="5"/>
        <v/>
      </c>
      <c r="F25" s="1" t="str">
        <f t="shared" si="6"/>
        <v/>
      </c>
      <c r="H25" s="1" t="str">
        <f>IFERROR(VLOOKUP($G25,角色设定!$R:$S,2,0),"")</f>
        <v/>
      </c>
      <c r="I25" s="1" t="str">
        <f>IFERROR(VLOOKUP(H25,角色设定!$D$9:$E$15,2,0),"")</f>
        <v/>
      </c>
      <c r="J25" s="1" t="str">
        <f t="shared" si="7"/>
        <v/>
      </c>
      <c r="K25" s="1" t="str">
        <f t="shared" si="7"/>
        <v/>
      </c>
      <c r="L25" s="8" t="str">
        <f>IFERROR(VLOOKUP($G25,角色设定!$AB$9:$AJ$21,MATCH(角色成长!$E$17,角色设定!$AB$9:$AJ$9,0),0)*VLOOKUP($J25,角色成长!$D$17:$J$117,MATCH(角色成长!$E$17,角色成长!$D$17:$J$17,0),0)*角色成长!$L$15*R25/Q25/(1+O25*(P25-1)),"")</f>
        <v/>
      </c>
      <c r="M25" s="8" t="str">
        <f>IFERROR(VLOOKUP($G25,角色设定!$AB$9:$AJ$21,MATCH(角色成长!$F$17,角色设定!$AB$9:$AJ$9,0),0)*VLOOKUP($J25,角色成长!$D$17:$J$117,MATCH(角色成长!$F$17,角色成长!$D$17:$J$17,0),0)*角色成长!$L$15/(1+N25/角色成长!$N$16),"")</f>
        <v/>
      </c>
      <c r="N25" s="8" t="str">
        <f>IFERROR(VLOOKUP($G25,角色设定!$AB$9:$AJ$21,MATCH(N$9,角色设定!$AB$9:$AJ$9,0),0)*VLOOKUP($J25,角色成长!$D$17:$J$117,MATCH(N$9,角色成长!$D$17:$J$17,0),0)*角色成长!$L$15,"")</f>
        <v/>
      </c>
      <c r="O25" s="1" t="str">
        <f>IFERROR(VLOOKUP($G25,角色设定!$AB$9:$AJ$21,MATCH(O$9,角色设定!$AB$9:$AJ$9,0),0)*VLOOKUP($J25,角色成长!$D$17:$J$117,MATCH(O$9,角色成长!$D$17:$J$17,0),0),"")</f>
        <v/>
      </c>
      <c r="P25" s="1" t="str">
        <f>IFERROR(VLOOKUP($G25,角色设定!$AB$9:$AJ$21,MATCH(P$9,角色设定!$AB$9:$AJ$9,0),0)*VLOOKUP($J25,角色成长!$D$17:$J$117,MATCH(P$9,角色成长!$D$17:$J$17,0),0),"")</f>
        <v/>
      </c>
      <c r="Q25" s="1" t="str">
        <f>IFERROR(VLOOKUP($G25,角色设定!$AB$9:$AJ$21,MATCH(Q$9,角色设定!$AB$9:$AJ$9,0),0)*VLOOKUP($J25,角色成长!$D$17:$J$117,MATCH(Q$9,角色成长!$D$17:$J$17,0),0),"")</f>
        <v/>
      </c>
      <c r="R25" s="1" t="str">
        <f>IFERROR(VLOOKUP($G25,角色设定!$AB$9:$AJ$21,MATCH(R$9,角色设定!$AB$9:$AJ$9,0),0),"")</f>
        <v/>
      </c>
      <c r="S25" s="1" t="str">
        <f>IFERROR(VLOOKUP($G25,角色技能!$D:$M,MATCH(S$9,角色技能!$D$4:$M$4,0),0)*(1-$S$19),"")</f>
        <v/>
      </c>
      <c r="T25" s="1" t="str">
        <f>IFERROR(VLOOKUP($G25,角色技能!$D:$M,MATCH(T$9,角色技能!$D$4:$M$4,0),0)*(1-$T$19),"")</f>
        <v/>
      </c>
      <c r="U25" s="6" t="str">
        <f>IFERROR(VLOOKUP($G25,角色技能!$D:$M,MATCH(U$9,角色技能!$D$4:$M$4,0),0)*(1+$K25/100*(VLOOKUP($H25,技能模板!$D$13:$U$19,MATCH(技能模板!R$13,技能模板!$D$13:$U$13,0),0)-1)),"")</f>
        <v/>
      </c>
      <c r="V25" s="6" t="str">
        <f>IFERROR(VLOOKUP($G25,角色技能!$D:$M,MATCH(V$9,角色技能!$D$4:$M$4,0),0)*(1+$K25/100*(VLOOKUP($H25,技能模板!$D$13:$U$19,MATCH(技能模板!S$13,技能模板!$D$13:$U$13,0),0)-1)),"")</f>
        <v/>
      </c>
      <c r="W25" s="6" t="str">
        <f>IFERROR(VLOOKUP($G25,角色技能!$D:$M,MATCH(W$9,角色技能!$D$4:$M$4,0),0)*(1+$K25/100*(VLOOKUP($H25,技能模板!$D$13:$U$19,MATCH(技能模板!T$13,技能模板!$D$13:$U$13,0),0)-1)),"")</f>
        <v/>
      </c>
      <c r="X25" s="59" t="str">
        <f>IFERROR(VLOOKUP($G25,角色技能!$D:$M,MATCH(X$9,角色技能!$D$4:$M$4,0),0)*(1+$K25/100*(VLOOKUP($H25,技能模板!$D$13:$U$19,MATCH(技能模板!U$13,技能模板!$D$13:$U$13,0),0)-1)),"")</f>
        <v/>
      </c>
      <c r="Y25" s="51"/>
    </row>
    <row r="26" spans="1:25" ht="14.25" customHeight="1" x14ac:dyDescent="0.2">
      <c r="C26" s="49"/>
      <c r="D26" s="58">
        <f t="shared" si="4"/>
        <v>3</v>
      </c>
      <c r="E26" s="1">
        <f t="shared" si="5"/>
        <v>6</v>
      </c>
      <c r="F26" s="1">
        <f t="shared" si="6"/>
        <v>6</v>
      </c>
      <c r="G26" s="1" t="s">
        <v>264</v>
      </c>
      <c r="H26" s="1" t="str">
        <f>IFERROR(VLOOKUP($G26,角色设定!$R:$S,2,0),"")</f>
        <v>射击</v>
      </c>
      <c r="I26" s="1" t="str">
        <f>IFERROR(VLOOKUP(H26,角色设定!$D$9:$E$15,2,0),"")</f>
        <v>输出</v>
      </c>
      <c r="J26" s="1">
        <f t="shared" si="7"/>
        <v>50</v>
      </c>
      <c r="K26" s="1">
        <f t="shared" si="7"/>
        <v>40</v>
      </c>
      <c r="L26" s="8">
        <f>IFERROR(VLOOKUP($G26,角色设定!$AB$9:$AJ$21,MATCH(角色成长!$E$17,角色设定!$AB$9:$AJ$9,0),0)*VLOOKUP($J26,角色成长!$D$17:$J$117,MATCH(角色成长!$E$17,角色成长!$D$17:$J$17,0),0)*角色成长!$L$15*R26/Q26/(1+O26*(P26-1)),"")</f>
        <v>9590.916184448537</v>
      </c>
      <c r="M26" s="8">
        <f>IFERROR(VLOOKUP($G26,角色设定!$AB$9:$AJ$21,MATCH(角色成长!$F$17,角色设定!$AB$9:$AJ$9,0),0)*VLOOKUP($J26,角色成长!$D$17:$J$117,MATCH(角色成长!$F$17,角色成长!$D$17:$J$17,0),0)*角色成长!$L$15/(1+N26/角色成长!$N$16),"")</f>
        <v>63090.582538849922</v>
      </c>
      <c r="N26" s="8">
        <f>IFERROR(VLOOKUP($G26,角色设定!$AB$9:$AJ$21,MATCH(N$9,角色设定!$AB$9:$AJ$9,0),0)*VLOOKUP($J26,角色成长!$D$17:$J$117,MATCH(N$9,角色成长!$D$17:$J$17,0),0)*角色成长!$L$15,"")</f>
        <v>8190.9998469669172</v>
      </c>
      <c r="O26" s="1">
        <f>IFERROR(VLOOKUP($G26,角色设定!$AB$9:$AJ$21,MATCH(O$9,角色设定!$AB$9:$AJ$9,0),0)*VLOOKUP($J26,角色成长!$D$17:$J$117,MATCH(O$9,角色成长!$D$17:$J$17,0),0),"")</f>
        <v>0.4</v>
      </c>
      <c r="P26" s="1">
        <f>IFERROR(VLOOKUP($G26,角色设定!$AB$9:$AJ$21,MATCH(P$9,角色设定!$AB$9:$AJ$9,0),0)*VLOOKUP($J26,角色成长!$D$17:$J$117,MATCH(P$9,角色成长!$D$17:$J$17,0),0),"")</f>
        <v>1.5</v>
      </c>
      <c r="Q26" s="1">
        <f>IFERROR(VLOOKUP($G26,角色设定!$AB$9:$AJ$21,MATCH(Q$9,角色设定!$AB$9:$AJ$9,0),0)*VLOOKUP($J26,角色成长!$D$17:$J$117,MATCH(Q$9,角色成长!$D$17:$J$17,0),0),"")</f>
        <v>1.1000000000000001</v>
      </c>
      <c r="R26" s="1">
        <f>IFERROR(VLOOKUP($G26,角色设定!$AB$9:$AJ$21,MATCH(R$9,角色设定!$AB$9:$AJ$9,0),0),"")</f>
        <v>0.80500000000000005</v>
      </c>
      <c r="S26" s="1">
        <f>IFERROR(VLOOKUP($G26,角色技能!$D:$M,MATCH(S$9,角色技能!$D$4:$M$4,0),0)*(1-$S$19),"")</f>
        <v>20</v>
      </c>
      <c r="T26" s="1">
        <f>IFERROR(VLOOKUP($G26,角色技能!$D:$M,MATCH(T$9,角色技能!$D$4:$M$4,0),0)*(1-$T$19),"")</f>
        <v>10</v>
      </c>
      <c r="U26" s="6">
        <f>IFERROR(VLOOKUP($G26,角色技能!$D:$M,MATCH(U$9,角色技能!$D$4:$M$4,0),0)*(1+$K26/100*(VLOOKUP($H26,技能模板!$D$13:$U$19,MATCH(技能模板!R$13,技能模板!$D$13:$U$13,0),0)-1)),"")</f>
        <v>6.765175810182174</v>
      </c>
      <c r="V26" s="6">
        <f>IFERROR(VLOOKUP($G26,角色技能!$D:$M,MATCH(V$9,角色技能!$D$4:$M$4,0),0)*(1+$K26/100*(VLOOKUP($H26,技能模板!$D$13:$U$19,MATCH(技能模板!S$13,技能模板!$D$13:$U$13,0),0)-1)),"")</f>
        <v>0</v>
      </c>
      <c r="W26" s="6">
        <f>IFERROR(VLOOKUP($G26,角色技能!$D:$M,MATCH(W$9,角色技能!$D$4:$M$4,0),0)*(1+$K26/100*(VLOOKUP($H26,技能模板!$D$13:$U$19,MATCH(技能模板!T$13,技能模板!$D$13:$U$13,0),0)-1)),"")</f>
        <v>0</v>
      </c>
      <c r="X26" s="59">
        <f>IFERROR(VLOOKUP($G26,角色技能!$D:$M,MATCH(X$9,角色技能!$D$4:$M$4,0),0)*(1+$K26/100*(VLOOKUP($H26,技能模板!$D$13:$U$19,MATCH(技能模板!U$13,技能模板!$D$13:$U$13,0),0)-1)),"")</f>
        <v>0</v>
      </c>
      <c r="Y26" s="51"/>
    </row>
    <row r="27" spans="1:25" ht="14.25" customHeight="1" x14ac:dyDescent="0.2">
      <c r="C27" s="49"/>
      <c r="D27" s="58" t="str">
        <f t="shared" si="4"/>
        <v/>
      </c>
      <c r="E27" s="1" t="str">
        <f t="shared" si="5"/>
        <v/>
      </c>
      <c r="F27" s="1" t="str">
        <f t="shared" si="6"/>
        <v/>
      </c>
      <c r="H27" s="1" t="str">
        <f>IFERROR(VLOOKUP($G27,角色设定!$R:$S,2,0),"")</f>
        <v/>
      </c>
      <c r="I27" s="1" t="str">
        <f>IFERROR(VLOOKUP(H27,角色设定!$D$9:$E$15,2,0),"")</f>
        <v/>
      </c>
      <c r="J27" s="1" t="str">
        <f t="shared" si="7"/>
        <v/>
      </c>
      <c r="K27" s="1" t="str">
        <f t="shared" si="7"/>
        <v/>
      </c>
      <c r="L27" s="8" t="str">
        <f>IFERROR(VLOOKUP($G27,角色设定!$AB$9:$AJ$21,MATCH(角色成长!$E$17,角色设定!$AB$9:$AJ$9,0),0)*VLOOKUP($J27,角色成长!$D$17:$J$117,MATCH(角色成长!$E$17,角色成长!$D$17:$J$17,0),0)*角色成长!$L$15*R27/Q27/(1+O27*(P27-1)),"")</f>
        <v/>
      </c>
      <c r="M27" s="8" t="str">
        <f>IFERROR(VLOOKUP($G27,角色设定!$AB$9:$AJ$21,MATCH(角色成长!$F$17,角色设定!$AB$9:$AJ$9,0),0)*VLOOKUP($J27,角色成长!$D$17:$J$117,MATCH(角色成长!$F$17,角色成长!$D$17:$J$17,0),0)*角色成长!$L$15/(1+N27/角色成长!$N$16),"")</f>
        <v/>
      </c>
      <c r="N27" s="8" t="str">
        <f>IFERROR(VLOOKUP($G27,角色设定!$AB$9:$AJ$21,MATCH(N$9,角色设定!$AB$9:$AJ$9,0),0)*VLOOKUP($J27,角色成长!$D$17:$J$117,MATCH(N$9,角色成长!$D$17:$J$17,0),0)*角色成长!$L$15,"")</f>
        <v/>
      </c>
      <c r="O27" s="1" t="str">
        <f>IFERROR(VLOOKUP($G27,角色设定!$AB$9:$AJ$21,MATCH(O$9,角色设定!$AB$9:$AJ$9,0),0)*VLOOKUP($J27,角色成长!$D$17:$J$117,MATCH(O$9,角色成长!$D$17:$J$17,0),0),"")</f>
        <v/>
      </c>
      <c r="P27" s="1" t="str">
        <f>IFERROR(VLOOKUP($G27,角色设定!$AB$9:$AJ$21,MATCH(P$9,角色设定!$AB$9:$AJ$9,0),0)*VLOOKUP($J27,角色成长!$D$17:$J$117,MATCH(P$9,角色成长!$D$17:$J$17,0),0),"")</f>
        <v/>
      </c>
      <c r="Q27" s="1" t="str">
        <f>IFERROR(VLOOKUP($G27,角色设定!$AB$9:$AJ$21,MATCH(Q$9,角色设定!$AB$9:$AJ$9,0),0)*VLOOKUP($J27,角色成长!$D$17:$J$117,MATCH(Q$9,角色成长!$D$17:$J$17,0),0),"")</f>
        <v/>
      </c>
      <c r="R27" s="1" t="str">
        <f>IFERROR(VLOOKUP($G27,角色设定!$AB$9:$AJ$21,MATCH(R$9,角色设定!$AB$9:$AJ$9,0),0),"")</f>
        <v/>
      </c>
      <c r="S27" s="1" t="str">
        <f>IFERROR(VLOOKUP($G27,角色技能!$D:$M,MATCH(S$9,角色技能!$D$4:$M$4,0),0)*(1-$S$19),"")</f>
        <v/>
      </c>
      <c r="T27" s="1" t="str">
        <f>IFERROR(VLOOKUP($G27,角色技能!$D:$M,MATCH(T$9,角色技能!$D$4:$M$4,0),0)*(1-$T$19),"")</f>
        <v/>
      </c>
      <c r="U27" s="6" t="str">
        <f>IFERROR(VLOOKUP($G27,角色技能!$D:$M,MATCH(U$9,角色技能!$D$4:$M$4,0),0)*(1+$K27/100*(VLOOKUP($H27,技能模板!$D$13:$U$19,MATCH(技能模板!R$13,技能模板!$D$13:$U$13,0),0)-1)),"")</f>
        <v/>
      </c>
      <c r="V27" s="6" t="str">
        <f>IFERROR(VLOOKUP($G27,角色技能!$D:$M,MATCH(V$9,角色技能!$D$4:$M$4,0),0)*(1+$K27/100*(VLOOKUP($H27,技能模板!$D$13:$U$19,MATCH(技能模板!S$13,技能模板!$D$13:$U$13,0),0)-1)),"")</f>
        <v/>
      </c>
      <c r="W27" s="6" t="str">
        <f>IFERROR(VLOOKUP($G27,角色技能!$D:$M,MATCH(W$9,角色技能!$D$4:$M$4,0),0)*(1+$K27/100*(VLOOKUP($H27,技能模板!$D$13:$U$19,MATCH(技能模板!T$13,技能模板!$D$13:$U$13,0),0)-1)),"")</f>
        <v/>
      </c>
      <c r="X27" s="59" t="str">
        <f>IFERROR(VLOOKUP($G27,角色技能!$D:$M,MATCH(X$9,角色技能!$D$4:$M$4,0),0)*(1+$K27/100*(VLOOKUP($H27,技能模板!$D$13:$U$19,MATCH(技能模板!U$13,技能模板!$D$13:$U$13,0),0)-1)),"")</f>
        <v/>
      </c>
      <c r="Y27" s="51"/>
    </row>
    <row r="28" spans="1:25" ht="14.25" customHeight="1" x14ac:dyDescent="0.2">
      <c r="C28" s="49"/>
      <c r="D28" s="58">
        <f t="shared" si="4"/>
        <v>2</v>
      </c>
      <c r="E28" s="1">
        <f t="shared" si="5"/>
        <v>7</v>
      </c>
      <c r="F28" s="1">
        <f t="shared" si="6"/>
        <v>8</v>
      </c>
      <c r="G28" s="1" t="s">
        <v>268</v>
      </c>
      <c r="H28" s="1" t="str">
        <f>IFERROR(VLOOKUP($G28,角色设定!$R:$S,2,0),"")</f>
        <v>恢复</v>
      </c>
      <c r="I28" s="1" t="str">
        <f>IFERROR(VLOOKUP(H28,角色设定!$D$9:$E$15,2,0),"")</f>
        <v>治疗</v>
      </c>
      <c r="J28" s="1">
        <f t="shared" si="7"/>
        <v>50</v>
      </c>
      <c r="K28" s="1">
        <f t="shared" si="7"/>
        <v>40</v>
      </c>
      <c r="L28" s="8">
        <f>IFERROR(VLOOKUP($G28,角色设定!$AB$9:$AJ$21,MATCH(角色成长!$E$17,角色设定!$AB$9:$AJ$9,0),0)*VLOOKUP($J28,角色成长!$D$17:$J$117,MATCH(角色成长!$E$17,角色成长!$D$17:$J$17,0),0)*角色成长!$L$15*R28/Q28/(1+O28*(P28-1)),"")</f>
        <v>4357.6119185864018</v>
      </c>
      <c r="M28" s="8">
        <f>IFERROR(VLOOKUP($G28,角色设定!$AB$9:$AJ$21,MATCH(角色成长!$F$17,角色设定!$AB$9:$AJ$9,0),0)*VLOOKUP($J28,角色成长!$D$17:$J$117,MATCH(角色成长!$F$17,角色成长!$D$17:$J$17,0),0)*角色成长!$L$15/(1+N28/角色成长!$N$16),"")</f>
        <v>80465.608783089367</v>
      </c>
      <c r="N28" s="8">
        <f>IFERROR(VLOOKUP($G28,角色设定!$AB$9:$AJ$21,MATCH(N$9,角色设定!$AB$9:$AJ$9,0),0)*VLOOKUP($J28,角色成长!$D$17:$J$117,MATCH(N$9,角色成长!$D$17:$J$17,0),0)*角色成长!$L$15,"")</f>
        <v>13105.599755147066</v>
      </c>
      <c r="O28" s="1">
        <f>IFERROR(VLOOKUP($G28,角色设定!$AB$9:$AJ$21,MATCH(O$9,角色设定!$AB$9:$AJ$9,0),0)*VLOOKUP($J28,角色成长!$D$17:$J$117,MATCH(O$9,角色成长!$D$17:$J$17,0),0),"")</f>
        <v>0.4</v>
      </c>
      <c r="P28" s="1">
        <f>IFERROR(VLOOKUP($G28,角色设定!$AB$9:$AJ$21,MATCH(P$9,角色设定!$AB$9:$AJ$9,0),0)*VLOOKUP($J28,角色成长!$D$17:$J$117,MATCH(P$9,角色成长!$D$17:$J$17,0),0),"")</f>
        <v>1.5</v>
      </c>
      <c r="Q28" s="1">
        <f>IFERROR(VLOOKUP($G28,角色设定!$AB$9:$AJ$21,MATCH(Q$9,角色设定!$AB$9:$AJ$9,0),0)*VLOOKUP($J28,角色成长!$D$17:$J$117,MATCH(Q$9,角色成长!$D$17:$J$17,0),0),"")</f>
        <v>0.9</v>
      </c>
      <c r="R28" s="1">
        <f>IFERROR(VLOOKUP($G28,角色设定!$AB$9:$AJ$21,MATCH(R$9,角色设定!$AB$9:$AJ$9,0),0),"")</f>
        <v>0.79800000000000004</v>
      </c>
      <c r="S28" s="1">
        <f>IFERROR(VLOOKUP($G28,角色技能!$D:$M,MATCH(S$9,角色技能!$D$4:$M$4,0),0)*(1-$S$19),"")</f>
        <v>10</v>
      </c>
      <c r="T28" s="1">
        <f>IFERROR(VLOOKUP($G28,角色技能!$D:$M,MATCH(T$9,角色技能!$D$4:$M$4,0),0)*(1-$T$19),"")</f>
        <v>5</v>
      </c>
      <c r="U28" s="6">
        <f>IFERROR(VLOOKUP($G28,角色技能!$D:$M,MATCH(U$9,角色技能!$D$4:$M$4,0),0)*(1+$K28/100*(VLOOKUP($H28,技能模板!$D$13:$U$19,MATCH(技能模板!R$13,技能模板!$D$13:$U$13,0),0)-1)),"")</f>
        <v>2.8831871692542497</v>
      </c>
      <c r="V28" s="6">
        <f>IFERROR(VLOOKUP($G28,角色技能!$D:$M,MATCH(V$9,角色技能!$D$4:$M$4,0),0)*(1+$K28/100*(VLOOKUP($H28,技能模板!$D$13:$U$19,MATCH(技能模板!S$13,技能模板!$D$13:$U$13,0),0)-1)),"")</f>
        <v>0</v>
      </c>
      <c r="W28" s="6">
        <f>IFERROR(VLOOKUP($G28,角色技能!$D:$M,MATCH(W$9,角色技能!$D$4:$M$4,0),0)*(1+$K28/100*(VLOOKUP($H28,技能模板!$D$13:$U$19,MATCH(技能模板!T$13,技能模板!$D$13:$U$13,0),0)-1)),"")</f>
        <v>0</v>
      </c>
      <c r="X28" s="59">
        <f>IFERROR(VLOOKUP($G28,角色技能!$D:$M,MATCH(X$9,角色技能!$D$4:$M$4,0),0)*(1+$K28/100*(VLOOKUP($H28,技能模板!$D$13:$U$19,MATCH(技能模板!U$13,技能模板!$D$13:$U$13,0),0)-1)),"")</f>
        <v>1.103589319113375</v>
      </c>
      <c r="Y28" s="51"/>
    </row>
    <row r="29" spans="1:25" ht="14.25" customHeight="1" thickBot="1" x14ac:dyDescent="0.25">
      <c r="C29" s="49"/>
      <c r="D29" s="60" t="str">
        <f t="shared" si="4"/>
        <v/>
      </c>
      <c r="E29" s="61" t="str">
        <f t="shared" si="5"/>
        <v/>
      </c>
      <c r="F29" s="61" t="str">
        <f t="shared" si="6"/>
        <v/>
      </c>
      <c r="G29" s="61"/>
      <c r="H29" s="61" t="str">
        <f>IFERROR(VLOOKUP($G29,角色设定!$R:$S,2,0),"")</f>
        <v/>
      </c>
      <c r="I29" s="61" t="str">
        <f>IFERROR(VLOOKUP(H29,角色设定!$D$9:$E$15,2,0),"")</f>
        <v/>
      </c>
      <c r="J29" s="61" t="str">
        <f t="shared" si="7"/>
        <v/>
      </c>
      <c r="K29" s="61" t="str">
        <f t="shared" si="7"/>
        <v/>
      </c>
      <c r="L29" s="62" t="str">
        <f>IFERROR(VLOOKUP($G29,角色设定!$AB$9:$AJ$21,MATCH(角色成长!$E$17,角色设定!$AB$9:$AJ$9,0),0)*VLOOKUP($J29,角色成长!$D$17:$J$117,MATCH(角色成长!$E$17,角色成长!$D$17:$J$17,0),0)*角色成长!$L$15*R29/Q29/(1+O29*(P29-1)),"")</f>
        <v/>
      </c>
      <c r="M29" s="62" t="str">
        <f>IFERROR(VLOOKUP($G29,角色设定!$AB$9:$AJ$21,MATCH(角色成长!$F$17,角色设定!$AB$9:$AJ$9,0),0)*VLOOKUP($J29,角色成长!$D$17:$J$117,MATCH(角色成长!$F$17,角色成长!$D$17:$J$17,0),0)*角色成长!$L$15/(1+N29/角色成长!$N$16),"")</f>
        <v/>
      </c>
      <c r="N29" s="62" t="str">
        <f>IFERROR(VLOOKUP($G29,角色设定!$AB$9:$AJ$21,MATCH(N$9,角色设定!$AB$9:$AJ$9,0),0)*VLOOKUP($J29,角色成长!$D$17:$J$117,MATCH(N$9,角色成长!$D$17:$J$17,0),0)*角色成长!$L$15,"")</f>
        <v/>
      </c>
      <c r="O29" s="61" t="str">
        <f>IFERROR(VLOOKUP($G29,角色设定!$AB$9:$AJ$21,MATCH(O$9,角色设定!$AB$9:$AJ$9,0),0)*VLOOKUP($J29,角色成长!$D$17:$J$117,MATCH(O$9,角色成长!$D$17:$J$17,0),0),"")</f>
        <v/>
      </c>
      <c r="P29" s="61" t="str">
        <f>IFERROR(VLOOKUP($G29,角色设定!$AB$9:$AJ$21,MATCH(P$9,角色设定!$AB$9:$AJ$9,0),0)*VLOOKUP($J29,角色成长!$D$17:$J$117,MATCH(P$9,角色成长!$D$17:$J$17,0),0),"")</f>
        <v/>
      </c>
      <c r="Q29" s="61" t="str">
        <f>IFERROR(VLOOKUP($G29,角色设定!$AB$9:$AJ$21,MATCH(Q$9,角色设定!$AB$9:$AJ$9,0),0)*VLOOKUP($J29,角色成长!$D$17:$J$117,MATCH(Q$9,角色成长!$D$17:$J$17,0),0),"")</f>
        <v/>
      </c>
      <c r="R29" s="61" t="str">
        <f>IFERROR(VLOOKUP($G29,角色设定!$AB$9:$AJ$21,MATCH(R$9,角色设定!$AB$9:$AJ$9,0),0),"")</f>
        <v/>
      </c>
      <c r="S29" s="61" t="str">
        <f>IFERROR(VLOOKUP($G29,角色技能!$D:$M,MATCH(S$9,角色技能!$D$4:$M$4,0),0)*(1-$S$19),"")</f>
        <v/>
      </c>
      <c r="T29" s="61" t="str">
        <f>IFERROR(VLOOKUP($G29,角色技能!$D:$M,MATCH(T$9,角色技能!$D$4:$M$4,0),0),"")</f>
        <v/>
      </c>
      <c r="U29" s="63" t="str">
        <f>IFERROR(VLOOKUP($G29,角色技能!$D:$M,MATCH(U$9,角色技能!$D$4:$M$4,0),0)*(1+$K29/100*(VLOOKUP($H29,技能模板!$D$13:$U$19,MATCH(技能模板!R$13,技能模板!$D$13:$U$13,0),0)-1)),"")</f>
        <v/>
      </c>
      <c r="V29" s="63" t="str">
        <f>IFERROR(VLOOKUP($G29,角色技能!$D:$M,MATCH(V$9,角色技能!$D$4:$M$4,0),0)*(1+$K29/100*(VLOOKUP($H29,技能模板!$D$13:$U$19,MATCH(技能模板!S$13,技能模板!$D$13:$U$13,0),0)-1)),"")</f>
        <v/>
      </c>
      <c r="W29" s="63" t="str">
        <f>IFERROR(VLOOKUP($G29,角色技能!$D:$M,MATCH(W$9,角色技能!$D$4:$M$4,0),0)*(1+$K29/100*(VLOOKUP($H29,技能模板!$D$13:$U$19,MATCH(技能模板!T$13,技能模板!$D$13:$U$13,0),0)-1)),"")</f>
        <v/>
      </c>
      <c r="X29" s="64" t="str">
        <f>IFERROR(VLOOKUP($G29,角色技能!$D:$M,MATCH(X$9,角色技能!$D$4:$M$4,0),0)*(1+$K29/100*(VLOOKUP($H29,技能模板!$D$13:$U$19,MATCH(技能模板!U$13,技能模板!$D$13:$U$13,0),0)-1)),"")</f>
        <v/>
      </c>
      <c r="Y29" s="51"/>
    </row>
    <row r="30" spans="1:25" ht="14.25" customHeight="1" x14ac:dyDescent="0.2"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</row>
    <row r="31" spans="1:25" ht="14.25" customHeight="1" x14ac:dyDescent="0.2">
      <c r="D31" s="2"/>
    </row>
    <row r="32" spans="1:25" ht="14.25" customHeight="1" x14ac:dyDescent="0.2">
      <c r="D32" s="2"/>
    </row>
    <row r="33" spans="1:25" ht="14.25" customHeight="1" x14ac:dyDescent="0.2">
      <c r="D33" s="72" t="s">
        <v>276</v>
      </c>
      <c r="G33" s="1">
        <v>1000</v>
      </c>
      <c r="J33" s="72" t="s">
        <v>277</v>
      </c>
    </row>
    <row r="34" spans="1:25" ht="14.25" customHeight="1" x14ac:dyDescent="0.2">
      <c r="D34" s="5">
        <f>D35/G33</f>
        <v>0.60699999999999998</v>
      </c>
      <c r="G34" s="5">
        <f>G35/$G$1</f>
        <v>0</v>
      </c>
      <c r="J34" s="5">
        <f>J35/G33</f>
        <v>0.39300000000000002</v>
      </c>
    </row>
    <row r="35" spans="1:25" ht="14.25" customHeight="1" thickBot="1" x14ac:dyDescent="0.25">
      <c r="C35" s="3" t="s">
        <v>275</v>
      </c>
      <c r="D35" s="73">
        <v>607</v>
      </c>
      <c r="E35" s="73"/>
      <c r="F35" s="73">
        <v>20</v>
      </c>
      <c r="G35" s="1">
        <v>0</v>
      </c>
      <c r="H35" s="73">
        <f>G33-D35-G35-J35</f>
        <v>0</v>
      </c>
      <c r="I35" s="73"/>
      <c r="J35" s="73">
        <v>393</v>
      </c>
      <c r="M35" s="1" t="s">
        <v>253</v>
      </c>
    </row>
    <row r="36" spans="1:25" ht="14.25" customHeight="1" x14ac:dyDescent="0.2">
      <c r="D36" s="103" t="s">
        <v>254</v>
      </c>
      <c r="E36" s="104"/>
      <c r="F36" s="105"/>
      <c r="G36" s="77"/>
      <c r="H36" s="103" t="s">
        <v>255</v>
      </c>
      <c r="I36" s="104"/>
      <c r="J36" s="105"/>
    </row>
    <row r="37" spans="1:25" ht="14.25" customHeight="1" x14ac:dyDescent="0.2">
      <c r="D37" s="58">
        <v>7</v>
      </c>
      <c r="E37" s="1">
        <v>4</v>
      </c>
      <c r="F37" s="69">
        <v>1</v>
      </c>
      <c r="G37" s="77"/>
      <c r="H37" s="58">
        <v>1</v>
      </c>
      <c r="I37" s="1">
        <v>4</v>
      </c>
      <c r="J37" s="69">
        <v>7</v>
      </c>
    </row>
    <row r="38" spans="1:25" ht="14.25" customHeight="1" x14ac:dyDescent="0.2">
      <c r="D38" s="58">
        <v>8</v>
      </c>
      <c r="E38" s="1">
        <v>5</v>
      </c>
      <c r="F38" s="69">
        <v>2</v>
      </c>
      <c r="G38" s="77"/>
      <c r="H38" s="58">
        <v>2</v>
      </c>
      <c r="I38" s="1">
        <v>5</v>
      </c>
      <c r="J38" s="69">
        <v>8</v>
      </c>
    </row>
    <row r="39" spans="1:25" ht="14.25" customHeight="1" thickBot="1" x14ac:dyDescent="0.25">
      <c r="D39" s="60">
        <v>9</v>
      </c>
      <c r="E39" s="61">
        <v>6</v>
      </c>
      <c r="F39" s="70">
        <v>3</v>
      </c>
      <c r="G39" s="77"/>
      <c r="H39" s="60">
        <v>3</v>
      </c>
      <c r="I39" s="61">
        <v>6</v>
      </c>
      <c r="J39" s="70">
        <v>9</v>
      </c>
    </row>
    <row r="40" spans="1:25" ht="14.25" customHeight="1" thickBot="1" x14ac:dyDescent="0.25">
      <c r="D40" s="68">
        <v>1</v>
      </c>
      <c r="E40" s="68">
        <v>2</v>
      </c>
      <c r="F40" s="68">
        <v>3</v>
      </c>
      <c r="G40" s="52">
        <v>4</v>
      </c>
      <c r="H40" s="68">
        <v>5</v>
      </c>
      <c r="I40" s="68">
        <v>6</v>
      </c>
      <c r="J40" s="65">
        <v>50</v>
      </c>
      <c r="K40" s="53">
        <v>10</v>
      </c>
      <c r="L40" s="52">
        <v>9</v>
      </c>
      <c r="M40" s="52">
        <v>10</v>
      </c>
      <c r="N40" s="52">
        <v>11</v>
      </c>
      <c r="O40" s="52">
        <v>12</v>
      </c>
      <c r="P40" s="52">
        <v>13</v>
      </c>
      <c r="Q40" s="52">
        <v>14</v>
      </c>
      <c r="R40" s="52">
        <v>15</v>
      </c>
      <c r="S40" s="52">
        <v>16</v>
      </c>
      <c r="T40" s="52">
        <v>17</v>
      </c>
      <c r="U40" s="52">
        <v>18</v>
      </c>
      <c r="V40" s="73" t="s">
        <v>250</v>
      </c>
      <c r="W40" s="73" t="s">
        <v>251</v>
      </c>
      <c r="X40" s="73" t="s">
        <v>252</v>
      </c>
    </row>
    <row r="41" spans="1:25" ht="14.25" customHeight="1" x14ac:dyDescent="0.2">
      <c r="A41" s="4">
        <f>B41/(SUM(M42:M50)*$G$1)</f>
        <v>0.27507008000981242</v>
      </c>
      <c r="B41" s="6">
        <v>124817416.21773514</v>
      </c>
      <c r="C41" s="76">
        <f>ROW(D42)</f>
        <v>42</v>
      </c>
      <c r="D41" s="54" t="s">
        <v>256</v>
      </c>
      <c r="E41" s="55" t="s">
        <v>257</v>
      </c>
      <c r="F41" s="55" t="s">
        <v>235</v>
      </c>
      <c r="G41" s="56" t="s">
        <v>157</v>
      </c>
      <c r="H41" s="55" t="s">
        <v>92</v>
      </c>
      <c r="I41" s="55" t="s">
        <v>93</v>
      </c>
      <c r="J41" s="56" t="s">
        <v>244</v>
      </c>
      <c r="K41" s="56" t="s">
        <v>245</v>
      </c>
      <c r="L41" s="55" t="s">
        <v>34</v>
      </c>
      <c r="M41" s="55" t="s">
        <v>36</v>
      </c>
      <c r="N41" s="55" t="s">
        <v>35</v>
      </c>
      <c r="O41" s="55" t="s">
        <v>146</v>
      </c>
      <c r="P41" s="55" t="s">
        <v>147</v>
      </c>
      <c r="Q41" s="55" t="s">
        <v>148</v>
      </c>
      <c r="R41" s="55" t="s">
        <v>176</v>
      </c>
      <c r="S41" s="55" t="s">
        <v>206</v>
      </c>
      <c r="T41" s="55" t="s">
        <v>274</v>
      </c>
      <c r="U41" s="55" t="s">
        <v>207</v>
      </c>
      <c r="V41" s="55" t="s">
        <v>208</v>
      </c>
      <c r="W41" s="55" t="s">
        <v>210</v>
      </c>
      <c r="X41" s="57" t="s">
        <v>242</v>
      </c>
      <c r="Y41" s="78"/>
    </row>
    <row r="42" spans="1:25" ht="14.25" customHeight="1" x14ac:dyDescent="0.2">
      <c r="C42" s="76">
        <f>COLUMN(D42)</f>
        <v>4</v>
      </c>
      <c r="D42" s="58">
        <f>IFERROR(MOD(F42+3-1,3)+1,"")</f>
        <v>1</v>
      </c>
      <c r="E42" s="1">
        <f>IFERROR(ABS(INT((F42-7)/3))+1,"")</f>
        <v>3</v>
      </c>
      <c r="F42" s="1">
        <f>IF(G42="","",ROW(G42)-$C$41+1)</f>
        <v>1</v>
      </c>
      <c r="G42" s="1" t="s">
        <v>289</v>
      </c>
      <c r="H42" s="1" t="str">
        <f>IFERROR(VLOOKUP($G42,角色设定!$R:$S,2,0),"")</f>
        <v>防御</v>
      </c>
      <c r="I42" s="1" t="str">
        <f>IFERROR(VLOOKUP(H42,角色设定!$D$9:$E$15,2,0),"")</f>
        <v>坦克</v>
      </c>
      <c r="J42" s="1">
        <f>IF($G42="","",J$40)</f>
        <v>50</v>
      </c>
      <c r="K42" s="1">
        <f>IF($G42="","",K$40)</f>
        <v>10</v>
      </c>
      <c r="L42" s="8">
        <f>IFERROR(VLOOKUP($G42,角色设定!$AB$9:$AJ$21,MATCH(角色成长!$E$17,角色设定!$AB$9:$AJ$9,0),0)*VLOOKUP($J42,角色成长!$D$17:$J$117,MATCH(角色成长!$E$17,角色成长!$D$17:$J$17,0),0)*角色成长!$L$15*R42/Q42/(1+O42*(P42-1)),"")</f>
        <v>5119.374904354323</v>
      </c>
      <c r="M42" s="8">
        <f>IFERROR(VLOOKUP($G42,角色设定!$AB$9:$AJ$21,MATCH(角色成长!$F$17,角色设定!$AB$9:$AJ$9,0),0)*VLOOKUP($J42,角色成长!$D$17:$J$117,MATCH(角色成长!$F$17,角色成长!$D$17:$J$17,0),0)*角色成长!$L$15/(1+N42/角色成长!$N$16),"")</f>
        <v>129134.98620806873</v>
      </c>
      <c r="N42" s="8">
        <f>IFERROR(VLOOKUP($G42,角色设定!$AB$9:$AJ$21,MATCH(N$9,角色设定!$AB$9:$AJ$9,0),0)*VLOOKUP($J42,角色成长!$D$17:$J$117,MATCH(N$9,角色成长!$D$17:$J$17,0),0)*角色成长!$L$15,"")</f>
        <v>40954.999234834577</v>
      </c>
      <c r="O42" s="1">
        <f>IFERROR(VLOOKUP($G42,角色设定!$AB$9:$AJ$21,MATCH(O$9,角色设定!$AB$9:$AJ$9,0),0)*VLOOKUP($J42,角色成长!$D$17:$J$117,MATCH(O$9,角色成长!$D$17:$J$17,0),0),"")</f>
        <v>0.4</v>
      </c>
      <c r="P42" s="1">
        <f>IFERROR(VLOOKUP($G42,角色设定!$AB$9:$AJ$21,MATCH(P$9,角色设定!$AB$9:$AJ$9,0),0)*VLOOKUP($J42,角色成长!$D$17:$J$117,MATCH(P$9,角色成长!$D$17:$J$17,0),0),"")</f>
        <v>1.5</v>
      </c>
      <c r="Q42" s="1">
        <f>IFERROR(VLOOKUP($G42,角色设定!$AB$9:$AJ$21,MATCH(Q$9,角色设定!$AB$9:$AJ$9,0),0)*VLOOKUP($J42,角色成长!$D$17:$J$117,MATCH(Q$9,角色成长!$D$17:$J$17,0),0),"")</f>
        <v>0.9</v>
      </c>
      <c r="R42" s="1">
        <f>IFERROR(VLOOKUP($G42,角色设定!$AB$9:$AJ$21,MATCH(R$9,角色设定!$AB$9:$AJ$9,0),0),"")</f>
        <v>0.75</v>
      </c>
      <c r="S42" s="1">
        <f>IFERROR(VLOOKUP($G42,角色技能!$D:$M,MATCH(S$9,角色技能!$D$4:$M$4,0),0),"")</f>
        <v>10</v>
      </c>
      <c r="T42" s="1">
        <f>IFERROR(VLOOKUP($G42,角色技能!$D:$M,MATCH(T$9,角色技能!$D$4:$M$4,0),0),"")</f>
        <v>5</v>
      </c>
      <c r="U42" s="6">
        <f>IFERROR(VLOOKUP($G42,角色技能!$D:$M,MATCH(U$9,角色技能!$D$4:$M$4,0),0)*(1+$K42/100*(VLOOKUP($H42,技能模板!$D$13:$U$19,MATCH(技能模板!R$13,技能模板!$D$13:$U$13,0),0)-1)),"")</f>
        <v>3.18</v>
      </c>
      <c r="V42" s="6">
        <f>IFERROR(VLOOKUP($G42,角色技能!$D:$M,MATCH(V$9,角色技能!$D$4:$M$4,0),0)*(1+$K42/100*(VLOOKUP($H42,技能模板!$D$13:$U$19,MATCH(技能模板!S$13,技能模板!$D$13:$U$13,0),0)-1)),"")</f>
        <v>0</v>
      </c>
      <c r="W42" s="6">
        <f>IFERROR(VLOOKUP($G42,角色技能!$D:$M,MATCH(W$9,角色技能!$D$4:$M$4,0),0)*(1+$K42/100*(VLOOKUP($H42,技能模板!$D$13:$U$19,MATCH(技能模板!T$13,技能模板!$D$13:$U$13,0),0)-1)),"")</f>
        <v>0.91896923076923065</v>
      </c>
      <c r="X42" s="59">
        <f>IFERROR(VLOOKUP($G42,角色技能!$D:$M,MATCH(X$9,角色技能!$D$4:$M$4,0),0)*(1+$K42/100*(VLOOKUP($H42,技能模板!$D$13:$U$19,MATCH(技能模板!U$13,技能模板!$D$13:$U$13,0),0)-1)),"")</f>
        <v>0</v>
      </c>
      <c r="Y42" s="78"/>
    </row>
    <row r="43" spans="1:25" ht="14.25" customHeight="1" x14ac:dyDescent="0.2">
      <c r="C43" s="76">
        <f>ROW(X50)</f>
        <v>50</v>
      </c>
      <c r="D43" s="58" t="str">
        <f t="shared" ref="D43:D50" si="8">IFERROR(MOD(F43+3-1,3)+1,"")</f>
        <v/>
      </c>
      <c r="E43" s="1" t="str">
        <f t="shared" ref="E43:E50" si="9">IFERROR(ABS(INT((F43-7)/3))+1,"")</f>
        <v/>
      </c>
      <c r="F43" s="1" t="str">
        <f t="shared" ref="F43:F50" si="10">IF(G43="","",ROW(G43)-$C$41+1)</f>
        <v/>
      </c>
      <c r="H43" s="1" t="str">
        <f>IFERROR(VLOOKUP($G43,角色设定!$R:$S,2,0),"")</f>
        <v/>
      </c>
      <c r="I43" s="1" t="str">
        <f>IFERROR(VLOOKUP(H43,角色设定!$D$9:$E$15,2,0),"")</f>
        <v/>
      </c>
      <c r="J43" s="1" t="str">
        <f t="shared" ref="J43:K49" si="11">IF($G43="","",J$40)</f>
        <v/>
      </c>
      <c r="K43" s="1" t="str">
        <f t="shared" si="11"/>
        <v/>
      </c>
      <c r="L43" s="8" t="str">
        <f>IFERROR(VLOOKUP($G43,角色设定!$AB$9:$AJ$21,MATCH(角色成长!$E$17,角色设定!$AB$9:$AJ$9,0),0)*VLOOKUP($J43,角色成长!$D$17:$J$117,MATCH(角色成长!$E$17,角色成长!$D$17:$J$17,0),0)*角色成长!$L$15*R43/Q43/(1+O43*(P43-1)),"")</f>
        <v/>
      </c>
      <c r="M43" s="8" t="str">
        <f>IFERROR(VLOOKUP($G43,角色设定!$AB$9:$AJ$21,MATCH(角色成长!$F$17,角色设定!$AB$9:$AJ$9,0),0)*VLOOKUP($J43,角色成长!$D$17:$J$117,MATCH(角色成长!$F$17,角色成长!$D$17:$J$17,0),0)*角色成长!$L$15/(1+N43/角色成长!$N$16),"")</f>
        <v/>
      </c>
      <c r="N43" s="8" t="str">
        <f>IFERROR(VLOOKUP($G43,角色设定!$AB$9:$AJ$21,MATCH(N$9,角色设定!$AB$9:$AJ$9,0),0)*VLOOKUP($J43,角色成长!$D$17:$J$117,MATCH(N$9,角色成长!$D$17:$J$17,0),0)*角色成长!$L$15,"")</f>
        <v/>
      </c>
      <c r="O43" s="1" t="str">
        <f>IFERROR(VLOOKUP($G43,角色设定!$AB$9:$AJ$21,MATCH(O$9,角色设定!$AB$9:$AJ$9,0),0)*VLOOKUP($J43,角色成长!$D$17:$J$117,MATCH(O$9,角色成长!$D$17:$J$17,0),0),"")</f>
        <v/>
      </c>
      <c r="P43" s="1" t="str">
        <f>IFERROR(VLOOKUP($G43,角色设定!$AB$9:$AJ$21,MATCH(P$9,角色设定!$AB$9:$AJ$9,0),0)*VLOOKUP($J43,角色成长!$D$17:$J$117,MATCH(P$9,角色成长!$D$17:$J$17,0),0),"")</f>
        <v/>
      </c>
      <c r="Q43" s="1" t="str">
        <f>IFERROR(VLOOKUP($G43,角色设定!$AB$9:$AJ$21,MATCH(Q$9,角色设定!$AB$9:$AJ$9,0),0)*VLOOKUP($J43,角色成长!$D$17:$J$117,MATCH(Q$9,角色成长!$D$17:$J$17,0),0),"")</f>
        <v/>
      </c>
      <c r="R43" s="1" t="str">
        <f>IFERROR(VLOOKUP($G43,角色设定!$AB$9:$AJ$21,MATCH(R$9,角色设定!$AB$9:$AJ$9,0),0),"")</f>
        <v/>
      </c>
      <c r="S43" s="1" t="str">
        <f>IFERROR(VLOOKUP($G43,角色技能!$D:$M,MATCH(S$9,角色技能!$D$4:$M$4,0),0),"")</f>
        <v/>
      </c>
      <c r="T43" s="1" t="str">
        <f>IFERROR(VLOOKUP($G43,角色技能!$D:$M,MATCH(T$9,角色技能!$D$4:$M$4,0),0),"")</f>
        <v/>
      </c>
      <c r="U43" s="6" t="str">
        <f>IFERROR(VLOOKUP($G43,角色技能!$D:$M,MATCH(U$9,角色技能!$D$4:$M$4,0),0)*(1+$K43/100*(VLOOKUP($H43,技能模板!$D$13:$U$19,MATCH(技能模板!R$13,技能模板!$D$13:$U$13,0),0)-1)),"")</f>
        <v/>
      </c>
      <c r="V43" s="6" t="str">
        <f>IFERROR(VLOOKUP($G43,角色技能!$D:$M,MATCH(V$9,角色技能!$D$4:$M$4,0),0)*(1+$K43/100*(VLOOKUP($H43,技能模板!$D$13:$U$19,MATCH(技能模板!S$13,技能模板!$D$13:$U$13,0),0)-1)),"")</f>
        <v/>
      </c>
      <c r="W43" s="6" t="str">
        <f>IFERROR(VLOOKUP($G43,角色技能!$D:$M,MATCH(W$9,角色技能!$D$4:$M$4,0),0)*(1+$K43/100*(VLOOKUP($H43,技能模板!$D$13:$U$19,MATCH(技能模板!T$13,技能模板!$D$13:$U$13,0),0)-1)),"")</f>
        <v/>
      </c>
      <c r="X43" s="59" t="str">
        <f>IFERROR(VLOOKUP($G43,角色技能!$D:$M,MATCH(X$9,角色技能!$D$4:$M$4,0),0)*(1+$K43/100*(VLOOKUP($H43,技能模板!$D$13:$U$19,MATCH(技能模板!U$13,技能模板!$D$13:$U$13,0),0)-1)),"")</f>
        <v/>
      </c>
      <c r="Y43" s="78"/>
    </row>
    <row r="44" spans="1:25" ht="14.25" customHeight="1" x14ac:dyDescent="0.2">
      <c r="C44" s="76">
        <f>COLUMN(X50)</f>
        <v>24</v>
      </c>
      <c r="D44" s="58">
        <f t="shared" si="8"/>
        <v>3</v>
      </c>
      <c r="E44" s="1">
        <f t="shared" si="9"/>
        <v>3</v>
      </c>
      <c r="F44" s="1">
        <f t="shared" si="10"/>
        <v>3</v>
      </c>
      <c r="G44" s="1" t="s">
        <v>259</v>
      </c>
      <c r="H44" s="1" t="str">
        <f>IFERROR(VLOOKUP($G44,角色设定!$R:$S,2,0),"")</f>
        <v>防御</v>
      </c>
      <c r="I44" s="1" t="str">
        <f>IFERROR(VLOOKUP(H44,角色设定!$D$9:$E$15,2,0),"")</f>
        <v>坦克</v>
      </c>
      <c r="J44" s="1">
        <f t="shared" si="11"/>
        <v>50</v>
      </c>
      <c r="K44" s="1">
        <f t="shared" si="11"/>
        <v>10</v>
      </c>
      <c r="L44" s="8">
        <f>IFERROR(VLOOKUP($G44,角色设定!$AB$9:$AJ$21,MATCH(角色成长!$E$17,角色设定!$AB$9:$AJ$9,0),0)*VLOOKUP($J44,角色成长!$D$17:$J$117,MATCH(角色成长!$E$17,角色成长!$D$17:$J$17,0),0)*角色成长!$L$15*R44/Q44/(1+O44*(P44-1)),"")</f>
        <v>5688.1943381714718</v>
      </c>
      <c r="M44" s="8">
        <f>IFERROR(VLOOKUP($G44,角色设定!$AB$9:$AJ$21,MATCH(角色成长!$F$17,角色设定!$AB$9:$AJ$9,0),0)*VLOOKUP($J44,角色成长!$D$17:$J$117,MATCH(角色成长!$F$17,角色成长!$D$17:$J$17,0),0)*角色成长!$L$15/(1+N44/角色成长!$N$16),"")</f>
        <v>123391.88160545025</v>
      </c>
      <c r="N44" s="8">
        <f>IFERROR(VLOOKUP($G44,角色设定!$AB$9:$AJ$21,MATCH(N$9,角色设定!$AB$9:$AJ$9,0),0)*VLOOKUP($J44,角色成长!$D$17:$J$117,MATCH(N$9,角色成长!$D$17:$J$17,0),0)*角色成长!$L$15,"")</f>
        <v>32763.999387867669</v>
      </c>
      <c r="O44" s="1">
        <f>IFERROR(VLOOKUP($G44,角色设定!$AB$9:$AJ$21,MATCH(O$9,角色设定!$AB$9:$AJ$9,0),0)*VLOOKUP($J44,角色成长!$D$17:$J$117,MATCH(O$9,角色成长!$D$17:$J$17,0),0),"")</f>
        <v>0.4</v>
      </c>
      <c r="P44" s="1">
        <f>IFERROR(VLOOKUP($G44,角色设定!$AB$9:$AJ$21,MATCH(P$9,角色设定!$AB$9:$AJ$9,0),0)*VLOOKUP($J44,角色成长!$D$17:$J$117,MATCH(P$9,角色成长!$D$17:$J$17,0),0),"")</f>
        <v>1.5</v>
      </c>
      <c r="Q44" s="1">
        <f>IFERROR(VLOOKUP($G44,角色设定!$AB$9:$AJ$21,MATCH(Q$9,角色设定!$AB$9:$AJ$9,0),0)*VLOOKUP($J44,角色成长!$D$17:$J$117,MATCH(Q$9,角色成长!$D$17:$J$17,0),0),"")</f>
        <v>0.9</v>
      </c>
      <c r="R44" s="1">
        <f>IFERROR(VLOOKUP($G44,角色设定!$AB$9:$AJ$21,MATCH(R$9,角色设定!$AB$9:$AJ$9,0),0),"")</f>
        <v>0.75</v>
      </c>
      <c r="S44" s="1">
        <f>IFERROR(VLOOKUP($G44,角色技能!$D:$M,MATCH(S$9,角色技能!$D$4:$M$4,0),0),"")</f>
        <v>10</v>
      </c>
      <c r="T44" s="1">
        <f>IFERROR(VLOOKUP($G44,角色技能!$D:$M,MATCH(T$9,角色技能!$D$4:$M$4,0),0),"")</f>
        <v>5</v>
      </c>
      <c r="U44" s="6">
        <f>IFERROR(VLOOKUP($G44,角色技能!$D:$M,MATCH(U$9,角色技能!$D$4:$M$4,0),0)*(1+$K44/100*(VLOOKUP($H44,技能模板!$D$13:$U$19,MATCH(技能模板!R$13,技能模板!$D$13:$U$13,0),0)-1)),"")</f>
        <v>3.18</v>
      </c>
      <c r="V44" s="6">
        <f>IFERROR(VLOOKUP($G44,角色技能!$D:$M,MATCH(V$9,角色技能!$D$4:$M$4,0),0)*(1+$K44/100*(VLOOKUP($H44,技能模板!$D$13:$U$19,MATCH(技能模板!S$13,技能模板!$D$13:$U$13,0),0)-1)),"")</f>
        <v>0</v>
      </c>
      <c r="W44" s="6">
        <f>IFERROR(VLOOKUP($G44,角色技能!$D:$M,MATCH(W$9,角色技能!$D$4:$M$4,0),0)*(1+$K44/100*(VLOOKUP($H44,技能模板!$D$13:$U$19,MATCH(技能模板!T$13,技能模板!$D$13:$U$13,0),0)-1)),"")</f>
        <v>0.91896923076923065</v>
      </c>
      <c r="X44" s="59">
        <f>IFERROR(VLOOKUP($G44,角色技能!$D:$M,MATCH(X$9,角色技能!$D$4:$M$4,0),0)*(1+$K44/100*(VLOOKUP($H44,技能模板!$D$13:$U$19,MATCH(技能模板!U$13,技能模板!$D$13:$U$13,0),0)-1)),"")</f>
        <v>0</v>
      </c>
      <c r="Y44" s="78"/>
    </row>
    <row r="45" spans="1:25" ht="14.25" customHeight="1" x14ac:dyDescent="0.2">
      <c r="C45" s="76"/>
      <c r="D45" s="58">
        <f t="shared" si="8"/>
        <v>1</v>
      </c>
      <c r="E45" s="1">
        <f t="shared" si="9"/>
        <v>2</v>
      </c>
      <c r="F45" s="1">
        <f t="shared" si="10"/>
        <v>4</v>
      </c>
      <c r="G45" s="1" t="s">
        <v>262</v>
      </c>
      <c r="H45" s="1" t="str">
        <f>IFERROR(VLOOKUP($G45,角色设定!$R:$S,2,0),"")</f>
        <v>魔法</v>
      </c>
      <c r="I45" s="1" t="str">
        <f>IFERROR(VLOOKUP(H45,角色设定!$D$9:$E$15,2,0),"")</f>
        <v>输出</v>
      </c>
      <c r="J45" s="1">
        <f t="shared" si="11"/>
        <v>50</v>
      </c>
      <c r="K45" s="1">
        <f t="shared" si="11"/>
        <v>10</v>
      </c>
      <c r="L45" s="8">
        <f>IFERROR(VLOOKUP($G45,角色设定!$AB$9:$AJ$21,MATCH(角色成长!$E$17,角色设定!$AB$9:$AJ$9,0),0)*VLOOKUP($J45,角色成长!$D$17:$J$117,MATCH(角色成长!$E$17,角色成长!$D$17:$J$17,0),0)*角色成长!$L$15*R45/Q45/(1+O45*(P45-1)),"")</f>
        <v>11467.399785753685</v>
      </c>
      <c r="M45" s="8">
        <f>IFERROR(VLOOKUP($G45,角色设定!$AB$9:$AJ$21,MATCH(角色成长!$F$17,角色设定!$AB$9:$AJ$9,0),0)*VLOOKUP($J45,角色成长!$D$17:$J$117,MATCH(角色成长!$F$17,角色成长!$D$17:$J$17,0),0)*角色成长!$L$15/(1+N45/角色成长!$N$16),"")</f>
        <v>57682.818321234205</v>
      </c>
      <c r="N45" s="8">
        <f>IFERROR(VLOOKUP($G45,角色设定!$AB$9:$AJ$21,MATCH(N$9,角色设定!$AB$9:$AJ$9,0),0)*VLOOKUP($J45,角色成长!$D$17:$J$117,MATCH(N$9,角色成长!$D$17:$J$17,0),0)*角色成长!$L$15,"")</f>
        <v>8190.9998469669172</v>
      </c>
      <c r="O45" s="1">
        <f>IFERROR(VLOOKUP($G45,角色设定!$AB$9:$AJ$21,MATCH(O$9,角色设定!$AB$9:$AJ$9,0),0)*VLOOKUP($J45,角色成长!$D$17:$J$117,MATCH(O$9,角色成长!$D$17:$J$17,0),0),"")</f>
        <v>0.4</v>
      </c>
      <c r="P45" s="1">
        <f>IFERROR(VLOOKUP($G45,角色设定!$AB$9:$AJ$21,MATCH(P$9,角色设定!$AB$9:$AJ$9,0),0)*VLOOKUP($J45,角色成长!$D$17:$J$117,MATCH(P$9,角色成长!$D$17:$J$17,0),0),"")</f>
        <v>1.5</v>
      </c>
      <c r="Q45" s="1">
        <f>IFERROR(VLOOKUP($G45,角色设定!$AB$9:$AJ$21,MATCH(Q$9,角色设定!$AB$9:$AJ$9,0),0)*VLOOKUP($J45,角色成长!$D$17:$J$117,MATCH(Q$9,角色成长!$D$17:$J$17,0),0),"")</f>
        <v>1</v>
      </c>
      <c r="R45" s="1">
        <f>IFERROR(VLOOKUP($G45,角色设定!$AB$9:$AJ$21,MATCH(R$9,角色设定!$AB$9:$AJ$9,0),0),"")</f>
        <v>0.8</v>
      </c>
      <c r="S45" s="1">
        <f>IFERROR(VLOOKUP($G45,角色技能!$D:$M,MATCH(S$9,角色技能!$D$4:$M$4,0),0),"")</f>
        <v>20</v>
      </c>
      <c r="T45" s="1">
        <f>IFERROR(VLOOKUP($G45,角色技能!$D:$M,MATCH(T$9,角色技能!$D$4:$M$4,0),0),"")</f>
        <v>10</v>
      </c>
      <c r="U45" s="6">
        <f>IFERROR(VLOOKUP($G45,角色技能!$D:$M,MATCH(U$9,角色技能!$D$4:$M$4,0),0)*(1+$K45/100*(VLOOKUP($H45,技能模板!$D$13:$U$19,MATCH(技能模板!R$13,技能模板!$D$13:$U$13,0),0)-1)),"")</f>
        <v>5.3333333333333313</v>
      </c>
      <c r="V45" s="6">
        <f>IFERROR(VLOOKUP($G45,角色技能!$D:$M,MATCH(V$9,角色技能!$D$4:$M$4,0),0)*(1+$K45/100*(VLOOKUP($H45,技能模板!$D$13:$U$19,MATCH(技能模板!S$13,技能模板!$D$13:$U$13,0),0)-1)),"")</f>
        <v>0</v>
      </c>
      <c r="W45" s="6">
        <f>IFERROR(VLOOKUP($G45,角色技能!$D:$M,MATCH(W$9,角色技能!$D$4:$M$4,0),0)*(1+$K45/100*(VLOOKUP($H45,技能模板!$D$13:$U$19,MATCH(技能模板!T$13,技能模板!$D$13:$U$13,0),0)-1)),"")</f>
        <v>0</v>
      </c>
      <c r="X45" s="59">
        <f>IFERROR(VLOOKUP($G45,角色技能!$D:$M,MATCH(X$9,角色技能!$D$4:$M$4,0),0)*(1+$K45/100*(VLOOKUP($H45,技能模板!$D$13:$U$19,MATCH(技能模板!U$13,技能模板!$D$13:$U$13,0),0)-1)),"")</f>
        <v>0</v>
      </c>
      <c r="Y45" s="78"/>
    </row>
    <row r="46" spans="1:25" ht="14.25" customHeight="1" x14ac:dyDescent="0.2">
      <c r="C46" s="76"/>
      <c r="D46" s="58" t="str">
        <f t="shared" si="8"/>
        <v/>
      </c>
      <c r="E46" s="1" t="str">
        <f t="shared" si="9"/>
        <v/>
      </c>
      <c r="F46" s="1" t="str">
        <f t="shared" si="10"/>
        <v/>
      </c>
      <c r="H46" s="1" t="str">
        <f>IFERROR(VLOOKUP($G46,角色设定!$R:$S,2,0),"")</f>
        <v/>
      </c>
      <c r="I46" s="1" t="str">
        <f>IFERROR(VLOOKUP(H46,角色设定!$D$9:$E$15,2,0),"")</f>
        <v/>
      </c>
      <c r="J46" s="1" t="str">
        <f t="shared" si="11"/>
        <v/>
      </c>
      <c r="K46" s="1" t="str">
        <f t="shared" si="11"/>
        <v/>
      </c>
      <c r="L46" s="8" t="str">
        <f>IFERROR(VLOOKUP($G46,角色设定!$AB$9:$AJ$21,MATCH(角色成长!$E$17,角色设定!$AB$9:$AJ$9,0),0)*VLOOKUP($J46,角色成长!$D$17:$J$117,MATCH(角色成长!$E$17,角色成长!$D$17:$J$17,0),0)*角色成长!$L$15*R46/Q46/(1+O46*(P46-1)),"")</f>
        <v/>
      </c>
      <c r="M46" s="8" t="str">
        <f>IFERROR(VLOOKUP($G46,角色设定!$AB$9:$AJ$21,MATCH(角色成长!$F$17,角色设定!$AB$9:$AJ$9,0),0)*VLOOKUP($J46,角色成长!$D$17:$J$117,MATCH(角色成长!$F$17,角色成长!$D$17:$J$17,0),0)*角色成长!$L$15/(1+N46/角色成长!$N$16),"")</f>
        <v/>
      </c>
      <c r="N46" s="8" t="str">
        <f>IFERROR(VLOOKUP($G46,角色设定!$AB$9:$AJ$21,MATCH(N$9,角色设定!$AB$9:$AJ$9,0),0)*VLOOKUP($J46,角色成长!$D$17:$J$117,MATCH(N$9,角色成长!$D$17:$J$17,0),0)*角色成长!$L$15,"")</f>
        <v/>
      </c>
      <c r="O46" s="1" t="str">
        <f>IFERROR(VLOOKUP($G46,角色设定!$AB$9:$AJ$21,MATCH(O$9,角色设定!$AB$9:$AJ$9,0),0)*VLOOKUP($J46,角色成长!$D$17:$J$117,MATCH(O$9,角色成长!$D$17:$J$17,0),0),"")</f>
        <v/>
      </c>
      <c r="P46" s="1" t="str">
        <f>IFERROR(VLOOKUP($G46,角色设定!$AB$9:$AJ$21,MATCH(P$9,角色设定!$AB$9:$AJ$9,0),0)*VLOOKUP($J46,角色成长!$D$17:$J$117,MATCH(P$9,角色成长!$D$17:$J$17,0),0),"")</f>
        <v/>
      </c>
      <c r="Q46" s="1" t="str">
        <f>IFERROR(VLOOKUP($G46,角色设定!$AB$9:$AJ$21,MATCH(Q$9,角色设定!$AB$9:$AJ$9,0),0)*VLOOKUP($J46,角色成长!$D$17:$J$117,MATCH(Q$9,角色成长!$D$17:$J$17,0),0),"")</f>
        <v/>
      </c>
      <c r="R46" s="1" t="str">
        <f>IFERROR(VLOOKUP($G46,角色设定!$AB$9:$AJ$21,MATCH(R$9,角色设定!$AB$9:$AJ$9,0),0),"")</f>
        <v/>
      </c>
      <c r="S46" s="1" t="str">
        <f>IFERROR(VLOOKUP($G46,角色技能!$D:$M,MATCH(S$9,角色技能!$D$4:$M$4,0),0),"")</f>
        <v/>
      </c>
      <c r="T46" s="1" t="str">
        <f>IFERROR(VLOOKUP($G46,角色技能!$D:$M,MATCH(T$9,角色技能!$D$4:$M$4,0),0),"")</f>
        <v/>
      </c>
      <c r="U46" s="6" t="str">
        <f>IFERROR(VLOOKUP($G46,角色技能!$D:$M,MATCH(U$9,角色技能!$D$4:$M$4,0),0)*(1+$K46/100*(VLOOKUP($H46,技能模板!$D$13:$U$19,MATCH(技能模板!R$13,技能模板!$D$13:$U$13,0),0)-1)),"")</f>
        <v/>
      </c>
      <c r="V46" s="6" t="str">
        <f>IFERROR(VLOOKUP($G46,角色技能!$D:$M,MATCH(V$9,角色技能!$D$4:$M$4,0),0)*(1+$K46/100*(VLOOKUP($H46,技能模板!$D$13:$U$19,MATCH(技能模板!S$13,技能模板!$D$13:$U$13,0),0)-1)),"")</f>
        <v/>
      </c>
      <c r="W46" s="6" t="str">
        <f>IFERROR(VLOOKUP($G46,角色技能!$D:$M,MATCH(W$9,角色技能!$D$4:$M$4,0),0)*(1+$K46/100*(VLOOKUP($H46,技能模板!$D$13:$U$19,MATCH(技能模板!T$13,技能模板!$D$13:$U$13,0),0)-1)),"")</f>
        <v/>
      </c>
      <c r="X46" s="59" t="str">
        <f>IFERROR(VLOOKUP($G46,角色技能!$D:$M,MATCH(X$9,角色技能!$D$4:$M$4,0),0)*(1+$K46/100*(VLOOKUP($H46,技能模板!$D$13:$U$19,MATCH(技能模板!U$13,技能模板!$D$13:$U$13,0),0)-1)),"")</f>
        <v/>
      </c>
      <c r="Y46" s="78"/>
    </row>
    <row r="47" spans="1:25" ht="14.25" customHeight="1" x14ac:dyDescent="0.2">
      <c r="C47" s="76"/>
      <c r="D47" s="58">
        <f t="shared" si="8"/>
        <v>3</v>
      </c>
      <c r="E47" s="1">
        <f t="shared" si="9"/>
        <v>2</v>
      </c>
      <c r="F47" s="1">
        <f t="shared" si="10"/>
        <v>6</v>
      </c>
      <c r="G47" s="1" t="s">
        <v>264</v>
      </c>
      <c r="H47" s="1" t="str">
        <f>IFERROR(VLOOKUP($G47,角色设定!$R:$S,2,0),"")</f>
        <v>射击</v>
      </c>
      <c r="I47" s="1" t="str">
        <f>IFERROR(VLOOKUP(H47,角色设定!$D$9:$E$15,2,0),"")</f>
        <v>输出</v>
      </c>
      <c r="J47" s="1">
        <f t="shared" si="11"/>
        <v>50</v>
      </c>
      <c r="K47" s="1">
        <f t="shared" si="11"/>
        <v>10</v>
      </c>
      <c r="L47" s="8">
        <f>IFERROR(VLOOKUP($G47,角色设定!$AB$9:$AJ$21,MATCH(角色成长!$E$17,角色设定!$AB$9:$AJ$9,0),0)*VLOOKUP($J47,角色成长!$D$17:$J$117,MATCH(角色成长!$E$17,角色成长!$D$17:$J$17,0),0)*角色成长!$L$15*R47/Q47/(1+O47*(P47-1)),"")</f>
        <v>9590.916184448537</v>
      </c>
      <c r="M47" s="8">
        <f>IFERROR(VLOOKUP($G47,角色设定!$AB$9:$AJ$21,MATCH(角色成长!$F$17,角色设定!$AB$9:$AJ$9,0),0)*VLOOKUP($J47,角色成长!$D$17:$J$117,MATCH(角色成长!$F$17,角色成长!$D$17:$J$17,0),0)*角色成长!$L$15/(1+N47/角色成长!$N$16),"")</f>
        <v>63090.582538849922</v>
      </c>
      <c r="N47" s="8">
        <f>IFERROR(VLOOKUP($G47,角色设定!$AB$9:$AJ$21,MATCH(N$9,角色设定!$AB$9:$AJ$9,0),0)*VLOOKUP($J47,角色成长!$D$17:$J$117,MATCH(N$9,角色成长!$D$17:$J$17,0),0)*角色成长!$L$15,"")</f>
        <v>8190.9998469669172</v>
      </c>
      <c r="O47" s="1">
        <f>IFERROR(VLOOKUP($G47,角色设定!$AB$9:$AJ$21,MATCH(O$9,角色设定!$AB$9:$AJ$9,0),0)*VLOOKUP($J47,角色成长!$D$17:$J$117,MATCH(O$9,角色成长!$D$17:$J$17,0),0),"")</f>
        <v>0.4</v>
      </c>
      <c r="P47" s="1">
        <f>IFERROR(VLOOKUP($G47,角色设定!$AB$9:$AJ$21,MATCH(P$9,角色设定!$AB$9:$AJ$9,0),0)*VLOOKUP($J47,角色成长!$D$17:$J$117,MATCH(P$9,角色成长!$D$17:$J$17,0),0),"")</f>
        <v>1.5</v>
      </c>
      <c r="Q47" s="1">
        <f>IFERROR(VLOOKUP($G47,角色设定!$AB$9:$AJ$21,MATCH(Q$9,角色设定!$AB$9:$AJ$9,0),0)*VLOOKUP($J47,角色成长!$D$17:$J$117,MATCH(Q$9,角色成长!$D$17:$J$17,0),0),"")</f>
        <v>1.1000000000000001</v>
      </c>
      <c r="R47" s="1">
        <f>IFERROR(VLOOKUP($G47,角色设定!$AB$9:$AJ$21,MATCH(R$9,角色设定!$AB$9:$AJ$9,0),0),"")</f>
        <v>0.80500000000000005</v>
      </c>
      <c r="S47" s="1">
        <f>IFERROR(VLOOKUP($G47,角色技能!$D:$M,MATCH(S$9,角色技能!$D$4:$M$4,0),0),"")</f>
        <v>20</v>
      </c>
      <c r="T47" s="1">
        <f>IFERROR(VLOOKUP($G47,角色技能!$D:$M,MATCH(T$9,角色技能!$D$4:$M$4,0),0),"")</f>
        <v>10</v>
      </c>
      <c r="U47" s="6">
        <f>IFERROR(VLOOKUP($G47,角色技能!$D:$M,MATCH(U$9,角色技能!$D$4:$M$4,0),0)*(1+$K47/100*(VLOOKUP($H47,技能模板!$D$13:$U$19,MATCH(技能模板!R$13,技能模板!$D$13:$U$13,0),0)-1)),"")</f>
        <v>5.6881883624834302</v>
      </c>
      <c r="V47" s="6">
        <f>IFERROR(VLOOKUP($G47,角色技能!$D:$M,MATCH(V$9,角色技能!$D$4:$M$4,0),0)*(1+$K47/100*(VLOOKUP($H47,技能模板!$D$13:$U$19,MATCH(技能模板!S$13,技能模板!$D$13:$U$13,0),0)-1)),"")</f>
        <v>0</v>
      </c>
      <c r="W47" s="6">
        <f>IFERROR(VLOOKUP($G47,角色技能!$D:$M,MATCH(W$9,角色技能!$D$4:$M$4,0),0)*(1+$K47/100*(VLOOKUP($H47,技能模板!$D$13:$U$19,MATCH(技能模板!T$13,技能模板!$D$13:$U$13,0),0)-1)),"")</f>
        <v>0</v>
      </c>
      <c r="X47" s="59">
        <f>IFERROR(VLOOKUP($G47,角色技能!$D:$M,MATCH(X$9,角色技能!$D$4:$M$4,0),0)*(1+$K47/100*(VLOOKUP($H47,技能模板!$D$13:$U$19,MATCH(技能模板!U$13,技能模板!$D$13:$U$13,0),0)-1)),"")</f>
        <v>0</v>
      </c>
      <c r="Y47" s="78"/>
    </row>
    <row r="48" spans="1:25" ht="14.25" customHeight="1" x14ac:dyDescent="0.2">
      <c r="C48" s="76"/>
      <c r="D48" s="58" t="str">
        <f t="shared" si="8"/>
        <v/>
      </c>
      <c r="E48" s="1" t="str">
        <f t="shared" si="9"/>
        <v/>
      </c>
      <c r="F48" s="1" t="str">
        <f t="shared" si="10"/>
        <v/>
      </c>
      <c r="H48" s="1" t="str">
        <f>IFERROR(VLOOKUP($G48,角色设定!$R:$S,2,0),"")</f>
        <v/>
      </c>
      <c r="I48" s="1" t="str">
        <f>IFERROR(VLOOKUP(H48,角色设定!$D$9:$E$15,2,0),"")</f>
        <v/>
      </c>
      <c r="J48" s="1" t="str">
        <f t="shared" si="11"/>
        <v/>
      </c>
      <c r="K48" s="1" t="str">
        <f t="shared" si="11"/>
        <v/>
      </c>
      <c r="L48" s="8" t="str">
        <f>IFERROR(VLOOKUP($G48,角色设定!$AB$9:$AJ$21,MATCH(角色成长!$E$17,角色设定!$AB$9:$AJ$9,0),0)*VLOOKUP($J48,角色成长!$D$17:$J$117,MATCH(角色成长!$E$17,角色成长!$D$17:$J$17,0),0)*角色成长!$L$15*R48/Q48/(1+O48*(P48-1)),"")</f>
        <v/>
      </c>
      <c r="M48" s="8" t="str">
        <f>IFERROR(VLOOKUP($G48,角色设定!$AB$9:$AJ$21,MATCH(角色成长!$F$17,角色设定!$AB$9:$AJ$9,0),0)*VLOOKUP($J48,角色成长!$D$17:$J$117,MATCH(角色成长!$F$17,角色成长!$D$17:$J$17,0),0)*角色成长!$L$15/(1+N48/角色成长!$N$16),"")</f>
        <v/>
      </c>
      <c r="N48" s="8" t="str">
        <f>IFERROR(VLOOKUP($G48,角色设定!$AB$9:$AJ$21,MATCH(N$9,角色设定!$AB$9:$AJ$9,0),0)*VLOOKUP($J48,角色成长!$D$17:$J$117,MATCH(N$9,角色成长!$D$17:$J$17,0),0)*角色成长!$L$15,"")</f>
        <v/>
      </c>
      <c r="O48" s="1" t="str">
        <f>IFERROR(VLOOKUP($G48,角色设定!$AB$9:$AJ$21,MATCH(O$9,角色设定!$AB$9:$AJ$9,0),0)*VLOOKUP($J48,角色成长!$D$17:$J$117,MATCH(O$9,角色成长!$D$17:$J$17,0),0),"")</f>
        <v/>
      </c>
      <c r="P48" s="1" t="str">
        <f>IFERROR(VLOOKUP($G48,角色设定!$AB$9:$AJ$21,MATCH(P$9,角色设定!$AB$9:$AJ$9,0),0)*VLOOKUP($J48,角色成长!$D$17:$J$117,MATCH(P$9,角色成长!$D$17:$J$17,0),0),"")</f>
        <v/>
      </c>
      <c r="Q48" s="1" t="str">
        <f>IFERROR(VLOOKUP($G48,角色设定!$AB$9:$AJ$21,MATCH(Q$9,角色设定!$AB$9:$AJ$9,0),0)*VLOOKUP($J48,角色成长!$D$17:$J$117,MATCH(Q$9,角色成长!$D$17:$J$17,0),0),"")</f>
        <v/>
      </c>
      <c r="R48" s="1" t="str">
        <f>IFERROR(VLOOKUP($G48,角色设定!$AB$9:$AJ$21,MATCH(R$9,角色设定!$AB$9:$AJ$9,0),0),"")</f>
        <v/>
      </c>
      <c r="S48" s="1" t="str">
        <f>IFERROR(VLOOKUP($G48,角色技能!$D:$M,MATCH(S$9,角色技能!$D$4:$M$4,0),0),"")</f>
        <v/>
      </c>
      <c r="T48" s="1" t="str">
        <f>IFERROR(VLOOKUP($G48,角色技能!$D:$M,MATCH(T$9,角色技能!$D$4:$M$4,0),0),"")</f>
        <v/>
      </c>
      <c r="U48" s="6" t="str">
        <f>IFERROR(VLOOKUP($G48,角色技能!$D:$M,MATCH(U$9,角色技能!$D$4:$M$4,0),0)*(1+$K48/100*(VLOOKUP($H48,技能模板!$D$13:$U$19,MATCH(技能模板!R$13,技能模板!$D$13:$U$13,0),0)-1)),"")</f>
        <v/>
      </c>
      <c r="V48" s="6" t="str">
        <f>IFERROR(VLOOKUP($G48,角色技能!$D:$M,MATCH(V$9,角色技能!$D$4:$M$4,0),0)*(1+$K48/100*(VLOOKUP($H48,技能模板!$D$13:$U$19,MATCH(技能模板!S$13,技能模板!$D$13:$U$13,0),0)-1)),"")</f>
        <v/>
      </c>
      <c r="W48" s="6" t="str">
        <f>IFERROR(VLOOKUP($G48,角色技能!$D:$M,MATCH(W$9,角色技能!$D$4:$M$4,0),0)*(1+$K48/100*(VLOOKUP($H48,技能模板!$D$13:$U$19,MATCH(技能模板!T$13,技能模板!$D$13:$U$13,0),0)-1)),"")</f>
        <v/>
      </c>
      <c r="X48" s="59" t="str">
        <f>IFERROR(VLOOKUP($G48,角色技能!$D:$M,MATCH(X$9,角色技能!$D$4:$M$4,0),0)*(1+$K48/100*(VLOOKUP($H48,技能模板!$D$13:$U$19,MATCH(技能模板!U$13,技能模板!$D$13:$U$13,0),0)-1)),"")</f>
        <v/>
      </c>
      <c r="Y48" s="78"/>
    </row>
    <row r="49" spans="1:25" ht="14.25" customHeight="1" x14ac:dyDescent="0.2">
      <c r="C49" s="76"/>
      <c r="D49" s="58">
        <f t="shared" si="8"/>
        <v>2</v>
      </c>
      <c r="E49" s="1">
        <f t="shared" si="9"/>
        <v>1</v>
      </c>
      <c r="F49" s="1">
        <f t="shared" si="10"/>
        <v>8</v>
      </c>
      <c r="G49" s="1" t="s">
        <v>268</v>
      </c>
      <c r="H49" s="1" t="str">
        <f>IFERROR(VLOOKUP($G49,角色设定!$R:$S,2,0),"")</f>
        <v>恢复</v>
      </c>
      <c r="I49" s="1" t="str">
        <f>IFERROR(VLOOKUP(H49,角色设定!$D$9:$E$15,2,0),"")</f>
        <v>治疗</v>
      </c>
      <c r="J49" s="1">
        <f t="shared" si="11"/>
        <v>50</v>
      </c>
      <c r="K49" s="1">
        <f t="shared" si="11"/>
        <v>10</v>
      </c>
      <c r="L49" s="8">
        <f>IFERROR(VLOOKUP($G49,角色设定!$AB$9:$AJ$21,MATCH(角色成长!$E$17,角色设定!$AB$9:$AJ$9,0),0)*VLOOKUP($J49,角色成长!$D$17:$J$117,MATCH(角色成长!$E$17,角色成长!$D$17:$J$17,0),0)*角色成长!$L$15*R49/Q49/(1+O49*(P49-1)),"")</f>
        <v>4357.6119185864018</v>
      </c>
      <c r="M49" s="8">
        <f>IFERROR(VLOOKUP($G49,角色设定!$AB$9:$AJ$21,MATCH(角色成长!$F$17,角色设定!$AB$9:$AJ$9,0),0)*VLOOKUP($J49,角色成长!$D$17:$J$117,MATCH(角色成长!$F$17,角色成长!$D$17:$J$17,0),0)*角色成长!$L$15/(1+N49/角色成长!$N$16),"")</f>
        <v>80465.608783089367</v>
      </c>
      <c r="N49" s="8">
        <f>IFERROR(VLOOKUP($G49,角色设定!$AB$9:$AJ$21,MATCH(N$9,角色设定!$AB$9:$AJ$9,0),0)*VLOOKUP($J49,角色成长!$D$17:$J$117,MATCH(N$9,角色成长!$D$17:$J$17,0),0)*角色成长!$L$15,"")</f>
        <v>13105.599755147066</v>
      </c>
      <c r="O49" s="1">
        <f>IFERROR(VLOOKUP($G49,角色设定!$AB$9:$AJ$21,MATCH(O$9,角色设定!$AB$9:$AJ$9,0),0)*VLOOKUP($J49,角色成长!$D$17:$J$117,MATCH(O$9,角色成长!$D$17:$J$17,0),0),"")</f>
        <v>0.4</v>
      </c>
      <c r="P49" s="1">
        <f>IFERROR(VLOOKUP($G49,角色设定!$AB$9:$AJ$21,MATCH(P$9,角色设定!$AB$9:$AJ$9,0),0)*VLOOKUP($J49,角色成长!$D$17:$J$117,MATCH(P$9,角色成长!$D$17:$J$17,0),0),"")</f>
        <v>1.5</v>
      </c>
      <c r="Q49" s="1">
        <f>IFERROR(VLOOKUP($G49,角色设定!$AB$9:$AJ$21,MATCH(Q$9,角色设定!$AB$9:$AJ$9,0),0)*VLOOKUP($J49,角色成长!$D$17:$J$117,MATCH(Q$9,角色成长!$D$17:$J$17,0),0),"")</f>
        <v>0.9</v>
      </c>
      <c r="R49" s="1">
        <f>IFERROR(VLOOKUP($G49,角色设定!$AB$9:$AJ$21,MATCH(R$9,角色设定!$AB$9:$AJ$9,0),0),"")</f>
        <v>0.79800000000000004</v>
      </c>
      <c r="S49" s="1">
        <f>IFERROR(VLOOKUP($G49,角色技能!$D:$M,MATCH(S$9,角色技能!$D$4:$M$4,0),0),"")</f>
        <v>10</v>
      </c>
      <c r="T49" s="1">
        <f>IFERROR(VLOOKUP($G49,角色技能!$D:$M,MATCH(T$9,角色技能!$D$4:$M$4,0),0),"")</f>
        <v>5</v>
      </c>
      <c r="U49" s="6">
        <f>IFERROR(VLOOKUP($G49,角色技能!$D:$M,MATCH(U$9,角色技能!$D$4:$M$4,0),0)*(1+$K49/100*(VLOOKUP($H49,技能模板!$D$13:$U$19,MATCH(技能模板!R$13,技能模板!$D$13:$U$13,0),0)-1)),"")</f>
        <v>2.4294434088549157</v>
      </c>
      <c r="V49" s="6">
        <f>IFERROR(VLOOKUP($G49,角色技能!$D:$M,MATCH(V$9,角色技能!$D$4:$M$4,0),0)*(1+$K49/100*(VLOOKUP($H49,技能模板!$D$13:$U$19,MATCH(技能模板!S$13,技能模板!$D$13:$U$13,0),0)-1)),"")</f>
        <v>0</v>
      </c>
      <c r="W49" s="6">
        <f>IFERROR(VLOOKUP($G49,角色技能!$D:$M,MATCH(W$9,角色技能!$D$4:$M$4,0),0)*(1+$K49/100*(VLOOKUP($H49,技能模板!$D$13:$U$19,MATCH(技能模板!T$13,技能模板!$D$13:$U$13,0),0)-1)),"")</f>
        <v>0</v>
      </c>
      <c r="X49" s="59">
        <f>IFERROR(VLOOKUP($G49,角色技能!$D:$M,MATCH(X$9,角色技能!$D$4:$M$4,0),0)*(1+$K49/100*(VLOOKUP($H49,技能模板!$D$13:$U$19,MATCH(技能模板!U$13,技能模板!$D$13:$U$13,0),0)-1)),"")</f>
        <v>0.92773385331688496</v>
      </c>
      <c r="Y49" s="78"/>
    </row>
    <row r="50" spans="1:25" ht="14.25" customHeight="1" thickBot="1" x14ac:dyDescent="0.25">
      <c r="C50" s="76"/>
      <c r="D50" s="60" t="str">
        <f t="shared" si="8"/>
        <v/>
      </c>
      <c r="E50" s="61" t="str">
        <f t="shared" si="9"/>
        <v/>
      </c>
      <c r="F50" s="61" t="str">
        <f t="shared" si="10"/>
        <v/>
      </c>
      <c r="G50" s="61"/>
      <c r="H50" s="61" t="str">
        <f>IFERROR(VLOOKUP($G50,角色设定!$R:$S,2,0),"")</f>
        <v/>
      </c>
      <c r="I50" s="61" t="str">
        <f>IFERROR(VLOOKUP(H50,角色设定!$D$9:$E$15,2,0),"")</f>
        <v/>
      </c>
      <c r="J50" s="61" t="str">
        <f>IF($G50="","",J$40)</f>
        <v/>
      </c>
      <c r="K50" s="61" t="str">
        <f>IF($G50="","",K$40)</f>
        <v/>
      </c>
      <c r="L50" s="62" t="str">
        <f>IFERROR(VLOOKUP($G50,角色设定!$AB$9:$AJ$21,MATCH(角色成长!$E$17,角色设定!$AB$9:$AJ$9,0),0)*VLOOKUP($J50,角色成长!$D$17:$J$117,MATCH(角色成长!$E$17,角色成长!$D$17:$J$17,0),0)*角色成长!$L$15*R50/Q50/(1+O50*(P50-1)),"")</f>
        <v/>
      </c>
      <c r="M50" s="62" t="str">
        <f>IFERROR(VLOOKUP($G50,角色设定!$AB$9:$AJ$21,MATCH(角色成长!$F$17,角色设定!$AB$9:$AJ$9,0),0)*VLOOKUP($J50,角色成长!$D$17:$J$117,MATCH(角色成长!$F$17,角色成长!$D$17:$J$17,0),0)*角色成长!$L$15/(1+N50/角色成长!$N$16),"")</f>
        <v/>
      </c>
      <c r="N50" s="62" t="str">
        <f>IFERROR(VLOOKUP($G50,角色设定!$AB$9:$AJ$21,MATCH(N$9,角色设定!$AB$9:$AJ$9,0),0)*VLOOKUP($J50,角色成长!$D$17:$J$117,MATCH(N$9,角色成长!$D$17:$J$17,0),0)*角色成长!$L$15,"")</f>
        <v/>
      </c>
      <c r="O50" s="61" t="str">
        <f>IFERROR(VLOOKUP($G50,角色设定!$AB$9:$AJ$21,MATCH(O$9,角色设定!$AB$9:$AJ$9,0),0)*VLOOKUP($J50,角色成长!$D$17:$J$117,MATCH(O$9,角色成长!$D$17:$J$17,0),0),"")</f>
        <v/>
      </c>
      <c r="P50" s="61" t="str">
        <f>IFERROR(VLOOKUP($G50,角色设定!$AB$9:$AJ$21,MATCH(P$9,角色设定!$AB$9:$AJ$9,0),0)*VLOOKUP($J50,角色成长!$D$17:$J$117,MATCH(P$9,角色成长!$D$17:$J$17,0),0),"")</f>
        <v/>
      </c>
      <c r="Q50" s="61" t="str">
        <f>IFERROR(VLOOKUP($G50,角色设定!$AB$9:$AJ$21,MATCH(Q$9,角色设定!$AB$9:$AJ$9,0),0)*VLOOKUP($J50,角色成长!$D$17:$J$117,MATCH(Q$9,角色成长!$D$17:$J$17,0),0),"")</f>
        <v/>
      </c>
      <c r="R50" s="61" t="str">
        <f>IFERROR(VLOOKUP($G50,角色设定!$AB$9:$AJ$21,MATCH(R$9,角色设定!$AB$9:$AJ$9,0),0),"")</f>
        <v/>
      </c>
      <c r="S50" s="61" t="str">
        <f>IFERROR(VLOOKUP($G50,角色技能!$D:$M,MATCH(S$9,角色技能!$D$4:$M$4,0),0),"")</f>
        <v/>
      </c>
      <c r="T50" s="61" t="str">
        <f>IFERROR(VLOOKUP($G50,角色技能!$D:$M,MATCH(T$9,角色技能!$D$4:$M$4,0),0),"")</f>
        <v/>
      </c>
      <c r="U50" s="63" t="str">
        <f>IFERROR(VLOOKUP($G50,角色技能!$D:$M,MATCH(U$9,角色技能!$D$4:$M$4,0),0)*(1+$K50/100*(VLOOKUP($H50,技能模板!$D$13:$U$19,MATCH(技能模板!R$13,技能模板!$D$13:$U$13,0),0)-1)),"")</f>
        <v/>
      </c>
      <c r="V50" s="63" t="str">
        <f>IFERROR(VLOOKUP($G50,角色技能!$D:$M,MATCH(V$9,角色技能!$D$4:$M$4,0),0)*(1+$K50/100*(VLOOKUP($H50,技能模板!$D$13:$U$19,MATCH(技能模板!S$13,技能模板!$D$13:$U$13,0),0)-1)),"")</f>
        <v/>
      </c>
      <c r="W50" s="63" t="str">
        <f>IFERROR(VLOOKUP($G50,角色技能!$D:$M,MATCH(W$9,角色技能!$D$4:$M$4,0),0)*(1+$K50/100*(VLOOKUP($H50,技能模板!$D$13:$U$19,MATCH(技能模板!T$13,技能模板!$D$13:$U$13,0),0)-1)),"")</f>
        <v/>
      </c>
      <c r="X50" s="64" t="str">
        <f>IFERROR(VLOOKUP($G50,角色技能!$D:$M,MATCH(X$9,角色技能!$D$4:$M$4,0),0)*(1+$K50/100*(VLOOKUP($H50,技能模板!$D$13:$U$19,MATCH(技能模板!U$13,技能模板!$D$13:$U$13,0),0)-1)),"")</f>
        <v/>
      </c>
      <c r="Y50" s="78"/>
    </row>
    <row r="51" spans="1:25" ht="14.25" customHeight="1" thickBot="1" x14ac:dyDescent="0.25">
      <c r="C51" s="2" t="s">
        <v>287</v>
      </c>
      <c r="D51" s="74"/>
      <c r="E51" s="74"/>
      <c r="F51" s="74"/>
      <c r="G51" s="74"/>
      <c r="H51" s="74"/>
      <c r="I51" s="74"/>
      <c r="J51" s="65">
        <v>50</v>
      </c>
      <c r="K51" s="65">
        <v>1</v>
      </c>
      <c r="L51" s="66"/>
      <c r="M51" s="66"/>
      <c r="N51" s="66"/>
      <c r="O51" s="74"/>
      <c r="P51" s="74"/>
      <c r="Q51" s="74"/>
      <c r="R51" s="74"/>
      <c r="S51" s="74">
        <v>0</v>
      </c>
      <c r="T51" s="74">
        <v>0</v>
      </c>
      <c r="U51" s="67"/>
      <c r="V51" s="74" t="s">
        <v>250</v>
      </c>
      <c r="W51" s="74" t="s">
        <v>251</v>
      </c>
      <c r="X51" s="74" t="s">
        <v>252</v>
      </c>
    </row>
    <row r="52" spans="1:25" ht="14.25" customHeight="1" x14ac:dyDescent="0.2">
      <c r="A52" s="4">
        <f>B52/(SUM(M53:M61)*$G$1)</f>
        <v>9.6356403326447668E-2</v>
      </c>
      <c r="B52" s="6">
        <v>64454988.080446512</v>
      </c>
      <c r="C52" s="76">
        <f>ROW(D53)</f>
        <v>53</v>
      </c>
      <c r="D52" s="54" t="s">
        <v>256</v>
      </c>
      <c r="E52" s="55" t="s">
        <v>257</v>
      </c>
      <c r="F52" s="55" t="s">
        <v>236</v>
      </c>
      <c r="G52" s="56" t="s">
        <v>157</v>
      </c>
      <c r="H52" s="55" t="s">
        <v>92</v>
      </c>
      <c r="I52" s="55" t="s">
        <v>93</v>
      </c>
      <c r="J52" s="56" t="s">
        <v>244</v>
      </c>
      <c r="K52" s="56" t="s">
        <v>245</v>
      </c>
      <c r="L52" s="55" t="s">
        <v>34</v>
      </c>
      <c r="M52" s="55" t="s">
        <v>36</v>
      </c>
      <c r="N52" s="55" t="s">
        <v>35</v>
      </c>
      <c r="O52" s="55" t="s">
        <v>146</v>
      </c>
      <c r="P52" s="55" t="s">
        <v>147</v>
      </c>
      <c r="Q52" s="55" t="s">
        <v>148</v>
      </c>
      <c r="R52" s="55" t="s">
        <v>176</v>
      </c>
      <c r="S52" s="55" t="s">
        <v>206</v>
      </c>
      <c r="T52" s="55" t="s">
        <v>274</v>
      </c>
      <c r="U52" s="55" t="s">
        <v>207</v>
      </c>
      <c r="V52" s="55" t="s">
        <v>208</v>
      </c>
      <c r="W52" s="55" t="s">
        <v>210</v>
      </c>
      <c r="X52" s="57" t="s">
        <v>242</v>
      </c>
      <c r="Y52" s="78"/>
    </row>
    <row r="53" spans="1:25" ht="14.25" customHeight="1" x14ac:dyDescent="0.2">
      <c r="C53" s="76">
        <f>COLUMN(D53)</f>
        <v>4</v>
      </c>
      <c r="D53" s="58">
        <f>IFERROR(MOD(F53+3-1,3)+1,"")</f>
        <v>1</v>
      </c>
      <c r="E53" s="1">
        <f>IFERROR(INT((F53-1)/3)+5,"")</f>
        <v>5</v>
      </c>
      <c r="F53" s="1">
        <f>IF(G53="","",ROW(G53)-$C$52+1)</f>
        <v>1</v>
      </c>
      <c r="G53" s="1" t="s">
        <v>278</v>
      </c>
      <c r="H53" s="1" t="str">
        <f>IFERROR(VLOOKUP($G53,角色设定!$R:$S,2,0),"")</f>
        <v/>
      </c>
      <c r="I53" s="1" t="str">
        <f>IFERROR(VLOOKUP(H53,角色设定!$D$9:$E$15,2,0),"")</f>
        <v/>
      </c>
      <c r="J53" s="1">
        <f>IF($G53="","",J$51)</f>
        <v>50</v>
      </c>
      <c r="K53" s="1">
        <f>IF($G53="","",K$51)</f>
        <v>1</v>
      </c>
      <c r="L53" s="8">
        <f>VLOOKUP($J$51,怪物设定!$X:$AF,MATCH(L$52,怪物设定!$X$23:$AF$23,0),0)</f>
        <v>4249.7091472690227</v>
      </c>
      <c r="M53" s="8">
        <f>VLOOKUP($J$51,怪物设定!$X:$AF,MATCH(M$52,怪物设定!$X$23:$AF$23,0),0)</f>
        <v>74324.747448373455</v>
      </c>
      <c r="N53" s="8">
        <f>VLOOKUP($J$51,怪物设定!$X:$AF,MATCH(N$52,怪物设定!$X$23:$AF$23,0),0)</f>
        <v>8190.9998469669172</v>
      </c>
      <c r="O53" s="8">
        <f>VLOOKUP($J$51,怪物设定!$X:$AF,MATCH(O$52,怪物设定!$X$23:$AF$23,0),0)</f>
        <v>0.4</v>
      </c>
      <c r="P53" s="8">
        <f>VLOOKUP($J$51,怪物设定!$X:$AF,MATCH(P$52,怪物设定!$X$23:$AF$23,0),0)</f>
        <v>1.5</v>
      </c>
      <c r="Q53" s="8">
        <f>VLOOKUP($J$51,怪物设定!$X:$AF,MATCH(Q$52,怪物设定!$X$23:$AF$23,0),0)</f>
        <v>1</v>
      </c>
      <c r="R53" s="8"/>
      <c r="S53" s="8">
        <f>VLOOKUP($J$51,怪物设定!$X:$AF,MATCH(S$52,怪物设定!$X$23:$AF$23,0),0)</f>
        <v>10</v>
      </c>
      <c r="T53" s="1">
        <v>5</v>
      </c>
      <c r="U53" s="8">
        <f>VLOOKUP($J$51,怪物设定!$X:$AF,MATCH(U$52,怪物设定!$X$23:$AF$23,0),0)</f>
        <v>2.4999999999999991</v>
      </c>
      <c r="V53" s="6">
        <v>0</v>
      </c>
      <c r="W53" s="6">
        <v>0</v>
      </c>
      <c r="X53" s="59">
        <v>0</v>
      </c>
      <c r="Y53" s="78"/>
    </row>
    <row r="54" spans="1:25" ht="14.25" customHeight="1" x14ac:dyDescent="0.2">
      <c r="C54" s="76">
        <f>ROW(X61)</f>
        <v>61</v>
      </c>
      <c r="D54" s="58">
        <f t="shared" ref="D54:D61" si="12">IFERROR(MOD(F54+3-1,3)+1,"")</f>
        <v>2</v>
      </c>
      <c r="E54" s="1">
        <f t="shared" ref="E54:E61" si="13">IFERROR(INT((F54-1)/3)+5,"")</f>
        <v>5</v>
      </c>
      <c r="F54" s="1">
        <f t="shared" ref="F54:F61" si="14">IF(G54="","",ROW(G54)-$C$52+1)</f>
        <v>2</v>
      </c>
      <c r="G54" s="1" t="s">
        <v>279</v>
      </c>
      <c r="H54" s="1" t="str">
        <f>IFERROR(VLOOKUP($G54,角色设定!$R:$S,2,0),"")</f>
        <v/>
      </c>
      <c r="I54" s="1" t="str">
        <f>IFERROR(VLOOKUP(H54,角色设定!$D$9:$E$15,2,0),"")</f>
        <v/>
      </c>
      <c r="J54" s="1">
        <f t="shared" ref="J54:K61" si="15">IF($G54="","",J$51)</f>
        <v>50</v>
      </c>
      <c r="K54" s="1">
        <f t="shared" si="15"/>
        <v>1</v>
      </c>
      <c r="L54" s="8">
        <f>VLOOKUP($J$51,怪物设定!$X:$AF,MATCH(L$52,怪物设定!$X$23:$AF$23,0),0)</f>
        <v>4249.7091472690227</v>
      </c>
      <c r="M54" s="8">
        <f>VLOOKUP($J$51,怪物设定!$X:$AF,MATCH(M$52,怪物设定!$X$23:$AF$23,0),0)</f>
        <v>74324.747448373455</v>
      </c>
      <c r="N54" s="8">
        <f>VLOOKUP($J$51,怪物设定!$X:$AF,MATCH(N$52,怪物设定!$X$23:$AF$23,0),0)</f>
        <v>8190.9998469669172</v>
      </c>
      <c r="O54" s="8">
        <f>VLOOKUP($J$51,怪物设定!$X:$AF,MATCH(O$52,怪物设定!$X$23:$AF$23,0),0)</f>
        <v>0.4</v>
      </c>
      <c r="P54" s="8">
        <f>VLOOKUP($J$51,怪物设定!$X:$AF,MATCH(P$52,怪物设定!$X$23:$AF$23,0),0)</f>
        <v>1.5</v>
      </c>
      <c r="Q54" s="8">
        <f>VLOOKUP($J$51,怪物设定!$X:$AF,MATCH(Q$52,怪物设定!$X$23:$AF$23,0),0)</f>
        <v>1</v>
      </c>
      <c r="S54" s="8">
        <f>VLOOKUP($J$51,怪物设定!$X:$AF,MATCH(S$52,怪物设定!$X$23:$AF$23,0),0)</f>
        <v>10</v>
      </c>
      <c r="T54" s="1">
        <v>5</v>
      </c>
      <c r="U54" s="8">
        <f>VLOOKUP($J$51,怪物设定!$X:$AF,MATCH(U$52,怪物设定!$X$23:$AF$23,0),0)</f>
        <v>2.4999999999999991</v>
      </c>
      <c r="V54" s="6">
        <v>0</v>
      </c>
      <c r="W54" s="6">
        <v>0</v>
      </c>
      <c r="X54" s="59">
        <v>0</v>
      </c>
      <c r="Y54" s="78"/>
    </row>
    <row r="55" spans="1:25" ht="14.25" customHeight="1" x14ac:dyDescent="0.2">
      <c r="C55" s="76">
        <f>COLUMN(X50)</f>
        <v>24</v>
      </c>
      <c r="D55" s="58">
        <f t="shared" si="12"/>
        <v>3</v>
      </c>
      <c r="E55" s="1">
        <f t="shared" si="13"/>
        <v>5</v>
      </c>
      <c r="F55" s="1">
        <f t="shared" si="14"/>
        <v>3</v>
      </c>
      <c r="G55" s="1" t="s">
        <v>280</v>
      </c>
      <c r="H55" s="1" t="str">
        <f>IFERROR(VLOOKUP($G55,角色设定!$R:$S,2,0),"")</f>
        <v/>
      </c>
      <c r="I55" s="1" t="str">
        <f>IFERROR(VLOOKUP(H55,角色设定!$D$9:$E$15,2,0),"")</f>
        <v/>
      </c>
      <c r="J55" s="1">
        <f t="shared" si="15"/>
        <v>50</v>
      </c>
      <c r="K55" s="1">
        <f t="shared" si="15"/>
        <v>1</v>
      </c>
      <c r="L55" s="8">
        <f>VLOOKUP($J$51,怪物设定!$X:$AF,MATCH(L$52,怪物设定!$X$23:$AF$23,0),0)</f>
        <v>4249.7091472690227</v>
      </c>
      <c r="M55" s="8">
        <f>VLOOKUP($J$51,怪物设定!$X:$AF,MATCH(M$52,怪物设定!$X$23:$AF$23,0),0)</f>
        <v>74324.747448373455</v>
      </c>
      <c r="N55" s="8">
        <f>VLOOKUP($J$51,怪物设定!$X:$AF,MATCH(N$52,怪物设定!$X$23:$AF$23,0),0)</f>
        <v>8190.9998469669172</v>
      </c>
      <c r="O55" s="8">
        <f>VLOOKUP($J$51,怪物设定!$X:$AF,MATCH(O$52,怪物设定!$X$23:$AF$23,0),0)</f>
        <v>0.4</v>
      </c>
      <c r="P55" s="8">
        <f>VLOOKUP($J$51,怪物设定!$X:$AF,MATCH(P$52,怪物设定!$X$23:$AF$23,0),0)</f>
        <v>1.5</v>
      </c>
      <c r="Q55" s="8">
        <f>VLOOKUP($J$51,怪物设定!$X:$AF,MATCH(Q$52,怪物设定!$X$23:$AF$23,0),0)</f>
        <v>1</v>
      </c>
      <c r="S55" s="8">
        <f>VLOOKUP($J$51,怪物设定!$X:$AF,MATCH(S$52,怪物设定!$X$23:$AF$23,0),0)</f>
        <v>10</v>
      </c>
      <c r="T55" s="1">
        <v>5</v>
      </c>
      <c r="U55" s="8">
        <f>VLOOKUP($J$51,怪物设定!$X:$AF,MATCH(U$52,怪物设定!$X$23:$AF$23,0),0)</f>
        <v>2.4999999999999991</v>
      </c>
      <c r="V55" s="6">
        <v>0</v>
      </c>
      <c r="W55" s="6">
        <v>0</v>
      </c>
      <c r="X55" s="59">
        <v>0</v>
      </c>
      <c r="Y55" s="78"/>
    </row>
    <row r="56" spans="1:25" ht="14.25" customHeight="1" x14ac:dyDescent="0.2">
      <c r="C56" s="76"/>
      <c r="D56" s="58">
        <f t="shared" si="12"/>
        <v>1</v>
      </c>
      <c r="E56" s="1">
        <f t="shared" si="13"/>
        <v>6</v>
      </c>
      <c r="F56" s="1">
        <f t="shared" si="14"/>
        <v>4</v>
      </c>
      <c r="G56" s="1" t="s">
        <v>281</v>
      </c>
      <c r="H56" s="1" t="str">
        <f>IFERROR(VLOOKUP($G56,角色设定!$R:$S,2,0),"")</f>
        <v/>
      </c>
      <c r="I56" s="1" t="str">
        <f>IFERROR(VLOOKUP(H56,角色设定!$D$9:$E$15,2,0),"")</f>
        <v/>
      </c>
      <c r="J56" s="1">
        <f t="shared" si="15"/>
        <v>50</v>
      </c>
      <c r="K56" s="1">
        <f t="shared" si="15"/>
        <v>1</v>
      </c>
      <c r="L56" s="8">
        <f>VLOOKUP($J$51,怪物设定!$X:$AF,MATCH(L$52,怪物设定!$X$23:$AF$23,0),0)</f>
        <v>4249.7091472690227</v>
      </c>
      <c r="M56" s="8">
        <f>VLOOKUP($J$51,怪物设定!$X:$AF,MATCH(M$52,怪物设定!$X$23:$AF$23,0),0)</f>
        <v>74324.747448373455</v>
      </c>
      <c r="N56" s="8">
        <f>VLOOKUP($J$51,怪物设定!$X:$AF,MATCH(N$52,怪物设定!$X$23:$AF$23,0),0)</f>
        <v>8190.9998469669172</v>
      </c>
      <c r="O56" s="8">
        <f>VLOOKUP($J$51,怪物设定!$X:$AF,MATCH(O$52,怪物设定!$X$23:$AF$23,0),0)</f>
        <v>0.4</v>
      </c>
      <c r="P56" s="8">
        <f>VLOOKUP($J$51,怪物设定!$X:$AF,MATCH(P$52,怪物设定!$X$23:$AF$23,0),0)</f>
        <v>1.5</v>
      </c>
      <c r="Q56" s="8">
        <f>VLOOKUP($J$51,怪物设定!$X:$AF,MATCH(Q$52,怪物设定!$X$23:$AF$23,0),0)</f>
        <v>1</v>
      </c>
      <c r="S56" s="8">
        <f>VLOOKUP($J$51,怪物设定!$X:$AF,MATCH(S$52,怪物设定!$X$23:$AF$23,0),0)</f>
        <v>10</v>
      </c>
      <c r="T56" s="1">
        <v>5</v>
      </c>
      <c r="U56" s="8">
        <f>VLOOKUP($J$51,怪物设定!$X:$AF,MATCH(U$52,怪物设定!$X$23:$AF$23,0),0)</f>
        <v>2.4999999999999991</v>
      </c>
      <c r="V56" s="6">
        <v>0</v>
      </c>
      <c r="W56" s="6">
        <v>0</v>
      </c>
      <c r="X56" s="59">
        <v>0</v>
      </c>
      <c r="Y56" s="78"/>
    </row>
    <row r="57" spans="1:25" ht="14.25" customHeight="1" x14ac:dyDescent="0.2">
      <c r="C57" s="76"/>
      <c r="D57" s="58">
        <f t="shared" si="12"/>
        <v>2</v>
      </c>
      <c r="E57" s="1">
        <f t="shared" si="13"/>
        <v>6</v>
      </c>
      <c r="F57" s="1">
        <f t="shared" si="14"/>
        <v>5</v>
      </c>
      <c r="G57" s="1" t="s">
        <v>282</v>
      </c>
      <c r="H57" s="1" t="str">
        <f>IFERROR(VLOOKUP($G57,角色设定!$R:$S,2,0),"")</f>
        <v/>
      </c>
      <c r="I57" s="1" t="str">
        <f>IFERROR(VLOOKUP(H57,角色设定!$D$9:$E$15,2,0),"")</f>
        <v/>
      </c>
      <c r="J57" s="1">
        <f t="shared" si="15"/>
        <v>50</v>
      </c>
      <c r="K57" s="1">
        <f t="shared" si="15"/>
        <v>1</v>
      </c>
      <c r="L57" s="8">
        <f>VLOOKUP($J$51,怪物设定!$X:$AF,MATCH(L$52,怪物设定!$X$23:$AF$23,0),0)</f>
        <v>4249.7091472690227</v>
      </c>
      <c r="M57" s="8">
        <f>VLOOKUP($J$51,怪物设定!$X:$AF,MATCH(M$52,怪物设定!$X$23:$AF$23,0),0)</f>
        <v>74324.747448373455</v>
      </c>
      <c r="N57" s="8">
        <f>VLOOKUP($J$51,怪物设定!$X:$AF,MATCH(N$52,怪物设定!$X$23:$AF$23,0),0)</f>
        <v>8190.9998469669172</v>
      </c>
      <c r="O57" s="8">
        <f>VLOOKUP($J$51,怪物设定!$X:$AF,MATCH(O$52,怪物设定!$X$23:$AF$23,0),0)</f>
        <v>0.4</v>
      </c>
      <c r="P57" s="8">
        <f>VLOOKUP($J$51,怪物设定!$X:$AF,MATCH(P$52,怪物设定!$X$23:$AF$23,0),0)</f>
        <v>1.5</v>
      </c>
      <c r="Q57" s="8">
        <f>VLOOKUP($J$51,怪物设定!$X:$AF,MATCH(Q$52,怪物设定!$X$23:$AF$23,0),0)</f>
        <v>1</v>
      </c>
      <c r="S57" s="8">
        <f>VLOOKUP($J$51,怪物设定!$X:$AF,MATCH(S$52,怪物设定!$X$23:$AF$23,0),0)</f>
        <v>10</v>
      </c>
      <c r="T57" s="1">
        <v>5</v>
      </c>
      <c r="U57" s="8">
        <f>VLOOKUP($J$51,怪物设定!$X:$AF,MATCH(U$52,怪物设定!$X$23:$AF$23,0),0)</f>
        <v>2.4999999999999991</v>
      </c>
      <c r="V57" s="6">
        <v>0</v>
      </c>
      <c r="W57" s="6">
        <v>0</v>
      </c>
      <c r="X57" s="59">
        <v>0</v>
      </c>
      <c r="Y57" s="78"/>
    </row>
    <row r="58" spans="1:25" ht="14.25" customHeight="1" x14ac:dyDescent="0.2">
      <c r="C58" s="76"/>
      <c r="D58" s="58">
        <f t="shared" si="12"/>
        <v>3</v>
      </c>
      <c r="E58" s="1">
        <f t="shared" si="13"/>
        <v>6</v>
      </c>
      <c r="F58" s="1">
        <f t="shared" si="14"/>
        <v>6</v>
      </c>
      <c r="G58" s="1" t="s">
        <v>283</v>
      </c>
      <c r="H58" s="1" t="str">
        <f>IFERROR(VLOOKUP($G58,角色设定!$R:$S,2,0),"")</f>
        <v/>
      </c>
      <c r="I58" s="1" t="str">
        <f>IFERROR(VLOOKUP(H58,角色设定!$D$9:$E$15,2,0),"")</f>
        <v/>
      </c>
      <c r="J58" s="1">
        <f t="shared" si="15"/>
        <v>50</v>
      </c>
      <c r="K58" s="1">
        <f t="shared" si="15"/>
        <v>1</v>
      </c>
      <c r="L58" s="8">
        <f>VLOOKUP($J$51,怪物设定!$X:$AF,MATCH(L$52,怪物设定!$X$23:$AF$23,0),0)</f>
        <v>4249.7091472690227</v>
      </c>
      <c r="M58" s="8">
        <f>VLOOKUP($J$51,怪物设定!$X:$AF,MATCH(M$52,怪物设定!$X$23:$AF$23,0),0)</f>
        <v>74324.747448373455</v>
      </c>
      <c r="N58" s="8">
        <f>VLOOKUP($J$51,怪物设定!$X:$AF,MATCH(N$52,怪物设定!$X$23:$AF$23,0),0)</f>
        <v>8190.9998469669172</v>
      </c>
      <c r="O58" s="8">
        <f>VLOOKUP($J$51,怪物设定!$X:$AF,MATCH(O$52,怪物设定!$X$23:$AF$23,0),0)</f>
        <v>0.4</v>
      </c>
      <c r="P58" s="8">
        <f>VLOOKUP($J$51,怪物设定!$X:$AF,MATCH(P$52,怪物设定!$X$23:$AF$23,0),0)</f>
        <v>1.5</v>
      </c>
      <c r="Q58" s="8">
        <f>VLOOKUP($J$51,怪物设定!$X:$AF,MATCH(Q$52,怪物设定!$X$23:$AF$23,0),0)</f>
        <v>1</v>
      </c>
      <c r="S58" s="8">
        <f>VLOOKUP($J$51,怪物设定!$X:$AF,MATCH(S$52,怪物设定!$X$23:$AF$23,0),0)</f>
        <v>10</v>
      </c>
      <c r="T58" s="1">
        <v>5</v>
      </c>
      <c r="U58" s="8">
        <f>VLOOKUP($J$51,怪物设定!$X:$AF,MATCH(U$52,怪物设定!$X$23:$AF$23,0),0)</f>
        <v>2.4999999999999991</v>
      </c>
      <c r="V58" s="6">
        <v>0</v>
      </c>
      <c r="W58" s="6">
        <v>0</v>
      </c>
      <c r="X58" s="59">
        <v>0</v>
      </c>
      <c r="Y58" s="78"/>
    </row>
    <row r="59" spans="1:25" ht="14.25" customHeight="1" x14ac:dyDescent="0.2">
      <c r="C59" s="76"/>
      <c r="D59" s="58">
        <f t="shared" si="12"/>
        <v>1</v>
      </c>
      <c r="E59" s="1">
        <f t="shared" si="13"/>
        <v>7</v>
      </c>
      <c r="F59" s="1">
        <f t="shared" si="14"/>
        <v>7</v>
      </c>
      <c r="G59" s="1" t="s">
        <v>284</v>
      </c>
      <c r="H59" s="1" t="str">
        <f>IFERROR(VLOOKUP($G59,角色设定!$R:$S,2,0),"")</f>
        <v/>
      </c>
      <c r="I59" s="1" t="str">
        <f>IFERROR(VLOOKUP(H59,角色设定!$D$9:$E$15,2,0),"")</f>
        <v/>
      </c>
      <c r="J59" s="1">
        <f t="shared" si="15"/>
        <v>50</v>
      </c>
      <c r="K59" s="1">
        <f t="shared" si="15"/>
        <v>1</v>
      </c>
      <c r="L59" s="8">
        <f>VLOOKUP($J$51,怪物设定!$X:$AF,MATCH(L$52,怪物设定!$X$23:$AF$23,0),0)</f>
        <v>4249.7091472690227</v>
      </c>
      <c r="M59" s="8">
        <f>VLOOKUP($J$51,怪物设定!$X:$AF,MATCH(M$52,怪物设定!$X$23:$AF$23,0),0)</f>
        <v>74324.747448373455</v>
      </c>
      <c r="N59" s="8">
        <f>VLOOKUP($J$51,怪物设定!$X:$AF,MATCH(N$52,怪物设定!$X$23:$AF$23,0),0)</f>
        <v>8190.9998469669172</v>
      </c>
      <c r="O59" s="8">
        <f>VLOOKUP($J$51,怪物设定!$X:$AF,MATCH(O$52,怪物设定!$X$23:$AF$23,0),0)</f>
        <v>0.4</v>
      </c>
      <c r="P59" s="8">
        <f>VLOOKUP($J$51,怪物设定!$X:$AF,MATCH(P$52,怪物设定!$X$23:$AF$23,0),0)</f>
        <v>1.5</v>
      </c>
      <c r="Q59" s="8">
        <f>VLOOKUP($J$51,怪物设定!$X:$AF,MATCH(Q$52,怪物设定!$X$23:$AF$23,0),0)</f>
        <v>1</v>
      </c>
      <c r="S59" s="8">
        <f>VLOOKUP($J$51,怪物设定!$X:$AF,MATCH(S$52,怪物设定!$X$23:$AF$23,0),0)</f>
        <v>10</v>
      </c>
      <c r="T59" s="1">
        <v>5</v>
      </c>
      <c r="U59" s="8">
        <f>VLOOKUP($J$51,怪物设定!$X:$AF,MATCH(U$52,怪物设定!$X$23:$AF$23,0),0)</f>
        <v>2.4999999999999991</v>
      </c>
      <c r="V59" s="6">
        <v>0</v>
      </c>
      <c r="W59" s="6">
        <v>0</v>
      </c>
      <c r="X59" s="59">
        <v>0</v>
      </c>
      <c r="Y59" s="78"/>
    </row>
    <row r="60" spans="1:25" ht="14.25" customHeight="1" x14ac:dyDescent="0.2">
      <c r="C60" s="76"/>
      <c r="D60" s="58">
        <f t="shared" si="12"/>
        <v>2</v>
      </c>
      <c r="E60" s="1">
        <f t="shared" si="13"/>
        <v>7</v>
      </c>
      <c r="F60" s="1">
        <f t="shared" si="14"/>
        <v>8</v>
      </c>
      <c r="G60" s="1" t="s">
        <v>285</v>
      </c>
      <c r="H60" s="1" t="str">
        <f>IFERROR(VLOOKUP($G60,角色设定!$R:$S,2,0),"")</f>
        <v/>
      </c>
      <c r="I60" s="1" t="str">
        <f>IFERROR(VLOOKUP(H60,角色设定!$D$9:$E$15,2,0),"")</f>
        <v/>
      </c>
      <c r="J60" s="1">
        <f t="shared" si="15"/>
        <v>50</v>
      </c>
      <c r="K60" s="1">
        <f t="shared" si="15"/>
        <v>1</v>
      </c>
      <c r="L60" s="8">
        <f>VLOOKUP($J$51,怪物设定!$X:$AF,MATCH(L$52,怪物设定!$X$23:$AF$23,0),0)</f>
        <v>4249.7091472690227</v>
      </c>
      <c r="M60" s="8">
        <f>VLOOKUP($J$51,怪物设定!$X:$AF,MATCH(M$52,怪物设定!$X$23:$AF$23,0),0)</f>
        <v>74324.747448373455</v>
      </c>
      <c r="N60" s="8">
        <f>VLOOKUP($J$51,怪物设定!$X:$AF,MATCH(N$52,怪物设定!$X$23:$AF$23,0),0)</f>
        <v>8190.9998469669172</v>
      </c>
      <c r="O60" s="8">
        <f>VLOOKUP($J$51,怪物设定!$X:$AF,MATCH(O$52,怪物设定!$X$23:$AF$23,0),0)</f>
        <v>0.4</v>
      </c>
      <c r="P60" s="8">
        <f>VLOOKUP($J$51,怪物设定!$X:$AF,MATCH(P$52,怪物设定!$X$23:$AF$23,0),0)</f>
        <v>1.5</v>
      </c>
      <c r="Q60" s="8">
        <f>VLOOKUP($J$51,怪物设定!$X:$AF,MATCH(Q$52,怪物设定!$X$23:$AF$23,0),0)</f>
        <v>1</v>
      </c>
      <c r="S60" s="8">
        <f>VLOOKUP($J$51,怪物设定!$X:$AF,MATCH(S$52,怪物设定!$X$23:$AF$23,0),0)</f>
        <v>10</v>
      </c>
      <c r="T60" s="1">
        <v>5</v>
      </c>
      <c r="U60" s="8">
        <f>VLOOKUP($J$51,怪物设定!$X:$AF,MATCH(U$52,怪物设定!$X$23:$AF$23,0),0)</f>
        <v>2.4999999999999991</v>
      </c>
      <c r="V60" s="6">
        <v>0</v>
      </c>
      <c r="W60" s="6">
        <v>0</v>
      </c>
      <c r="X60" s="59">
        <v>2</v>
      </c>
      <c r="Y60" s="78"/>
    </row>
    <row r="61" spans="1:25" ht="14.25" customHeight="1" thickBot="1" x14ac:dyDescent="0.25">
      <c r="C61" s="76"/>
      <c r="D61" s="60">
        <f t="shared" si="12"/>
        <v>3</v>
      </c>
      <c r="E61" s="61">
        <f t="shared" si="13"/>
        <v>7</v>
      </c>
      <c r="F61" s="61">
        <f t="shared" si="14"/>
        <v>9</v>
      </c>
      <c r="G61" s="61" t="s">
        <v>286</v>
      </c>
      <c r="H61" s="61" t="str">
        <f>IFERROR(VLOOKUP($G61,角色设定!$R:$S,2,0),"")</f>
        <v/>
      </c>
      <c r="I61" s="61" t="str">
        <f>IFERROR(VLOOKUP(H61,角色设定!$D$9:$E$15,2,0),"")</f>
        <v/>
      </c>
      <c r="J61" s="61">
        <f t="shared" si="15"/>
        <v>50</v>
      </c>
      <c r="K61" s="61">
        <f t="shared" si="15"/>
        <v>1</v>
      </c>
      <c r="L61" s="62">
        <f>VLOOKUP($J$51,怪物设定!$X:$AF,MATCH(L$52,怪物设定!$X$23:$AF$23,0),0)</f>
        <v>4249.7091472690227</v>
      </c>
      <c r="M61" s="62">
        <f>VLOOKUP($J$51,怪物设定!$X:$AF,MATCH(M$52,怪物设定!$X$23:$AF$23,0),0)</f>
        <v>74324.747448373455</v>
      </c>
      <c r="N61" s="62">
        <f>VLOOKUP($J$51,怪物设定!$X:$AF,MATCH(N$52,怪物设定!$X$23:$AF$23,0),0)</f>
        <v>8190.9998469669172</v>
      </c>
      <c r="O61" s="62">
        <f>VLOOKUP($J$51,怪物设定!$X:$AF,MATCH(O$52,怪物设定!$X$23:$AF$23,0),0)</f>
        <v>0.4</v>
      </c>
      <c r="P61" s="62">
        <f>VLOOKUP($J$51,怪物设定!$X:$AF,MATCH(P$52,怪物设定!$X$23:$AF$23,0),0)</f>
        <v>1.5</v>
      </c>
      <c r="Q61" s="62">
        <f>VLOOKUP($J$51,怪物设定!$X:$AF,MATCH(Q$52,怪物设定!$X$23:$AF$23,0),0)</f>
        <v>1</v>
      </c>
      <c r="R61" s="61"/>
      <c r="S61" s="62">
        <f>VLOOKUP($J$51,怪物设定!$X:$AF,MATCH(S$52,怪物设定!$X$23:$AF$23,0),0)</f>
        <v>10</v>
      </c>
      <c r="T61" s="61">
        <v>5</v>
      </c>
      <c r="U61" s="62">
        <f>VLOOKUP($J$51,怪物设定!$X:$AF,MATCH(U$52,怪物设定!$X$23:$AF$23,0),0)</f>
        <v>2.4999999999999991</v>
      </c>
      <c r="V61" s="63">
        <v>0</v>
      </c>
      <c r="W61" s="63">
        <v>0</v>
      </c>
      <c r="X61" s="64">
        <v>0</v>
      </c>
      <c r="Y61" s="78"/>
    </row>
    <row r="62" spans="1:25" ht="14.25" customHeight="1" x14ac:dyDescent="0.2">
      <c r="D62" s="75"/>
      <c r="E62" s="75"/>
      <c r="F62" s="75"/>
      <c r="G62" s="75"/>
      <c r="H62" s="75"/>
      <c r="I62" s="75"/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75"/>
      <c r="V62" s="75"/>
      <c r="W62" s="75"/>
      <c r="X62" s="75"/>
    </row>
  </sheetData>
  <mergeCells count="5">
    <mergeCell ref="A1:B2"/>
    <mergeCell ref="D4:F4"/>
    <mergeCell ref="H4:J4"/>
    <mergeCell ref="D36:F36"/>
    <mergeCell ref="H36:J3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基础模型(废）</vt:lpstr>
      <vt:lpstr>基础模型</vt:lpstr>
      <vt:lpstr>战斗公式</vt:lpstr>
      <vt:lpstr>角色设定</vt:lpstr>
      <vt:lpstr>角色成长</vt:lpstr>
      <vt:lpstr>角色品星</vt:lpstr>
      <vt:lpstr>角色升级</vt:lpstr>
      <vt:lpstr>技能模板</vt:lpstr>
      <vt:lpstr>角色技能</vt:lpstr>
      <vt:lpstr>怪物设定</vt:lpstr>
      <vt:lpstr>战斗模拟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2022-10-28T10:54:35Z</dcterms:created>
  <dcterms:modified xsi:type="dcterms:W3CDTF">2023-01-04T11:12:51Z</dcterms:modified>
</cp:coreProperties>
</file>
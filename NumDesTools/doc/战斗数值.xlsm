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B850AFE7-A8DF-4B87-8D05-0E8D3AC08D30}" xr6:coauthVersionLast="47" xr6:coauthVersionMax="47" xr10:uidLastSave="{00000000-0000-0000-0000-000000000000}"/>
  <bookViews>
    <workbookView xWindow="-120" yWindow="-120" windowWidth="29040" windowHeight="15720" activeTab="9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战斗模拟" sheetId="9" r:id="rId10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9" l="1"/>
  <c r="G2" i="9"/>
  <c r="A9" i="9"/>
  <c r="T22" i="9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2" i="9"/>
  <c r="D22" i="9" s="1"/>
  <c r="F25" i="9"/>
  <c r="D25" i="9" s="1"/>
  <c r="F27" i="9"/>
  <c r="E27" i="9" s="1"/>
  <c r="F29" i="9"/>
  <c r="E29" i="9" s="1"/>
  <c r="F11" i="9"/>
  <c r="F12" i="9"/>
  <c r="F13" i="9"/>
  <c r="F14" i="9"/>
  <c r="D14" i="9" s="1"/>
  <c r="F15" i="9"/>
  <c r="F16" i="9"/>
  <c r="F17" i="9"/>
  <c r="D17" i="9" s="1"/>
  <c r="F18" i="9"/>
  <c r="D18" i="9" s="1"/>
  <c r="E11" i="9"/>
  <c r="E12" i="9"/>
  <c r="E13" i="9"/>
  <c r="E14" i="9"/>
  <c r="E15" i="9"/>
  <c r="E16" i="9"/>
  <c r="E17" i="9"/>
  <c r="E18" i="9"/>
  <c r="D11" i="9"/>
  <c r="D12" i="9"/>
  <c r="D13" i="9"/>
  <c r="D15" i="9"/>
  <c r="D16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I15" i="8"/>
  <c r="I16" i="8"/>
  <c r="I17" i="8"/>
  <c r="I18" i="8"/>
  <c r="I19" i="8"/>
  <c r="I14" i="8"/>
  <c r="C23" i="9"/>
  <c r="C22" i="9"/>
  <c r="C21" i="9"/>
  <c r="C20" i="9"/>
  <c r="F21" i="9" s="1"/>
  <c r="D21" i="9" s="1"/>
  <c r="C12" i="9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E22" i="9" l="1"/>
  <c r="E21" i="9"/>
  <c r="E25" i="9"/>
  <c r="F28" i="9"/>
  <c r="F26" i="9"/>
  <c r="D29" i="9"/>
  <c r="D27" i="9"/>
  <c r="U29" i="9"/>
  <c r="U25" i="9"/>
  <c r="U27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X22" i="9"/>
  <c r="W22" i="9"/>
  <c r="V22" i="9"/>
  <c r="V24" i="9"/>
  <c r="U22" i="9"/>
  <c r="X15" i="9"/>
  <c r="V29" i="9"/>
  <c r="W29" i="9"/>
  <c r="V26" i="9"/>
  <c r="X29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M19" i="8"/>
  <c r="L14" i="8"/>
  <c r="K14" i="8"/>
  <c r="M14" i="8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K5" i="10" s="1"/>
  <c r="F29" i="8"/>
  <c r="E29" i="8"/>
  <c r="E28" i="8"/>
  <c r="E27" i="8"/>
  <c r="E24" i="8"/>
  <c r="E26" i="8"/>
  <c r="E25" i="8"/>
  <c r="F7" i="4"/>
  <c r="F6" i="4"/>
  <c r="F5" i="4"/>
  <c r="E7" i="4"/>
  <c r="E6" i="4"/>
  <c r="E5" i="4"/>
  <c r="D23" i="9" l="1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L16" i="10"/>
  <c r="F15" i="10"/>
  <c r="L15" i="10"/>
  <c r="F10" i="10"/>
  <c r="F8" i="10"/>
  <c r="K8" i="10"/>
  <c r="K7" i="10"/>
  <c r="K6" i="10"/>
  <c r="F5" i="10"/>
  <c r="H23" i="2"/>
  <c r="H24" i="2"/>
  <c r="G23" i="2"/>
  <c r="E18" i="3"/>
  <c r="F18" i="3"/>
  <c r="F24" i="3" s="1"/>
  <c r="G18" i="3"/>
  <c r="E19" i="3"/>
  <c r="F19" i="3"/>
  <c r="G19" i="3"/>
  <c r="E20" i="3"/>
  <c r="F20" i="3"/>
  <c r="G20" i="3"/>
  <c r="E21" i="3"/>
  <c r="E25" i="3" s="1"/>
  <c r="F21" i="3"/>
  <c r="G21" i="3"/>
  <c r="G24" i="3" s="1"/>
  <c r="F17" i="3"/>
  <c r="G17" i="3"/>
  <c r="E17" i="3"/>
  <c r="E23" i="2"/>
  <c r="N6" i="8"/>
  <c r="N7" i="8"/>
  <c r="N8" i="8"/>
  <c r="N9" i="8"/>
  <c r="N10" i="8"/>
  <c r="N5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P6" i="8" s="1"/>
  <c r="F7" i="8"/>
  <c r="G7" i="8"/>
  <c r="P7" i="8" s="1"/>
  <c r="F8" i="8"/>
  <c r="G8" i="8"/>
  <c r="Q8" i="8" s="1"/>
  <c r="F9" i="8"/>
  <c r="G9" i="8"/>
  <c r="Q9" i="8" s="1"/>
  <c r="F10" i="8"/>
  <c r="G10" i="8"/>
  <c r="Q10" i="8" s="1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AA12" i="4"/>
  <c r="AJ12" i="4" s="1"/>
  <c r="AA13" i="4"/>
  <c r="AJ13" i="4" s="1"/>
  <c r="AA14" i="4"/>
  <c r="AJ14" i="4" s="1"/>
  <c r="AA15" i="4"/>
  <c r="AJ15" i="4" s="1"/>
  <c r="AA16" i="4"/>
  <c r="AJ16" i="4" s="1"/>
  <c r="AA17" i="4"/>
  <c r="AJ17" i="4" s="1"/>
  <c r="AA18" i="4"/>
  <c r="AJ18" i="4" s="1"/>
  <c r="AA19" i="4"/>
  <c r="AJ19" i="4" s="1"/>
  <c r="AA20" i="4"/>
  <c r="AJ20" i="4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H5" i="5"/>
  <c r="O8" i="5"/>
  <c r="O14" i="5" s="1"/>
  <c r="H16" i="4"/>
  <c r="I26" i="4" s="1"/>
  <c r="I28" i="4" s="1"/>
  <c r="O28" i="4"/>
  <c r="O29" i="4"/>
  <c r="O30" i="4"/>
  <c r="O31" i="4"/>
  <c r="O32" i="4"/>
  <c r="O27" i="4"/>
  <c r="J15" i="7" l="1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N21" i="9"/>
  <c r="M21" i="9" s="1"/>
  <c r="N24" i="9"/>
  <c r="M24" i="9" s="1"/>
  <c r="R18" i="9"/>
  <c r="N11" i="9"/>
  <c r="M11" i="9" s="1"/>
  <c r="R26" i="9"/>
  <c r="N16" i="9"/>
  <c r="M16" i="9" s="1"/>
  <c r="N12" i="9"/>
  <c r="M12" i="9" s="1"/>
  <c r="O14" i="9"/>
  <c r="O16" i="9"/>
  <c r="N13" i="9"/>
  <c r="M13" i="9" s="1"/>
  <c r="P14" i="9"/>
  <c r="P16" i="9"/>
  <c r="N14" i="9"/>
  <c r="M14" i="9" s="1"/>
  <c r="Q14" i="9"/>
  <c r="R24" i="9"/>
  <c r="Q16" i="9"/>
  <c r="N27" i="9"/>
  <c r="M27" i="9" s="1"/>
  <c r="N29" i="9"/>
  <c r="M29" i="9" s="1"/>
  <c r="R16" i="9"/>
  <c r="V18" i="5"/>
  <c r="U18" i="5" s="1"/>
  <c r="R25" i="9"/>
  <c r="R23" i="9"/>
  <c r="N26" i="9"/>
  <c r="M26" i="9" s="1"/>
  <c r="N22" i="9"/>
  <c r="M22" i="9" s="1"/>
  <c r="O27" i="9"/>
  <c r="O29" i="9"/>
  <c r="N10" i="9"/>
  <c r="M10" i="9" s="1"/>
  <c r="P27" i="9"/>
  <c r="P29" i="9"/>
  <c r="R11" i="9"/>
  <c r="Q27" i="9"/>
  <c r="R12" i="9"/>
  <c r="N25" i="9"/>
  <c r="M25" i="9" s="1"/>
  <c r="R29" i="9"/>
  <c r="O25" i="9"/>
  <c r="N15" i="9"/>
  <c r="M15" i="9" s="1"/>
  <c r="Q25" i="9"/>
  <c r="N28" i="9"/>
  <c r="M28" i="9" s="1"/>
  <c r="R17" i="9"/>
  <c r="P11" i="9"/>
  <c r="R21" i="9"/>
  <c r="O18" i="9"/>
  <c r="O22" i="9"/>
  <c r="P22" i="9"/>
  <c r="Q29" i="9"/>
  <c r="Q22" i="9"/>
  <c r="R27" i="9"/>
  <c r="N17" i="9"/>
  <c r="M17" i="9" s="1"/>
  <c r="R13" i="9"/>
  <c r="R22" i="9"/>
  <c r="R14" i="9"/>
  <c r="P25" i="9"/>
  <c r="R10" i="9"/>
  <c r="O11" i="9"/>
  <c r="N23" i="9"/>
  <c r="M23" i="9" s="1"/>
  <c r="R15" i="9"/>
  <c r="Q11" i="9"/>
  <c r="N18" i="9"/>
  <c r="M18" i="9" s="1"/>
  <c r="R28" i="9"/>
  <c r="F23" i="3"/>
  <c r="H25" i="3"/>
  <c r="E23" i="3"/>
  <c r="F25" i="3"/>
  <c r="E24" i="3"/>
  <c r="H24" i="3" s="1"/>
  <c r="G23" i="3"/>
  <c r="S9" i="8"/>
  <c r="S8" i="8"/>
  <c r="S7" i="8"/>
  <c r="Q7" i="8"/>
  <c r="Q6" i="8"/>
  <c r="P5" i="8"/>
  <c r="P10" i="8"/>
  <c r="P9" i="8"/>
  <c r="P8" i="8"/>
  <c r="Q5" i="8"/>
  <c r="AB55" i="7"/>
  <c r="AB41" i="7"/>
  <c r="AB102" i="7"/>
  <c r="AB83" i="7"/>
  <c r="AB101" i="7"/>
  <c r="AB33" i="7"/>
  <c r="AB60" i="7"/>
  <c r="AB8" i="7"/>
  <c r="AB104" i="7"/>
  <c r="AB96" i="7"/>
  <c r="AB85" i="7"/>
  <c r="AB13" i="7"/>
  <c r="AB100" i="7"/>
  <c r="AB88" i="7"/>
  <c r="AB78" i="7"/>
  <c r="AB52" i="7"/>
  <c r="AB24" i="7"/>
  <c r="AB97" i="7"/>
  <c r="AB87" i="7"/>
  <c r="AB49" i="7"/>
  <c r="AB94" i="7"/>
  <c r="AB77" i="7"/>
  <c r="AB69" i="7"/>
  <c r="AB58" i="7"/>
  <c r="AB35" i="7"/>
  <c r="AB16" i="7"/>
  <c r="AB99" i="7"/>
  <c r="AB91" i="7"/>
  <c r="AB86" i="7"/>
  <c r="AB80" i="7"/>
  <c r="AB75" i="7"/>
  <c r="AB66" i="7"/>
  <c r="AB44" i="7"/>
  <c r="AB103" i="7"/>
  <c r="AB90" i="7"/>
  <c r="AB82" i="7"/>
  <c r="AB79" i="7"/>
  <c r="AB74" i="7"/>
  <c r="AB71" i="7"/>
  <c r="AB63" i="7"/>
  <c r="AB54" i="7"/>
  <c r="AB46" i="7"/>
  <c r="AB43" i="7"/>
  <c r="AB38" i="7"/>
  <c r="AB29" i="7"/>
  <c r="AB27" i="7"/>
  <c r="AB18" i="7"/>
  <c r="AB10" i="7"/>
  <c r="AB7" i="7"/>
  <c r="AB50" i="7"/>
  <c r="AB47" i="7"/>
  <c r="AB39" i="7"/>
  <c r="AB30" i="7"/>
  <c r="AB22" i="7"/>
  <c r="AB19" i="7"/>
  <c r="AB14" i="7"/>
  <c r="AB92" i="7"/>
  <c r="AB89" i="7"/>
  <c r="AB81" i="7"/>
  <c r="AB72" i="7"/>
  <c r="AB64" i="7"/>
  <c r="AB61" i="7"/>
  <c r="AB56" i="7"/>
  <c r="AB53" i="7"/>
  <c r="AB45" i="7"/>
  <c r="AB36" i="7"/>
  <c r="AB28" i="7"/>
  <c r="AB25" i="7"/>
  <c r="AB20" i="7"/>
  <c r="AB11" i="7"/>
  <c r="AB9" i="7"/>
  <c r="AB70" i="7"/>
  <c r="AB67" i="7"/>
  <c r="AB62" i="7"/>
  <c r="AB59" i="7"/>
  <c r="AB51" i="7"/>
  <c r="AB42" i="7"/>
  <c r="AB34" i="7"/>
  <c r="AB31" i="7"/>
  <c r="AB26" i="7"/>
  <c r="AB17" i="7"/>
  <c r="AB15" i="7"/>
  <c r="AB6" i="7"/>
  <c r="AB98" i="7"/>
  <c r="AB95" i="7"/>
  <c r="AB93" i="7"/>
  <c r="AB84" i="7"/>
  <c r="AB76" i="7"/>
  <c r="AB73" i="7"/>
  <c r="AB68" i="7"/>
  <c r="AB65" i="7"/>
  <c r="AB57" i="7"/>
  <c r="AB48" i="7"/>
  <c r="AB40" i="7"/>
  <c r="AB37" i="7"/>
  <c r="AB32" i="7"/>
  <c r="AB23" i="7"/>
  <c r="AB21" i="7"/>
  <c r="AB12" i="7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H5" i="7" s="1"/>
  <c r="A20" i="9" l="1"/>
  <c r="L18" i="9"/>
  <c r="L22" i="9"/>
  <c r="L25" i="9"/>
  <c r="L16" i="9"/>
  <c r="L11" i="9"/>
  <c r="L14" i="9"/>
  <c r="L27" i="9"/>
  <c r="L29" i="9"/>
  <c r="H23" i="3"/>
  <c r="E32" i="3" s="1"/>
  <c r="Q2" i="8"/>
  <c r="R6" i="8" s="1"/>
  <c r="S6" i="8" s="1"/>
  <c r="AG11" i="4"/>
  <c r="AH11" i="4"/>
  <c r="AI11" i="4"/>
  <c r="AG12" i="4"/>
  <c r="AH12" i="4"/>
  <c r="AI12" i="4"/>
  <c r="I7" i="7" s="1"/>
  <c r="AG13" i="4"/>
  <c r="AH13" i="4"/>
  <c r="AI13" i="4"/>
  <c r="I8" i="7" s="1"/>
  <c r="AG14" i="4"/>
  <c r="AH14" i="4"/>
  <c r="AI14" i="4"/>
  <c r="AG15" i="4"/>
  <c r="AH15" i="4"/>
  <c r="AI15" i="4"/>
  <c r="I10" i="7" s="1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AI10" i="4"/>
  <c r="AG10" i="4"/>
  <c r="AF11" i="4"/>
  <c r="H6" i="7" s="1"/>
  <c r="Y11" i="4"/>
  <c r="Y12" i="4"/>
  <c r="Y13" i="4"/>
  <c r="Y14" i="4"/>
  <c r="Y15" i="4"/>
  <c r="Y16" i="4"/>
  <c r="Y17" i="4"/>
  <c r="Y18" i="4"/>
  <c r="Y19" i="4"/>
  <c r="Y20" i="4"/>
  <c r="Y21" i="4"/>
  <c r="Y10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H10" i="7" s="1"/>
  <c r="F8" i="5"/>
  <c r="F7" i="5"/>
  <c r="P18" i="5"/>
  <c r="G21" i="2"/>
  <c r="G17" i="2"/>
  <c r="G18" i="2"/>
  <c r="G19" i="2"/>
  <c r="G20" i="2"/>
  <c r="N16" i="3"/>
  <c r="N44" i="3" s="1"/>
  <c r="E21" i="2"/>
  <c r="E42" i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I11" i="7" l="1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28" i="3"/>
  <c r="E29" i="3"/>
  <c r="E31" i="3" s="1"/>
  <c r="E30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H9" i="7" s="1"/>
  <c r="AF13" i="4"/>
  <c r="H8" i="7" s="1"/>
  <c r="AF12" i="4"/>
  <c r="H7" i="7" s="1"/>
  <c r="AF21" i="4"/>
  <c r="AF20" i="4"/>
  <c r="H15" i="7" s="1"/>
  <c r="AF19" i="4"/>
  <c r="H14" i="7" s="1"/>
  <c r="AF18" i="4"/>
  <c r="H13" i="7" s="1"/>
  <c r="AF17" i="4"/>
  <c r="H12" i="7" s="1"/>
  <c r="AF16" i="4"/>
  <c r="H11" i="7" s="1"/>
  <c r="I31" i="4"/>
  <c r="I33" i="4"/>
  <c r="I32" i="4"/>
  <c r="I29" i="4"/>
  <c r="I30" i="4"/>
  <c r="E39" i="1"/>
  <c r="F6" i="5"/>
  <c r="F5" i="5"/>
  <c r="G7" i="5" s="1"/>
  <c r="AA52" i="7" l="1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S5" i="7" s="1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L21" i="9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L13" i="9"/>
  <c r="L4" i="9" s="1"/>
  <c r="L23" i="9"/>
  <c r="AA86" i="7"/>
  <c r="S86" i="7" s="1"/>
  <c r="L12" i="9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L10" i="9"/>
  <c r="L1" i="9" s="1"/>
  <c r="M1" i="9" s="1"/>
  <c r="AA90" i="7"/>
  <c r="S90" i="7" s="1"/>
  <c r="AA28" i="7"/>
  <c r="S28" i="7" s="1"/>
  <c r="AA71" i="7"/>
  <c r="S71" i="7" s="1"/>
  <c r="AA67" i="7"/>
  <c r="S67" i="7" s="1"/>
  <c r="AA69" i="7"/>
  <c r="S69" i="7" s="1"/>
  <c r="L15" i="9"/>
  <c r="L6" i="9" s="1"/>
  <c r="M6" i="9" s="1"/>
  <c r="L24" i="9"/>
  <c r="AA41" i="7"/>
  <c r="S41" i="7" s="1"/>
  <c r="AA51" i="7"/>
  <c r="S51" i="7" s="1"/>
  <c r="AA83" i="7"/>
  <c r="S83" i="7" s="1"/>
  <c r="AA85" i="7"/>
  <c r="S85" i="7" s="1"/>
  <c r="L17" i="9"/>
  <c r="L26" i="9"/>
  <c r="AA91" i="7"/>
  <c r="S91" i="7" s="1"/>
  <c r="AA23" i="7"/>
  <c r="S23" i="7" s="1"/>
  <c r="AA39" i="7"/>
  <c r="S39" i="7" s="1"/>
  <c r="AA32" i="7"/>
  <c r="S32" i="7" s="1"/>
  <c r="L28" i="9"/>
  <c r="F29" i="3"/>
  <c r="F32" i="3"/>
  <c r="E36" i="3" s="1"/>
  <c r="F31" i="3"/>
  <c r="F28" i="3"/>
  <c r="F30" i="3"/>
  <c r="R2" i="8"/>
  <c r="S5" i="8"/>
  <c r="G8" i="5"/>
  <c r="G6" i="5"/>
  <c r="M17" i="4"/>
  <c r="E44" i="1"/>
  <c r="E43" i="1"/>
  <c r="E40" i="1"/>
  <c r="L17" i="4"/>
  <c r="M4" i="9" l="1"/>
  <c r="N4" i="9" s="1"/>
  <c r="N6" i="9" s="1"/>
  <c r="K4" i="9"/>
  <c r="K6" i="9" s="1"/>
  <c r="E35" i="3"/>
  <c r="E34" i="3"/>
  <c r="N10" i="3"/>
  <c r="M10" i="3"/>
  <c r="M16" i="3" s="1"/>
  <c r="M44" i="3" s="1"/>
  <c r="M7" i="3"/>
  <c r="M13" i="3" s="1"/>
  <c r="Q49" i="2"/>
  <c r="T50" i="2"/>
  <c r="T51" i="2"/>
  <c r="T49" i="2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F10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P21" i="3" l="1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W15" i="4"/>
  <c r="W14" i="4"/>
  <c r="W12" i="4"/>
  <c r="W13" i="4"/>
  <c r="K12" i="2"/>
  <c r="G16" i="4"/>
  <c r="F16" i="4"/>
  <c r="G26" i="4" s="1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AD10" i="4"/>
  <c r="F5" i="7" s="1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F10" i="7" s="1"/>
  <c r="AD19" i="4"/>
  <c r="F14" i="7" s="1"/>
  <c r="X18" i="4"/>
  <c r="AD18" i="4"/>
  <c r="F13" i="7" s="1"/>
  <c r="X14" i="4"/>
  <c r="AD14" i="4"/>
  <c r="F9" i="7" s="1"/>
  <c r="AD17" i="4"/>
  <c r="F12" i="7" s="1"/>
  <c r="L10" i="4"/>
  <c r="X11" i="4"/>
  <c r="AD11" i="4"/>
  <c r="F6" i="7" s="1"/>
  <c r="X12" i="4"/>
  <c r="X16" i="4"/>
  <c r="AD16" i="4"/>
  <c r="F11" i="7" s="1"/>
  <c r="X20" i="4"/>
  <c r="AD20" i="4"/>
  <c r="F15" i="7" s="1"/>
  <c r="AD12" i="4"/>
  <c r="F7" i="7" s="1"/>
  <c r="X10" i="4"/>
  <c r="V10" i="4" s="1"/>
  <c r="X21" i="4"/>
  <c r="AD21" i="4"/>
  <c r="E15" i="5"/>
  <c r="E18" i="5" s="1"/>
  <c r="L18" i="5" s="1"/>
  <c r="G30" i="4"/>
  <c r="G32" i="4"/>
  <c r="G29" i="4"/>
  <c r="F15" i="5"/>
  <c r="H26" i="4"/>
  <c r="P18" i="2"/>
  <c r="L13" i="4"/>
  <c r="I8" i="8" s="1"/>
  <c r="G17" i="8" s="1"/>
  <c r="L15" i="4"/>
  <c r="I10" i="8" s="1"/>
  <c r="G19" i="8" s="1"/>
  <c r="I30" i="2"/>
  <c r="L14" i="4"/>
  <c r="I9" i="8" s="1"/>
  <c r="G18" i="8" s="1"/>
  <c r="L12" i="4"/>
  <c r="I7" i="8" s="1"/>
  <c r="G16" i="8" s="1"/>
  <c r="L11" i="4"/>
  <c r="I6" i="8" s="1"/>
  <c r="G15" i="8" s="1"/>
  <c r="O21" i="3"/>
  <c r="Q33" i="3"/>
  <c r="P34" i="3" s="1"/>
  <c r="O32" i="3"/>
  <c r="M33" i="3"/>
  <c r="O22" i="3" l="1"/>
  <c r="F14" i="8"/>
  <c r="J14" i="8" s="1"/>
  <c r="O14" i="8"/>
  <c r="S14" i="8" s="1"/>
  <c r="L18" i="8"/>
  <c r="P18" i="8"/>
  <c r="K17" i="8"/>
  <c r="F17" i="8"/>
  <c r="J17" i="8" s="1"/>
  <c r="O17" i="8"/>
  <c r="L16" i="8"/>
  <c r="P16" i="8"/>
  <c r="V5" i="7"/>
  <c r="N5" i="7" s="1"/>
  <c r="K15" i="8"/>
  <c r="F15" i="8"/>
  <c r="J15" i="8" s="1"/>
  <c r="O15" i="8"/>
  <c r="S15" i="8" s="1"/>
  <c r="K16" i="8"/>
  <c r="F16" i="8"/>
  <c r="O16" i="8"/>
  <c r="L15" i="8"/>
  <c r="P15" i="8"/>
  <c r="L19" i="8"/>
  <c r="P19" i="8"/>
  <c r="L17" i="8"/>
  <c r="P17" i="8"/>
  <c r="J10" i="4"/>
  <c r="H19" i="4"/>
  <c r="M19" i="4" s="1"/>
  <c r="N19" i="4" s="1"/>
  <c r="I5" i="8"/>
  <c r="G14" i="8" s="1"/>
  <c r="B20" i="5"/>
  <c r="K18" i="8"/>
  <c r="F18" i="8"/>
  <c r="J18" i="8" s="1"/>
  <c r="O18" i="8"/>
  <c r="K19" i="8"/>
  <c r="F19" i="8"/>
  <c r="J19" i="8" s="1"/>
  <c r="O19" i="8"/>
  <c r="S19" i="8" s="1"/>
  <c r="T18" i="5"/>
  <c r="F18" i="5"/>
  <c r="AE19" i="4"/>
  <c r="G14" i="7" s="1"/>
  <c r="AE17" i="4"/>
  <c r="G12" i="7" s="1"/>
  <c r="AE20" i="4"/>
  <c r="G15" i="7" s="1"/>
  <c r="V20" i="4"/>
  <c r="V12" i="4"/>
  <c r="AE12" i="4"/>
  <c r="G7" i="7" s="1"/>
  <c r="V14" i="4"/>
  <c r="AE14" i="4"/>
  <c r="G9" i="7" s="1"/>
  <c r="AE21" i="4"/>
  <c r="V21" i="4"/>
  <c r="V18" i="4"/>
  <c r="AE18" i="4"/>
  <c r="G13" i="7" s="1"/>
  <c r="V15" i="4"/>
  <c r="AE15" i="4"/>
  <c r="G10" i="7" s="1"/>
  <c r="V16" i="4"/>
  <c r="AE16" i="4"/>
  <c r="G11" i="7" s="1"/>
  <c r="V11" i="4"/>
  <c r="AE11" i="4"/>
  <c r="G6" i="7" s="1"/>
  <c r="AE10" i="4"/>
  <c r="G5" i="7" s="1"/>
  <c r="AE13" i="4"/>
  <c r="G8" i="7" s="1"/>
  <c r="V13" i="4"/>
  <c r="E19" i="5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R21" i="3"/>
  <c r="N33" i="3"/>
  <c r="N34" i="3"/>
  <c r="S18" i="2"/>
  <c r="I14" i="10" l="1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T15" i="8"/>
  <c r="J16" i="8"/>
  <c r="N16" i="8"/>
  <c r="N14" i="8"/>
  <c r="R14" i="8" s="1"/>
  <c r="N23" i="3"/>
  <c r="N17" i="8"/>
  <c r="R17" i="8" s="1"/>
  <c r="N19" i="8"/>
  <c r="R19" i="8" s="1"/>
  <c r="N18" i="8"/>
  <c r="R18" i="8" s="1"/>
  <c r="Q19" i="8"/>
  <c r="U19" i="8" s="1"/>
  <c r="Q14" i="8"/>
  <c r="U14" i="8" s="1"/>
  <c r="P14" i="8"/>
  <c r="T14" i="8" s="1"/>
  <c r="E20" i="5"/>
  <c r="E21" i="5" s="1"/>
  <c r="V6" i="7"/>
  <c r="N6" i="7" s="1"/>
  <c r="N15" i="8"/>
  <c r="R15" i="8" s="1"/>
  <c r="AH18" i="5"/>
  <c r="AH14" i="5" s="1"/>
  <c r="T16" i="5"/>
  <c r="T19" i="5"/>
  <c r="AH19" i="5" s="1"/>
  <c r="AK19" i="5" s="1"/>
  <c r="AC18" i="5"/>
  <c r="F19" i="5"/>
  <c r="L19" i="5"/>
  <c r="N24" i="3"/>
  <c r="N22" i="4"/>
  <c r="N23" i="4"/>
  <c r="N20" i="4"/>
  <c r="O33" i="3"/>
  <c r="Q35" i="3" s="1"/>
  <c r="P23" i="3"/>
  <c r="N20" i="2"/>
  <c r="R20" i="2"/>
  <c r="P19" i="2"/>
  <c r="N18" i="4" l="1"/>
  <c r="I9" i="10"/>
  <c r="I10" i="10"/>
  <c r="X28" i="9"/>
  <c r="X17" i="9"/>
  <c r="U12" i="9"/>
  <c r="U23" i="9"/>
  <c r="U10" i="9"/>
  <c r="U21" i="9"/>
  <c r="W10" i="9"/>
  <c r="W21" i="9"/>
  <c r="W12" i="9"/>
  <c r="W23" i="9"/>
  <c r="U17" i="9"/>
  <c r="U28" i="9"/>
  <c r="X10" i="9"/>
  <c r="X12" i="9"/>
  <c r="X21" i="9"/>
  <c r="X23" i="9"/>
  <c r="U26" i="9"/>
  <c r="U15" i="9"/>
  <c r="W17" i="9"/>
  <c r="W28" i="9"/>
  <c r="R16" i="8"/>
  <c r="T21" i="5"/>
  <c r="AH21" i="5" s="1"/>
  <c r="V8" i="7"/>
  <c r="N8" i="7" s="1"/>
  <c r="T20" i="5"/>
  <c r="V7" i="7"/>
  <c r="N7" i="7" s="1"/>
  <c r="L20" i="5"/>
  <c r="AC19" i="5"/>
  <c r="F20" i="5"/>
  <c r="E22" i="5"/>
  <c r="L21" i="5"/>
  <c r="O34" i="3"/>
  <c r="M35" i="3"/>
  <c r="N36" i="3" s="1"/>
  <c r="R33" i="3"/>
  <c r="O23" i="3"/>
  <c r="O24" i="3" s="1"/>
  <c r="P36" i="3"/>
  <c r="O20" i="2"/>
  <c r="Q20" i="2"/>
  <c r="U24" i="9" l="1"/>
  <c r="U13" i="9"/>
  <c r="AC21" i="5"/>
  <c r="T22" i="5"/>
  <c r="AH22" i="5" s="1"/>
  <c r="AK22" i="5" s="1"/>
  <c r="V9" i="7"/>
  <c r="N9" i="7" s="1"/>
  <c r="AH20" i="5"/>
  <c r="AK20" i="5" s="1"/>
  <c r="AC20" i="5"/>
  <c r="F21" i="5"/>
  <c r="N35" i="3"/>
  <c r="E23" i="5"/>
  <c r="L22" i="5"/>
  <c r="P35" i="3"/>
  <c r="M25" i="3"/>
  <c r="R23" i="3"/>
  <c r="Q25" i="3"/>
  <c r="P26" i="3" s="1"/>
  <c r="P20" i="2"/>
  <c r="AK21" i="5" l="1"/>
  <c r="T23" i="5"/>
  <c r="AH23" i="5" s="1"/>
  <c r="AK23" i="5" s="1"/>
  <c r="V10" i="7"/>
  <c r="N10" i="7" s="1"/>
  <c r="AC22" i="5"/>
  <c r="F22" i="5"/>
  <c r="O35" i="3"/>
  <c r="O36" i="3" s="1"/>
  <c r="N26" i="3"/>
  <c r="E24" i="5"/>
  <c r="L23" i="5"/>
  <c r="N25" i="3"/>
  <c r="P25" i="3"/>
  <c r="S20" i="2"/>
  <c r="R22" i="2"/>
  <c r="N22" i="2"/>
  <c r="P21" i="2"/>
  <c r="T24" i="5" l="1"/>
  <c r="AH24" i="5" s="1"/>
  <c r="AK24" i="5" s="1"/>
  <c r="V11" i="7"/>
  <c r="N11" i="7" s="1"/>
  <c r="AC23" i="5"/>
  <c r="F23" i="5"/>
  <c r="M37" i="3"/>
  <c r="Q37" i="3"/>
  <c r="R35" i="3"/>
  <c r="E25" i="5"/>
  <c r="L24" i="5"/>
  <c r="O22" i="2"/>
  <c r="Q22" i="2"/>
  <c r="M38" i="3" l="1"/>
  <c r="N43" i="3" s="1"/>
  <c r="M39" i="3"/>
  <c r="N40" i="3" s="1"/>
  <c r="L43" i="3" s="1"/>
  <c r="P37" i="3"/>
  <c r="Q39" i="3"/>
  <c r="P40" i="3" s="1"/>
  <c r="P43" i="3" s="1"/>
  <c r="AC24" i="5"/>
  <c r="T25" i="5"/>
  <c r="AH25" i="5" s="1"/>
  <c r="AK25" i="5" s="1"/>
  <c r="V12" i="7"/>
  <c r="N12" i="7" s="1"/>
  <c r="F24" i="5"/>
  <c r="P38" i="3"/>
  <c r="Q38" i="3"/>
  <c r="R43" i="3" s="1"/>
  <c r="N37" i="3"/>
  <c r="N38" i="3"/>
  <c r="E26" i="5"/>
  <c r="L25" i="5"/>
  <c r="P22" i="2"/>
  <c r="R24" i="2" s="1"/>
  <c r="O37" i="3" l="1"/>
  <c r="O38" i="3" s="1"/>
  <c r="M43" i="3" s="1"/>
  <c r="T26" i="5"/>
  <c r="AH26" i="5" s="1"/>
  <c r="AK26" i="5" s="1"/>
  <c r="V13" i="7"/>
  <c r="N13" i="7" s="1"/>
  <c r="AC25" i="5"/>
  <c r="F25" i="5"/>
  <c r="E27" i="5"/>
  <c r="L26" i="5"/>
  <c r="N24" i="2"/>
  <c r="S22" i="2"/>
  <c r="P23" i="2"/>
  <c r="R37" i="3" l="1"/>
  <c r="R39" i="3" s="1"/>
  <c r="Q43" i="3"/>
  <c r="AC26" i="5"/>
  <c r="T27" i="5"/>
  <c r="AH27" i="5" s="1"/>
  <c r="AK27" i="5" s="1"/>
  <c r="V14" i="7"/>
  <c r="N14" i="7" s="1"/>
  <c r="F26" i="5"/>
  <c r="E28" i="5"/>
  <c r="L27" i="5"/>
  <c r="Q24" i="2"/>
  <c r="O24" i="2"/>
  <c r="T28" i="5" l="1"/>
  <c r="AH28" i="5" s="1"/>
  <c r="AK28" i="5" s="1"/>
  <c r="V15" i="7"/>
  <c r="N15" i="7" s="1"/>
  <c r="AC27" i="5"/>
  <c r="F27" i="5"/>
  <c r="E29" i="5"/>
  <c r="L28" i="5"/>
  <c r="P24" i="2"/>
  <c r="AC28" i="5" l="1"/>
  <c r="T29" i="5"/>
  <c r="AH29" i="5" s="1"/>
  <c r="AK29" i="5" s="1"/>
  <c r="V16" i="7"/>
  <c r="N16" i="7" s="1"/>
  <c r="F28" i="5"/>
  <c r="P25" i="2"/>
  <c r="E30" i="5"/>
  <c r="L29" i="5"/>
  <c r="N26" i="2"/>
  <c r="S24" i="2"/>
  <c r="R26" i="2"/>
  <c r="T30" i="5" l="1"/>
  <c r="AH30" i="5" s="1"/>
  <c r="AK30" i="5" s="1"/>
  <c r="V17" i="7"/>
  <c r="N17" i="7" s="1"/>
  <c r="AC29" i="5"/>
  <c r="F29" i="5"/>
  <c r="O26" i="2"/>
  <c r="E31" i="5"/>
  <c r="L30" i="5"/>
  <c r="Q26" i="2"/>
  <c r="AC30" i="5" l="1"/>
  <c r="T31" i="5"/>
  <c r="AH31" i="5" s="1"/>
  <c r="AK31" i="5" s="1"/>
  <c r="V18" i="7"/>
  <c r="N18" i="7" s="1"/>
  <c r="F30" i="5"/>
  <c r="E32" i="5"/>
  <c r="L31" i="5"/>
  <c r="P26" i="2"/>
  <c r="S26" i="2" s="1"/>
  <c r="T32" i="5" l="1"/>
  <c r="AH32" i="5" s="1"/>
  <c r="AK32" i="5" s="1"/>
  <c r="V19" i="7"/>
  <c r="N19" i="7" s="1"/>
  <c r="AC31" i="5"/>
  <c r="F31" i="5"/>
  <c r="E33" i="5"/>
  <c r="L32" i="5"/>
  <c r="P27" i="2"/>
  <c r="N28" i="2"/>
  <c r="R28" i="2"/>
  <c r="AC32" i="5" l="1"/>
  <c r="T33" i="5"/>
  <c r="AH33" i="5" s="1"/>
  <c r="AK33" i="5" s="1"/>
  <c r="V20" i="7"/>
  <c r="N20" i="7" s="1"/>
  <c r="F32" i="5"/>
  <c r="E34" i="5"/>
  <c r="L33" i="5"/>
  <c r="Q28" i="2"/>
  <c r="O28" i="2"/>
  <c r="T34" i="5" l="1"/>
  <c r="AH34" i="5" s="1"/>
  <c r="AK34" i="5" s="1"/>
  <c r="V21" i="7"/>
  <c r="N21" i="7" s="1"/>
  <c r="AC33" i="5"/>
  <c r="F33" i="5"/>
  <c r="E35" i="5"/>
  <c r="L34" i="5"/>
  <c r="P28" i="2"/>
  <c r="S28" i="2" s="1"/>
  <c r="AC34" i="5" l="1"/>
  <c r="T35" i="5"/>
  <c r="AH35" i="5" s="1"/>
  <c r="AK35" i="5" s="1"/>
  <c r="V22" i="7"/>
  <c r="N22" i="7" s="1"/>
  <c r="F34" i="5"/>
  <c r="E36" i="5"/>
  <c r="L35" i="5"/>
  <c r="R30" i="2"/>
  <c r="P29" i="2"/>
  <c r="N30" i="2"/>
  <c r="T36" i="5" l="1"/>
  <c r="AH36" i="5" s="1"/>
  <c r="AK36" i="5" s="1"/>
  <c r="V23" i="7"/>
  <c r="N23" i="7" s="1"/>
  <c r="AC35" i="5"/>
  <c r="F35" i="5"/>
  <c r="E37" i="5"/>
  <c r="L36" i="5"/>
  <c r="Q30" i="2"/>
  <c r="O30" i="2"/>
  <c r="AC36" i="5" l="1"/>
  <c r="T37" i="5"/>
  <c r="AH37" i="5" s="1"/>
  <c r="AK37" i="5" s="1"/>
  <c r="V24" i="7"/>
  <c r="N24" i="7" s="1"/>
  <c r="F36" i="5"/>
  <c r="E38" i="5"/>
  <c r="L37" i="5"/>
  <c r="P30" i="2"/>
  <c r="S30" i="2" s="1"/>
  <c r="AC37" i="5" l="1"/>
  <c r="T38" i="5"/>
  <c r="AH38" i="5" s="1"/>
  <c r="AK38" i="5" s="1"/>
  <c r="V25" i="7"/>
  <c r="N25" i="7" s="1"/>
  <c r="F37" i="5"/>
  <c r="E39" i="5"/>
  <c r="L38" i="5"/>
  <c r="N32" i="2"/>
  <c r="P31" i="2"/>
  <c r="R32" i="2"/>
  <c r="T39" i="5" l="1"/>
  <c r="AH39" i="5" s="1"/>
  <c r="AK39" i="5" s="1"/>
  <c r="V26" i="7"/>
  <c r="N26" i="7" s="1"/>
  <c r="AC38" i="5"/>
  <c r="F38" i="5"/>
  <c r="E40" i="5"/>
  <c r="L39" i="5"/>
  <c r="Q32" i="2"/>
  <c r="O32" i="2"/>
  <c r="AC39" i="5" l="1"/>
  <c r="T40" i="5"/>
  <c r="AH40" i="5" s="1"/>
  <c r="AK40" i="5" s="1"/>
  <c r="V27" i="7"/>
  <c r="N27" i="7" s="1"/>
  <c r="F39" i="5"/>
  <c r="E41" i="5"/>
  <c r="L40" i="5"/>
  <c r="P32" i="2"/>
  <c r="S32" i="2" s="1"/>
  <c r="AC40" i="5" l="1"/>
  <c r="T41" i="5"/>
  <c r="AH41" i="5" s="1"/>
  <c r="AK41" i="5" s="1"/>
  <c r="V28" i="7"/>
  <c r="N28" i="7" s="1"/>
  <c r="F40" i="5"/>
  <c r="E42" i="5"/>
  <c r="L41" i="5"/>
  <c r="P33" i="2"/>
  <c r="R34" i="2"/>
  <c r="N34" i="2"/>
  <c r="T42" i="5" l="1"/>
  <c r="AH42" i="5" s="1"/>
  <c r="AK42" i="5" s="1"/>
  <c r="V29" i="7"/>
  <c r="N29" i="7" s="1"/>
  <c r="AC41" i="5"/>
  <c r="F41" i="5"/>
  <c r="E43" i="5"/>
  <c r="L42" i="5"/>
  <c r="Q34" i="2"/>
  <c r="O34" i="2"/>
  <c r="T43" i="5" l="1"/>
  <c r="AH43" i="5" s="1"/>
  <c r="AK43" i="5" s="1"/>
  <c r="V30" i="7"/>
  <c r="N30" i="7" s="1"/>
  <c r="AC42" i="5"/>
  <c r="F42" i="5"/>
  <c r="E44" i="5"/>
  <c r="L43" i="5"/>
  <c r="P34" i="2"/>
  <c r="R36" i="2" s="1"/>
  <c r="T44" i="5" l="1"/>
  <c r="AH44" i="5" s="1"/>
  <c r="AK44" i="5" s="1"/>
  <c r="V31" i="7"/>
  <c r="N31" i="7" s="1"/>
  <c r="AC43" i="5"/>
  <c r="F43" i="5"/>
  <c r="E45" i="5"/>
  <c r="L44" i="5"/>
  <c r="S34" i="2"/>
  <c r="N36" i="2"/>
  <c r="P35" i="2"/>
  <c r="O25" i="3"/>
  <c r="O26" i="3" l="1"/>
  <c r="AC44" i="5"/>
  <c r="T45" i="5"/>
  <c r="AH45" i="5" s="1"/>
  <c r="AK45" i="5" s="1"/>
  <c r="V32" i="7"/>
  <c r="N32" i="7" s="1"/>
  <c r="F44" i="5"/>
  <c r="O36" i="2"/>
  <c r="E46" i="5"/>
  <c r="L45" i="5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AC45" i="5"/>
  <c r="T46" i="5"/>
  <c r="AH46" i="5" s="1"/>
  <c r="AK46" i="5" s="1"/>
  <c r="V33" i="7"/>
  <c r="N33" i="7" s="1"/>
  <c r="F45" i="5"/>
  <c r="P36" i="2"/>
  <c r="S36" i="2" s="1"/>
  <c r="S38" i="2" s="1"/>
  <c r="E47" i="5"/>
  <c r="L46" i="5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T47" i="5"/>
  <c r="AH47" i="5" s="1"/>
  <c r="AK47" i="5" s="1"/>
  <c r="V34" i="7"/>
  <c r="N34" i="7" s="1"/>
  <c r="AC46" i="5"/>
  <c r="F46" i="5"/>
  <c r="L47" i="5"/>
  <c r="E48" i="5"/>
  <c r="B19" i="5"/>
  <c r="C20" i="5" s="1"/>
  <c r="O27" i="3"/>
  <c r="O28" i="3" s="1"/>
  <c r="M42" i="3" s="1"/>
  <c r="Q42" i="3" l="1"/>
  <c r="N47" i="3"/>
  <c r="P48" i="3"/>
  <c r="AC47" i="5"/>
  <c r="T48" i="5"/>
  <c r="AH48" i="5" s="1"/>
  <c r="AK48" i="5" s="1"/>
  <c r="V35" i="7"/>
  <c r="N35" i="7" s="1"/>
  <c r="F47" i="5"/>
  <c r="N48" i="3"/>
  <c r="L48" i="5"/>
  <c r="E49" i="5"/>
  <c r="P47" i="3"/>
  <c r="R27" i="3"/>
  <c r="R29" i="3" s="1"/>
  <c r="O47" i="3" l="1"/>
  <c r="R47" i="3" s="1"/>
  <c r="T49" i="5"/>
  <c r="AH49" i="5" s="1"/>
  <c r="AK49" i="5" s="1"/>
  <c r="V36" i="7"/>
  <c r="N36" i="7" s="1"/>
  <c r="AC48" i="5"/>
  <c r="F48" i="5"/>
  <c r="L49" i="5"/>
  <c r="E50" i="5"/>
  <c r="Q49" i="3" l="1"/>
  <c r="P50" i="3" s="1"/>
  <c r="M49" i="3"/>
  <c r="N50" i="3" s="1"/>
  <c r="O48" i="3"/>
  <c r="AC49" i="5"/>
  <c r="T50" i="5"/>
  <c r="AH50" i="5" s="1"/>
  <c r="AK50" i="5" s="1"/>
  <c r="V37" i="7"/>
  <c r="N37" i="7" s="1"/>
  <c r="F49" i="5"/>
  <c r="L50" i="5"/>
  <c r="E51" i="5"/>
  <c r="N49" i="3" l="1"/>
  <c r="P49" i="3"/>
  <c r="T51" i="5"/>
  <c r="AH51" i="5" s="1"/>
  <c r="AK51" i="5" s="1"/>
  <c r="V38" i="7"/>
  <c r="N38" i="7" s="1"/>
  <c r="AC50" i="5"/>
  <c r="F50" i="5"/>
  <c r="L51" i="5"/>
  <c r="E52" i="5"/>
  <c r="O49" i="3" l="1"/>
  <c r="M51" i="3" s="1"/>
  <c r="T52" i="5"/>
  <c r="AH52" i="5" s="1"/>
  <c r="AK52" i="5" s="1"/>
  <c r="V39" i="7"/>
  <c r="N39" i="7" s="1"/>
  <c r="AC51" i="5"/>
  <c r="F51" i="5"/>
  <c r="L52" i="5"/>
  <c r="E53" i="5"/>
  <c r="O50" i="3" l="1"/>
  <c r="Q51" i="3"/>
  <c r="O18" i="3" s="1"/>
  <c r="R49" i="3"/>
  <c r="N52" i="3"/>
  <c r="T53" i="5"/>
  <c r="AH53" i="5" s="1"/>
  <c r="AK53" i="5" s="1"/>
  <c r="V40" i="7"/>
  <c r="N40" i="7" s="1"/>
  <c r="AC52" i="5"/>
  <c r="F52" i="5"/>
  <c r="L53" i="5"/>
  <c r="E54" i="5"/>
  <c r="P52" i="3" l="1"/>
  <c r="P51" i="3"/>
  <c r="N51" i="3"/>
  <c r="AC53" i="5"/>
  <c r="T54" i="5"/>
  <c r="AH54" i="5" s="1"/>
  <c r="AK54" i="5" s="1"/>
  <c r="V41" i="7"/>
  <c r="N41" i="7" s="1"/>
  <c r="F53" i="5"/>
  <c r="L54" i="5"/>
  <c r="E55" i="5"/>
  <c r="O51" i="3" l="1"/>
  <c r="R51" i="3" s="1"/>
  <c r="R52" i="3" s="1"/>
  <c r="R19" i="3" s="1"/>
  <c r="O52" i="3"/>
  <c r="T55" i="5"/>
  <c r="AH55" i="5" s="1"/>
  <c r="AK55" i="5" s="1"/>
  <c r="V42" i="7"/>
  <c r="N42" i="7" s="1"/>
  <c r="AC54" i="5"/>
  <c r="F54" i="5"/>
  <c r="L55" i="5"/>
  <c r="E56" i="5"/>
  <c r="AC55" i="5" l="1"/>
  <c r="T56" i="5"/>
  <c r="AH56" i="5" s="1"/>
  <c r="AK56" i="5" s="1"/>
  <c r="V43" i="7"/>
  <c r="N43" i="7" s="1"/>
  <c r="F55" i="5"/>
  <c r="L56" i="5"/>
  <c r="E57" i="5"/>
  <c r="T57" i="5" l="1"/>
  <c r="AH57" i="5" s="1"/>
  <c r="AK57" i="5" s="1"/>
  <c r="V44" i="7"/>
  <c r="N44" i="7" s="1"/>
  <c r="AC56" i="5"/>
  <c r="F56" i="5"/>
  <c r="L57" i="5"/>
  <c r="E58" i="5"/>
  <c r="T58" i="5" l="1"/>
  <c r="AH58" i="5" s="1"/>
  <c r="AK58" i="5" s="1"/>
  <c r="V45" i="7"/>
  <c r="N45" i="7" s="1"/>
  <c r="AC57" i="5"/>
  <c r="F57" i="5"/>
  <c r="L58" i="5"/>
  <c r="E59" i="5"/>
  <c r="T59" i="5" l="1"/>
  <c r="AH59" i="5" s="1"/>
  <c r="AK59" i="5" s="1"/>
  <c r="V46" i="7"/>
  <c r="N46" i="7" s="1"/>
  <c r="AC58" i="5"/>
  <c r="F58" i="5"/>
  <c r="L59" i="5"/>
  <c r="E60" i="5"/>
  <c r="AC59" i="5" l="1"/>
  <c r="T60" i="5"/>
  <c r="AH60" i="5" s="1"/>
  <c r="AK60" i="5" s="1"/>
  <c r="V47" i="7"/>
  <c r="N47" i="7" s="1"/>
  <c r="F59" i="5"/>
  <c r="L60" i="5"/>
  <c r="E61" i="5"/>
  <c r="AC60" i="5" l="1"/>
  <c r="T61" i="5"/>
  <c r="AH61" i="5" s="1"/>
  <c r="AK61" i="5" s="1"/>
  <c r="V48" i="7"/>
  <c r="N48" i="7" s="1"/>
  <c r="F60" i="5"/>
  <c r="L61" i="5"/>
  <c r="E62" i="5"/>
  <c r="T62" i="5" l="1"/>
  <c r="AH62" i="5" s="1"/>
  <c r="AK62" i="5" s="1"/>
  <c r="V49" i="7"/>
  <c r="N49" i="7" s="1"/>
  <c r="AC61" i="5"/>
  <c r="F61" i="5"/>
  <c r="L62" i="5"/>
  <c r="E63" i="5"/>
  <c r="AC62" i="5" l="1"/>
  <c r="T63" i="5"/>
  <c r="AH63" i="5" s="1"/>
  <c r="AK63" i="5" s="1"/>
  <c r="V50" i="7"/>
  <c r="N50" i="7" s="1"/>
  <c r="F62" i="5"/>
  <c r="L63" i="5"/>
  <c r="E64" i="5"/>
  <c r="T64" i="5" l="1"/>
  <c r="AH64" i="5" s="1"/>
  <c r="AK64" i="5" s="1"/>
  <c r="V51" i="7"/>
  <c r="N51" i="7" s="1"/>
  <c r="AC63" i="5"/>
  <c r="F63" i="5"/>
  <c r="L64" i="5"/>
  <c r="E65" i="5"/>
  <c r="AC64" i="5" l="1"/>
  <c r="T65" i="5"/>
  <c r="AH65" i="5" s="1"/>
  <c r="AK65" i="5" s="1"/>
  <c r="V52" i="7"/>
  <c r="N52" i="7" s="1"/>
  <c r="F64" i="5"/>
  <c r="L65" i="5"/>
  <c r="E66" i="5"/>
  <c r="AC65" i="5" l="1"/>
  <c r="T66" i="5"/>
  <c r="AH66" i="5" s="1"/>
  <c r="AK66" i="5" s="1"/>
  <c r="V53" i="7"/>
  <c r="N53" i="7" s="1"/>
  <c r="F65" i="5"/>
  <c r="L66" i="5"/>
  <c r="E67" i="5"/>
  <c r="T67" i="5" l="1"/>
  <c r="AH67" i="5" s="1"/>
  <c r="AK67" i="5" s="1"/>
  <c r="V54" i="7"/>
  <c r="N54" i="7" s="1"/>
  <c r="AC66" i="5"/>
  <c r="F66" i="5"/>
  <c r="L67" i="5"/>
  <c r="E68" i="5"/>
  <c r="B18" i="5"/>
  <c r="C19" i="5" s="1"/>
  <c r="T68" i="5" l="1"/>
  <c r="AH68" i="5" s="1"/>
  <c r="AK68" i="5" s="1"/>
  <c r="V55" i="7"/>
  <c r="N55" i="7" s="1"/>
  <c r="AC67" i="5"/>
  <c r="F67" i="5"/>
  <c r="L68" i="5"/>
  <c r="E69" i="5"/>
  <c r="B22" i="5"/>
  <c r="B21" i="5"/>
  <c r="T69" i="5" l="1"/>
  <c r="AH69" i="5" s="1"/>
  <c r="AK69" i="5" s="1"/>
  <c r="V56" i="7"/>
  <c r="N56" i="7" s="1"/>
  <c r="AC68" i="5"/>
  <c r="F68" i="5"/>
  <c r="L69" i="5"/>
  <c r="E70" i="5"/>
  <c r="T70" i="5" l="1"/>
  <c r="AH70" i="5" s="1"/>
  <c r="AK70" i="5" s="1"/>
  <c r="V57" i="7"/>
  <c r="N57" i="7" s="1"/>
  <c r="AC69" i="5"/>
  <c r="F69" i="5"/>
  <c r="L70" i="5"/>
  <c r="E71" i="5"/>
  <c r="AC70" i="5" l="1"/>
  <c r="T71" i="5"/>
  <c r="AH71" i="5" s="1"/>
  <c r="AK71" i="5" s="1"/>
  <c r="V58" i="7"/>
  <c r="N58" i="7" s="1"/>
  <c r="F70" i="5"/>
  <c r="L71" i="5"/>
  <c r="E72" i="5"/>
  <c r="T72" i="5" l="1"/>
  <c r="AH72" i="5" s="1"/>
  <c r="AK72" i="5" s="1"/>
  <c r="V59" i="7"/>
  <c r="N59" i="7" s="1"/>
  <c r="AC71" i="5"/>
  <c r="F71" i="5"/>
  <c r="L72" i="5"/>
  <c r="E73" i="5"/>
  <c r="AC72" i="5" l="1"/>
  <c r="T73" i="5"/>
  <c r="AH73" i="5" s="1"/>
  <c r="AK73" i="5" s="1"/>
  <c r="V60" i="7"/>
  <c r="N60" i="7" s="1"/>
  <c r="F72" i="5"/>
  <c r="L73" i="5"/>
  <c r="E74" i="5"/>
  <c r="T74" i="5" l="1"/>
  <c r="AH74" i="5" s="1"/>
  <c r="AK74" i="5" s="1"/>
  <c r="V61" i="7"/>
  <c r="N61" i="7" s="1"/>
  <c r="AC73" i="5"/>
  <c r="F73" i="5"/>
  <c r="L74" i="5"/>
  <c r="E75" i="5"/>
  <c r="T75" i="5" l="1"/>
  <c r="AH75" i="5" s="1"/>
  <c r="AK75" i="5" s="1"/>
  <c r="V62" i="7"/>
  <c r="N62" i="7" s="1"/>
  <c r="AC74" i="5"/>
  <c r="F74" i="5"/>
  <c r="L75" i="5"/>
  <c r="E76" i="5"/>
  <c r="T76" i="5" l="1"/>
  <c r="AH76" i="5" s="1"/>
  <c r="AK76" i="5" s="1"/>
  <c r="V63" i="7"/>
  <c r="N63" i="7" s="1"/>
  <c r="AC75" i="5"/>
  <c r="F75" i="5"/>
  <c r="L76" i="5"/>
  <c r="E77" i="5"/>
  <c r="T77" i="5" l="1"/>
  <c r="AH77" i="5" s="1"/>
  <c r="AK77" i="5" s="1"/>
  <c r="V64" i="7"/>
  <c r="N64" i="7" s="1"/>
  <c r="AC76" i="5"/>
  <c r="F76" i="5"/>
  <c r="L77" i="5"/>
  <c r="E78" i="5"/>
  <c r="AC77" i="5" l="1"/>
  <c r="T78" i="5"/>
  <c r="AH78" i="5" s="1"/>
  <c r="AK78" i="5" s="1"/>
  <c r="V65" i="7"/>
  <c r="N65" i="7" s="1"/>
  <c r="F77" i="5"/>
  <c r="L78" i="5"/>
  <c r="E79" i="5"/>
  <c r="T79" i="5" l="1"/>
  <c r="AH79" i="5" s="1"/>
  <c r="AK79" i="5" s="1"/>
  <c r="V66" i="7"/>
  <c r="N66" i="7" s="1"/>
  <c r="AC78" i="5"/>
  <c r="F78" i="5"/>
  <c r="L79" i="5"/>
  <c r="E80" i="5"/>
  <c r="AC79" i="5" l="1"/>
  <c r="T80" i="5"/>
  <c r="AH80" i="5" s="1"/>
  <c r="AK80" i="5" s="1"/>
  <c r="V67" i="7"/>
  <c r="N67" i="7" s="1"/>
  <c r="F79" i="5"/>
  <c r="L80" i="5"/>
  <c r="E81" i="5"/>
  <c r="T81" i="5" l="1"/>
  <c r="AH81" i="5" s="1"/>
  <c r="AK81" i="5" s="1"/>
  <c r="V68" i="7"/>
  <c r="N68" i="7" s="1"/>
  <c r="AC80" i="5"/>
  <c r="F80" i="5"/>
  <c r="L81" i="5"/>
  <c r="E82" i="5"/>
  <c r="AC81" i="5" l="1"/>
  <c r="T82" i="5"/>
  <c r="AH82" i="5" s="1"/>
  <c r="AK82" i="5" s="1"/>
  <c r="V69" i="7"/>
  <c r="N69" i="7" s="1"/>
  <c r="F81" i="5"/>
  <c r="L82" i="5"/>
  <c r="E83" i="5"/>
  <c r="T83" i="5" l="1"/>
  <c r="AH83" i="5" s="1"/>
  <c r="AK83" i="5" s="1"/>
  <c r="V70" i="7"/>
  <c r="N70" i="7" s="1"/>
  <c r="AC82" i="5"/>
  <c r="F82" i="5"/>
  <c r="L83" i="5"/>
  <c r="E84" i="5"/>
  <c r="AC83" i="5" l="1"/>
  <c r="T84" i="5"/>
  <c r="AH84" i="5" s="1"/>
  <c r="AK84" i="5" s="1"/>
  <c r="V71" i="7"/>
  <c r="N71" i="7" s="1"/>
  <c r="F83" i="5"/>
  <c r="L84" i="5"/>
  <c r="E85" i="5"/>
  <c r="T85" i="5" l="1"/>
  <c r="AH85" i="5" s="1"/>
  <c r="AK85" i="5" s="1"/>
  <c r="V72" i="7"/>
  <c r="N72" i="7" s="1"/>
  <c r="AC84" i="5"/>
  <c r="F84" i="5"/>
  <c r="L85" i="5"/>
  <c r="E86" i="5"/>
  <c r="AC85" i="5" l="1"/>
  <c r="T86" i="5"/>
  <c r="AH86" i="5" s="1"/>
  <c r="AK86" i="5" s="1"/>
  <c r="V73" i="7"/>
  <c r="N73" i="7" s="1"/>
  <c r="F85" i="5"/>
  <c r="L86" i="5"/>
  <c r="E87" i="5"/>
  <c r="AC86" i="5" l="1"/>
  <c r="T87" i="5"/>
  <c r="AH87" i="5" s="1"/>
  <c r="AK87" i="5" s="1"/>
  <c r="V74" i="7"/>
  <c r="N74" i="7" s="1"/>
  <c r="F86" i="5"/>
  <c r="L87" i="5"/>
  <c r="B17" i="5"/>
  <c r="C22" i="5" s="1"/>
  <c r="E88" i="5"/>
  <c r="T88" i="5" l="1"/>
  <c r="AH88" i="5" s="1"/>
  <c r="AK88" i="5" s="1"/>
  <c r="V75" i="7"/>
  <c r="N75" i="7" s="1"/>
  <c r="AC87" i="5"/>
  <c r="F87" i="5"/>
  <c r="C18" i="5"/>
  <c r="L88" i="5"/>
  <c r="E89" i="5"/>
  <c r="AC88" i="5" l="1"/>
  <c r="T89" i="5"/>
  <c r="AH89" i="5" s="1"/>
  <c r="AK89" i="5" s="1"/>
  <c r="V76" i="7"/>
  <c r="N76" i="7" s="1"/>
  <c r="F88" i="5"/>
  <c r="L89" i="5"/>
  <c r="E90" i="5"/>
  <c r="T90" i="5" l="1"/>
  <c r="AH90" i="5" s="1"/>
  <c r="AK90" i="5" s="1"/>
  <c r="V77" i="7"/>
  <c r="N77" i="7" s="1"/>
  <c r="AC89" i="5"/>
  <c r="F89" i="5"/>
  <c r="L90" i="5"/>
  <c r="E91" i="5"/>
  <c r="AC90" i="5" l="1"/>
  <c r="T91" i="5"/>
  <c r="AH91" i="5" s="1"/>
  <c r="AK91" i="5" s="1"/>
  <c r="V78" i="7"/>
  <c r="N78" i="7" s="1"/>
  <c r="F90" i="5"/>
  <c r="L91" i="5"/>
  <c r="E92" i="5"/>
  <c r="T92" i="5" l="1"/>
  <c r="AH92" i="5" s="1"/>
  <c r="AK92" i="5" s="1"/>
  <c r="V79" i="7"/>
  <c r="N79" i="7" s="1"/>
  <c r="AC91" i="5"/>
  <c r="F91" i="5"/>
  <c r="L92" i="5"/>
  <c r="E93" i="5"/>
  <c r="AC92" i="5" l="1"/>
  <c r="T93" i="5"/>
  <c r="AH93" i="5" s="1"/>
  <c r="AK93" i="5" s="1"/>
  <c r="V80" i="7"/>
  <c r="N80" i="7" s="1"/>
  <c r="F92" i="5"/>
  <c r="L93" i="5"/>
  <c r="E94" i="5"/>
  <c r="T94" i="5" l="1"/>
  <c r="AH94" i="5" s="1"/>
  <c r="AK94" i="5" s="1"/>
  <c r="V81" i="7"/>
  <c r="N81" i="7" s="1"/>
  <c r="AC93" i="5"/>
  <c r="F93" i="5"/>
  <c r="L94" i="5"/>
  <c r="E95" i="5"/>
  <c r="T95" i="5" l="1"/>
  <c r="AH95" i="5" s="1"/>
  <c r="AK95" i="5" s="1"/>
  <c r="V82" i="7"/>
  <c r="N82" i="7" s="1"/>
  <c r="AC94" i="5"/>
  <c r="F94" i="5"/>
  <c r="L95" i="5"/>
  <c r="E96" i="5"/>
  <c r="AC95" i="5" l="1"/>
  <c r="T96" i="5"/>
  <c r="AH96" i="5" s="1"/>
  <c r="AK96" i="5" s="1"/>
  <c r="V83" i="7"/>
  <c r="N83" i="7" s="1"/>
  <c r="F95" i="5"/>
  <c r="L96" i="5"/>
  <c r="E97" i="5"/>
  <c r="AC96" i="5" l="1"/>
  <c r="T97" i="5"/>
  <c r="AH97" i="5" s="1"/>
  <c r="AK97" i="5" s="1"/>
  <c r="V84" i="7"/>
  <c r="N84" i="7" s="1"/>
  <c r="F96" i="5"/>
  <c r="L97" i="5"/>
  <c r="E98" i="5"/>
  <c r="AC97" i="5" l="1"/>
  <c r="T98" i="5"/>
  <c r="AH98" i="5" s="1"/>
  <c r="AK98" i="5" s="1"/>
  <c r="V85" i="7"/>
  <c r="N85" i="7" s="1"/>
  <c r="F97" i="5"/>
  <c r="L98" i="5"/>
  <c r="E99" i="5"/>
  <c r="T99" i="5" l="1"/>
  <c r="AH99" i="5" s="1"/>
  <c r="AK99" i="5" s="1"/>
  <c r="V86" i="7"/>
  <c r="N86" i="7" s="1"/>
  <c r="AC98" i="5"/>
  <c r="F98" i="5"/>
  <c r="L99" i="5"/>
  <c r="E100" i="5"/>
  <c r="T100" i="5" l="1"/>
  <c r="AH100" i="5" s="1"/>
  <c r="AK100" i="5" s="1"/>
  <c r="V87" i="7"/>
  <c r="N87" i="7" s="1"/>
  <c r="AC99" i="5"/>
  <c r="F99" i="5"/>
  <c r="L100" i="5"/>
  <c r="E101" i="5"/>
  <c r="T101" i="5" l="1"/>
  <c r="AH101" i="5" s="1"/>
  <c r="AK101" i="5" s="1"/>
  <c r="V88" i="7"/>
  <c r="N88" i="7" s="1"/>
  <c r="AC100" i="5"/>
  <c r="F100" i="5"/>
  <c r="L101" i="5"/>
  <c r="E102" i="5"/>
  <c r="AC101" i="5" l="1"/>
  <c r="T102" i="5"/>
  <c r="AH102" i="5" s="1"/>
  <c r="AK102" i="5" s="1"/>
  <c r="V89" i="7"/>
  <c r="N89" i="7" s="1"/>
  <c r="F101" i="5"/>
  <c r="L102" i="5"/>
  <c r="E103" i="5"/>
  <c r="AC102" i="5" l="1"/>
  <c r="T103" i="5"/>
  <c r="AH103" i="5" s="1"/>
  <c r="AK103" i="5" s="1"/>
  <c r="V90" i="7"/>
  <c r="N90" i="7" s="1"/>
  <c r="F102" i="5"/>
  <c r="L103" i="5"/>
  <c r="E104" i="5"/>
  <c r="T104" i="5" l="1"/>
  <c r="AH104" i="5" s="1"/>
  <c r="AK104" i="5" s="1"/>
  <c r="V91" i="7"/>
  <c r="N91" i="7" s="1"/>
  <c r="AC103" i="5"/>
  <c r="F103" i="5"/>
  <c r="L104" i="5"/>
  <c r="E105" i="5"/>
  <c r="AC104" i="5" l="1"/>
  <c r="T105" i="5"/>
  <c r="AH105" i="5" s="1"/>
  <c r="AK105" i="5" s="1"/>
  <c r="V92" i="7"/>
  <c r="N92" i="7" s="1"/>
  <c r="F104" i="5"/>
  <c r="L105" i="5"/>
  <c r="E106" i="5"/>
  <c r="T106" i="5" l="1"/>
  <c r="AH106" i="5" s="1"/>
  <c r="AK106" i="5" s="1"/>
  <c r="V93" i="7"/>
  <c r="N93" i="7" s="1"/>
  <c r="AC105" i="5"/>
  <c r="F105" i="5"/>
  <c r="L106" i="5"/>
  <c r="E107" i="5"/>
  <c r="T107" i="5" l="1"/>
  <c r="AH107" i="5" s="1"/>
  <c r="AK107" i="5" s="1"/>
  <c r="V94" i="7"/>
  <c r="N94" i="7" s="1"/>
  <c r="AC106" i="5"/>
  <c r="F106" i="5"/>
  <c r="B16" i="5"/>
  <c r="C17" i="5" s="1"/>
  <c r="L107" i="5"/>
  <c r="E108" i="5"/>
  <c r="AC107" i="5" l="1"/>
  <c r="T108" i="5"/>
  <c r="AH108" i="5" s="1"/>
  <c r="AK108" i="5" s="1"/>
  <c r="V95" i="7"/>
  <c r="N95" i="7" s="1"/>
  <c r="F107" i="5"/>
  <c r="L108" i="5"/>
  <c r="E109" i="5"/>
  <c r="T109" i="5" l="1"/>
  <c r="AH109" i="5" s="1"/>
  <c r="AK109" i="5" s="1"/>
  <c r="V96" i="7"/>
  <c r="N96" i="7" s="1"/>
  <c r="AC108" i="5"/>
  <c r="F108" i="5"/>
  <c r="L109" i="5"/>
  <c r="E110" i="5"/>
  <c r="AC109" i="5" l="1"/>
  <c r="T110" i="5"/>
  <c r="AH110" i="5" s="1"/>
  <c r="AK110" i="5" s="1"/>
  <c r="V97" i="7"/>
  <c r="N97" i="7" s="1"/>
  <c r="F109" i="5"/>
  <c r="L110" i="5"/>
  <c r="E111" i="5"/>
  <c r="T111" i="5" l="1"/>
  <c r="AH111" i="5" s="1"/>
  <c r="AK111" i="5" s="1"/>
  <c r="V98" i="7"/>
  <c r="N98" i="7" s="1"/>
  <c r="AC110" i="5"/>
  <c r="F110" i="5"/>
  <c r="L111" i="5"/>
  <c r="E112" i="5"/>
  <c r="T112" i="5" l="1"/>
  <c r="AH112" i="5" s="1"/>
  <c r="AK112" i="5" s="1"/>
  <c r="V99" i="7"/>
  <c r="N99" i="7" s="1"/>
  <c r="AC111" i="5"/>
  <c r="F111" i="5"/>
  <c r="L112" i="5"/>
  <c r="E113" i="5"/>
  <c r="T113" i="5" l="1"/>
  <c r="AH113" i="5" s="1"/>
  <c r="AK113" i="5" s="1"/>
  <c r="V100" i="7"/>
  <c r="N100" i="7" s="1"/>
  <c r="AC112" i="5"/>
  <c r="F112" i="5"/>
  <c r="L113" i="5"/>
  <c r="E114" i="5"/>
  <c r="AC113" i="5" l="1"/>
  <c r="T114" i="5"/>
  <c r="AH114" i="5" s="1"/>
  <c r="AK114" i="5" s="1"/>
  <c r="V101" i="7"/>
  <c r="N101" i="7" s="1"/>
  <c r="F113" i="5"/>
  <c r="L114" i="5"/>
  <c r="E115" i="5"/>
  <c r="AC114" i="5" l="1"/>
  <c r="T115" i="5"/>
  <c r="AH115" i="5" s="1"/>
  <c r="AK115" i="5" s="1"/>
  <c r="V102" i="7"/>
  <c r="N102" i="7" s="1"/>
  <c r="F114" i="5"/>
  <c r="L115" i="5"/>
  <c r="E116" i="5"/>
  <c r="T116" i="5" l="1"/>
  <c r="AH116" i="5" s="1"/>
  <c r="AK116" i="5" s="1"/>
  <c r="V103" i="7"/>
  <c r="N103" i="7" s="1"/>
  <c r="AC115" i="5"/>
  <c r="F115" i="5"/>
  <c r="L116" i="5"/>
  <c r="E117" i="5"/>
  <c r="V104" i="7" s="1"/>
  <c r="N104" i="7" s="1"/>
  <c r="AC116" i="5" l="1"/>
  <c r="E14" i="5"/>
  <c r="T117" i="5"/>
  <c r="AH117" i="5" s="1"/>
  <c r="F116" i="5"/>
  <c r="B15" i="5"/>
  <c r="C16" i="5" s="1"/>
  <c r="L117" i="5"/>
  <c r="AK117" i="5" l="1"/>
  <c r="AK118" i="5"/>
  <c r="AC117" i="5"/>
  <c r="F117" i="5"/>
  <c r="L119" i="5"/>
  <c r="L121" i="5" s="1"/>
  <c r="C15" i="5"/>
  <c r="F14" i="5" l="1"/>
  <c r="G15" i="5"/>
  <c r="G18" i="5" s="1"/>
  <c r="U16" i="5" l="1"/>
  <c r="X5" i="7"/>
  <c r="N18" i="5"/>
  <c r="G19" i="5"/>
  <c r="N14" i="5"/>
  <c r="AJ18" i="5" l="1"/>
  <c r="V19" i="5"/>
  <c r="U19" i="5" s="1"/>
  <c r="AI19" i="5" s="1"/>
  <c r="X6" i="7"/>
  <c r="P5" i="7"/>
  <c r="W5" i="7"/>
  <c r="O5" i="7" s="1"/>
  <c r="AI18" i="5"/>
  <c r="AD18" i="5"/>
  <c r="AE18" i="5" s="1"/>
  <c r="M18" i="5"/>
  <c r="G20" i="5"/>
  <c r="N19" i="5"/>
  <c r="L5" i="7" l="1"/>
  <c r="V20" i="5"/>
  <c r="AJ20" i="5" s="1"/>
  <c r="X7" i="7"/>
  <c r="AJ19" i="5"/>
  <c r="AM19" i="5" s="1"/>
  <c r="T5" i="7"/>
  <c r="P6" i="7"/>
  <c r="W6" i="7"/>
  <c r="O6" i="7" s="1"/>
  <c r="AL19" i="5"/>
  <c r="AD19" i="5"/>
  <c r="AI14" i="5"/>
  <c r="M19" i="5"/>
  <c r="K18" i="5" s="1"/>
  <c r="G21" i="5"/>
  <c r="N20" i="5"/>
  <c r="U20" i="5" l="1"/>
  <c r="AI20" i="5" s="1"/>
  <c r="AL20" i="5" s="1"/>
  <c r="AM20" i="5"/>
  <c r="T6" i="7"/>
  <c r="V21" i="5"/>
  <c r="U21" i="5" s="1"/>
  <c r="AI21" i="5" s="1"/>
  <c r="X8" i="7"/>
  <c r="L6" i="7"/>
  <c r="P7" i="7"/>
  <c r="W7" i="7"/>
  <c r="O7" i="7" s="1"/>
  <c r="U5" i="7"/>
  <c r="M20" i="5"/>
  <c r="K19" i="5" s="1"/>
  <c r="G22" i="5"/>
  <c r="N21" i="5"/>
  <c r="AL21" i="5" l="1"/>
  <c r="AD20" i="5"/>
  <c r="T7" i="7"/>
  <c r="U6" i="7" s="1"/>
  <c r="V22" i="5"/>
  <c r="AJ22" i="5" s="1"/>
  <c r="X9" i="7"/>
  <c r="AJ21" i="5"/>
  <c r="AM21" i="5" s="1"/>
  <c r="L7" i="7"/>
  <c r="P8" i="7"/>
  <c r="W8" i="7"/>
  <c r="O8" i="7" s="1"/>
  <c r="AD21" i="5"/>
  <c r="M21" i="5"/>
  <c r="AE19" i="5"/>
  <c r="AF19" i="5" s="1"/>
  <c r="N22" i="5"/>
  <c r="G23" i="5"/>
  <c r="U22" i="5" l="1"/>
  <c r="AI22" i="5" s="1"/>
  <c r="AL22" i="5" s="1"/>
  <c r="AM22" i="5"/>
  <c r="L8" i="7"/>
  <c r="T8" i="7"/>
  <c r="U7" i="7" s="1"/>
  <c r="P9" i="7"/>
  <c r="W9" i="7"/>
  <c r="O9" i="7" s="1"/>
  <c r="V23" i="5"/>
  <c r="U23" i="5" s="1"/>
  <c r="AI23" i="5" s="1"/>
  <c r="AL23" i="5" s="1"/>
  <c r="X10" i="7"/>
  <c r="AD22" i="5"/>
  <c r="K20" i="5"/>
  <c r="AE20" i="5"/>
  <c r="M22" i="5"/>
  <c r="AE21" i="5"/>
  <c r="G24" i="5"/>
  <c r="N23" i="5"/>
  <c r="L9" i="7" l="1"/>
  <c r="AJ23" i="5"/>
  <c r="AM23" i="5" s="1"/>
  <c r="P10" i="7"/>
  <c r="W10" i="7"/>
  <c r="O10" i="7" s="1"/>
  <c r="T9" i="7"/>
  <c r="U8" i="7" s="1"/>
  <c r="V24" i="5"/>
  <c r="AJ24" i="5" s="1"/>
  <c r="AM24" i="5" s="1"/>
  <c r="X11" i="7"/>
  <c r="AD23" i="5"/>
  <c r="AF20" i="5"/>
  <c r="K21" i="5"/>
  <c r="M23" i="5"/>
  <c r="AF21" i="5"/>
  <c r="N24" i="5"/>
  <c r="G25" i="5"/>
  <c r="L10" i="7" l="1"/>
  <c r="P11" i="7"/>
  <c r="W11" i="7"/>
  <c r="O11" i="7" s="1"/>
  <c r="V25" i="5"/>
  <c r="U25" i="5" s="1"/>
  <c r="AI25" i="5" s="1"/>
  <c r="X12" i="7"/>
  <c r="U24" i="5"/>
  <c r="AI24" i="5" s="1"/>
  <c r="AL24" i="5" s="1"/>
  <c r="T10" i="7"/>
  <c r="U9" i="7" s="1"/>
  <c r="AE22" i="5"/>
  <c r="K22" i="5"/>
  <c r="M24" i="5"/>
  <c r="G26" i="5"/>
  <c r="N25" i="5"/>
  <c r="L11" i="7" l="1"/>
  <c r="AL25" i="5"/>
  <c r="AD24" i="5"/>
  <c r="P12" i="7"/>
  <c r="W12" i="7"/>
  <c r="O12" i="7" s="1"/>
  <c r="V26" i="5"/>
  <c r="AJ26" i="5" s="1"/>
  <c r="X13" i="7"/>
  <c r="AJ25" i="5"/>
  <c r="AM25" i="5" s="1"/>
  <c r="T11" i="7"/>
  <c r="U10" i="7" s="1"/>
  <c r="AD25" i="5"/>
  <c r="AF22" i="5"/>
  <c r="AE23" i="5"/>
  <c r="K23" i="5"/>
  <c r="M25" i="5"/>
  <c r="N26" i="5"/>
  <c r="G27" i="5"/>
  <c r="AM26" i="5" l="1"/>
  <c r="U26" i="5"/>
  <c r="AI26" i="5" s="1"/>
  <c r="AL26" i="5" s="1"/>
  <c r="T12" i="7"/>
  <c r="U11" i="7" s="1"/>
  <c r="P13" i="7"/>
  <c r="W13" i="7"/>
  <c r="O13" i="7" s="1"/>
  <c r="V27" i="5"/>
  <c r="U27" i="5" s="1"/>
  <c r="AI27" i="5" s="1"/>
  <c r="AL27" i="5" s="1"/>
  <c r="X14" i="7"/>
  <c r="L12" i="7"/>
  <c r="AF23" i="5"/>
  <c r="AE24" i="5"/>
  <c r="K24" i="5"/>
  <c r="M26" i="5"/>
  <c r="G28" i="5"/>
  <c r="N27" i="5"/>
  <c r="AD26" i="5" l="1"/>
  <c r="T13" i="7"/>
  <c r="U12" i="7" s="1"/>
  <c r="AJ27" i="5"/>
  <c r="AM27" i="5" s="1"/>
  <c r="V28" i="5"/>
  <c r="AJ28" i="5" s="1"/>
  <c r="AM28" i="5" s="1"/>
  <c r="X15" i="7"/>
  <c r="P14" i="7"/>
  <c r="W14" i="7"/>
  <c r="O14" i="7" s="1"/>
  <c r="L13" i="7"/>
  <c r="AD27" i="5"/>
  <c r="AE25" i="5"/>
  <c r="AF24" i="5"/>
  <c r="K25" i="5"/>
  <c r="M27" i="5"/>
  <c r="N28" i="5"/>
  <c r="G29" i="5"/>
  <c r="U28" i="5" l="1"/>
  <c r="AI28" i="5" s="1"/>
  <c r="AL28" i="5" s="1"/>
  <c r="L14" i="7"/>
  <c r="V29" i="5"/>
  <c r="AJ29" i="5" s="1"/>
  <c r="AM29" i="5" s="1"/>
  <c r="X16" i="7"/>
  <c r="T14" i="7"/>
  <c r="U13" i="7" s="1"/>
  <c r="P15" i="7"/>
  <c r="W15" i="7"/>
  <c r="O15" i="7" s="1"/>
  <c r="AF25" i="5"/>
  <c r="AE26" i="5"/>
  <c r="K26" i="5"/>
  <c r="M28" i="5"/>
  <c r="N29" i="5"/>
  <c r="G30" i="5"/>
  <c r="AD28" i="5" l="1"/>
  <c r="L15" i="7"/>
  <c r="V30" i="5"/>
  <c r="U30" i="5" s="1"/>
  <c r="AI30" i="5" s="1"/>
  <c r="X17" i="7"/>
  <c r="U29" i="5"/>
  <c r="AI29" i="5" s="1"/>
  <c r="AL29" i="5" s="1"/>
  <c r="T15" i="7"/>
  <c r="U14" i="7" s="1"/>
  <c r="P16" i="7"/>
  <c r="W16" i="7"/>
  <c r="O16" i="7" s="1"/>
  <c r="AE27" i="5"/>
  <c r="AF26" i="5"/>
  <c r="K27" i="5"/>
  <c r="M29" i="5"/>
  <c r="G31" i="5"/>
  <c r="N30" i="5"/>
  <c r="L16" i="7" l="1"/>
  <c r="AJ30" i="5"/>
  <c r="AM30" i="5" s="1"/>
  <c r="AL30" i="5"/>
  <c r="AD29" i="5"/>
  <c r="T16" i="7"/>
  <c r="U15" i="7" s="1"/>
  <c r="V31" i="5"/>
  <c r="U31" i="5" s="1"/>
  <c r="AI31" i="5" s="1"/>
  <c r="AL31" i="5" s="1"/>
  <c r="X18" i="7"/>
  <c r="P17" i="7"/>
  <c r="W17" i="7"/>
  <c r="O17" i="7" s="1"/>
  <c r="AD30" i="5"/>
  <c r="AE28" i="5"/>
  <c r="AF27" i="5"/>
  <c r="K28" i="5"/>
  <c r="M30" i="5"/>
  <c r="AE29" i="5"/>
  <c r="N31" i="5"/>
  <c r="G32" i="5"/>
  <c r="L17" i="7" l="1"/>
  <c r="V32" i="5"/>
  <c r="AJ32" i="5" s="1"/>
  <c r="X19" i="7"/>
  <c r="T17" i="7"/>
  <c r="U16" i="7" s="1"/>
  <c r="AJ31" i="5"/>
  <c r="AM31" i="5" s="1"/>
  <c r="P18" i="7"/>
  <c r="W18" i="7"/>
  <c r="O18" i="7" s="1"/>
  <c r="AD31" i="5"/>
  <c r="AF28" i="5"/>
  <c r="K29" i="5"/>
  <c r="M31" i="5"/>
  <c r="AF29" i="5"/>
  <c r="N32" i="5"/>
  <c r="G33" i="5"/>
  <c r="U32" i="5" l="1"/>
  <c r="AI32" i="5" s="1"/>
  <c r="AL32" i="5" s="1"/>
  <c r="AM32" i="5"/>
  <c r="L18" i="7"/>
  <c r="V33" i="5"/>
  <c r="AJ33" i="5" s="1"/>
  <c r="AM33" i="5" s="1"/>
  <c r="X20" i="7"/>
  <c r="T18" i="7"/>
  <c r="U17" i="7" s="1"/>
  <c r="P19" i="7"/>
  <c r="W19" i="7"/>
  <c r="O19" i="7" s="1"/>
  <c r="AD32" i="5"/>
  <c r="AE30" i="5"/>
  <c r="AF30" i="5" s="1"/>
  <c r="K30" i="5"/>
  <c r="M32" i="5"/>
  <c r="G34" i="5"/>
  <c r="N33" i="5"/>
  <c r="U33" i="5" l="1"/>
  <c r="AI33" i="5" s="1"/>
  <c r="AL33" i="5" s="1"/>
  <c r="T19" i="7"/>
  <c r="U18" i="7" s="1"/>
  <c r="V34" i="5"/>
  <c r="AJ34" i="5" s="1"/>
  <c r="AM34" i="5" s="1"/>
  <c r="X21" i="7"/>
  <c r="L19" i="7"/>
  <c r="P20" i="7"/>
  <c r="W20" i="7"/>
  <c r="O20" i="7" s="1"/>
  <c r="AE31" i="5"/>
  <c r="K31" i="5"/>
  <c r="M33" i="5"/>
  <c r="AE32" i="5"/>
  <c r="N34" i="5"/>
  <c r="G35" i="5"/>
  <c r="U34" i="5" l="1"/>
  <c r="AI34" i="5" s="1"/>
  <c r="AL34" i="5" s="1"/>
  <c r="AD33" i="5"/>
  <c r="AE33" i="5" s="1"/>
  <c r="L20" i="7"/>
  <c r="V35" i="5"/>
  <c r="AJ35" i="5" s="1"/>
  <c r="AM35" i="5" s="1"/>
  <c r="X22" i="7"/>
  <c r="P21" i="7"/>
  <c r="W21" i="7"/>
  <c r="O21" i="7" s="1"/>
  <c r="T20" i="7"/>
  <c r="U19" i="7" s="1"/>
  <c r="AF31" i="5"/>
  <c r="K32" i="5"/>
  <c r="M34" i="5"/>
  <c r="AF32" i="5"/>
  <c r="N35" i="5"/>
  <c r="G36" i="5"/>
  <c r="AD34" i="5" l="1"/>
  <c r="U35" i="5"/>
  <c r="AI35" i="5" s="1"/>
  <c r="AL35" i="5" s="1"/>
  <c r="L21" i="7"/>
  <c r="V36" i="5"/>
  <c r="AJ36" i="5" s="1"/>
  <c r="AM36" i="5" s="1"/>
  <c r="X23" i="7"/>
  <c r="T21" i="7"/>
  <c r="U20" i="7" s="1"/>
  <c r="P22" i="7"/>
  <c r="W22" i="7"/>
  <c r="O22" i="7" s="1"/>
  <c r="K33" i="5"/>
  <c r="M35" i="5"/>
  <c r="AF33" i="5"/>
  <c r="G37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T22" i="7"/>
  <c r="U21" i="7" s="1"/>
  <c r="AE34" i="5"/>
  <c r="AF34" i="5" s="1"/>
  <c r="K34" i="5"/>
  <c r="M36" i="5"/>
  <c r="AE35" i="5"/>
  <c r="G38" i="5"/>
  <c r="N37" i="5"/>
  <c r="AD36" i="5" l="1"/>
  <c r="U37" i="5"/>
  <c r="AI37" i="5" s="1"/>
  <c r="AL37" i="5" s="1"/>
  <c r="L23" i="7"/>
  <c r="T23" i="7"/>
  <c r="U22" i="7" s="1"/>
  <c r="V38" i="5"/>
  <c r="AJ38" i="5" s="1"/>
  <c r="AM38" i="5" s="1"/>
  <c r="X25" i="7"/>
  <c r="P24" i="7"/>
  <c r="W24" i="7"/>
  <c r="O24" i="7" s="1"/>
  <c r="K35" i="5"/>
  <c r="M37" i="5"/>
  <c r="AF35" i="5"/>
  <c r="N38" i="5"/>
  <c r="G39" i="5"/>
  <c r="AD37" i="5" l="1"/>
  <c r="L24" i="7"/>
  <c r="U38" i="5"/>
  <c r="AI38" i="5" s="1"/>
  <c r="AL38" i="5" s="1"/>
  <c r="V39" i="5"/>
  <c r="AJ39" i="5" s="1"/>
  <c r="AM39" i="5" s="1"/>
  <c r="X26" i="7"/>
  <c r="T24" i="7"/>
  <c r="U23" i="7" s="1"/>
  <c r="P25" i="7"/>
  <c r="W25" i="7"/>
  <c r="O25" i="7" s="1"/>
  <c r="K36" i="5"/>
  <c r="AE36" i="5"/>
  <c r="M38" i="5"/>
  <c r="N39" i="5"/>
  <c r="G40" i="5"/>
  <c r="AD38" i="5" l="1"/>
  <c r="U39" i="5"/>
  <c r="AI39" i="5" s="1"/>
  <c r="AL39" i="5" s="1"/>
  <c r="L25" i="7"/>
  <c r="T25" i="7"/>
  <c r="U24" i="7" s="1"/>
  <c r="V40" i="5"/>
  <c r="U40" i="5" s="1"/>
  <c r="AI40" i="5" s="1"/>
  <c r="X27" i="7"/>
  <c r="P26" i="7"/>
  <c r="W26" i="7"/>
  <c r="O26" i="7" s="1"/>
  <c r="AF36" i="5"/>
  <c r="AE37" i="5"/>
  <c r="K37" i="5"/>
  <c r="M39" i="5"/>
  <c r="G41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T26" i="7"/>
  <c r="U25" i="7" s="1"/>
  <c r="AD40" i="5"/>
  <c r="AF37" i="5"/>
  <c r="AE38" i="5"/>
  <c r="K38" i="5"/>
  <c r="M40" i="5"/>
  <c r="G42" i="5"/>
  <c r="N41" i="5"/>
  <c r="L27" i="7" l="1"/>
  <c r="AJ41" i="5"/>
  <c r="AM41" i="5" s="1"/>
  <c r="T27" i="7"/>
  <c r="U26" i="7" s="1"/>
  <c r="V42" i="5"/>
  <c r="AJ42" i="5" s="1"/>
  <c r="X29" i="7"/>
  <c r="P28" i="7"/>
  <c r="W28" i="7"/>
  <c r="O28" i="7" s="1"/>
  <c r="AD41" i="5"/>
  <c r="AF38" i="5"/>
  <c r="AE39" i="5"/>
  <c r="K39" i="5"/>
  <c r="M41" i="5"/>
  <c r="N42" i="5"/>
  <c r="G43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T28" i="7"/>
  <c r="AF39" i="5"/>
  <c r="AE40" i="5"/>
  <c r="K40" i="5"/>
  <c r="M42" i="5"/>
  <c r="G44" i="5"/>
  <c r="N43" i="5"/>
  <c r="U43" i="5" l="1"/>
  <c r="AI43" i="5" s="1"/>
  <c r="AL43" i="5" s="1"/>
  <c r="L29" i="7"/>
  <c r="AD42" i="5"/>
  <c r="U27" i="7"/>
  <c r="T29" i="7"/>
  <c r="U28" i="7" s="1"/>
  <c r="V44" i="5"/>
  <c r="U44" i="5" s="1"/>
  <c r="AI44" i="5" s="1"/>
  <c r="X31" i="7"/>
  <c r="P30" i="7"/>
  <c r="W30" i="7"/>
  <c r="O30" i="7" s="1"/>
  <c r="AF40" i="5"/>
  <c r="AE41" i="5"/>
  <c r="K41" i="5"/>
  <c r="M43" i="5"/>
  <c r="G45" i="5"/>
  <c r="N44" i="5"/>
  <c r="AL44" i="5" l="1"/>
  <c r="AD43" i="5"/>
  <c r="L30" i="7"/>
  <c r="T30" i="7"/>
  <c r="U29" i="7" s="1"/>
  <c r="AJ44" i="5"/>
  <c r="AM44" i="5" s="1"/>
  <c r="V45" i="5"/>
  <c r="U45" i="5" s="1"/>
  <c r="AI45" i="5" s="1"/>
  <c r="AL45" i="5" s="1"/>
  <c r="X32" i="7"/>
  <c r="P31" i="7"/>
  <c r="W31" i="7"/>
  <c r="O31" i="7" s="1"/>
  <c r="AD44" i="5"/>
  <c r="AF41" i="5"/>
  <c r="AE42" i="5"/>
  <c r="AF42" i="5" s="1"/>
  <c r="K42" i="5"/>
  <c r="M44" i="5"/>
  <c r="N45" i="5"/>
  <c r="G46" i="5"/>
  <c r="L31" i="7" l="1"/>
  <c r="T31" i="7"/>
  <c r="U30" i="7" s="1"/>
  <c r="AJ45" i="5"/>
  <c r="AM45" i="5" s="1"/>
  <c r="V46" i="5"/>
  <c r="AJ46" i="5" s="1"/>
  <c r="AM46" i="5" s="1"/>
  <c r="X33" i="7"/>
  <c r="P32" i="7"/>
  <c r="W32" i="7"/>
  <c r="O32" i="7" s="1"/>
  <c r="AD45" i="5"/>
  <c r="AE43" i="5"/>
  <c r="K43" i="5"/>
  <c r="M45" i="5"/>
  <c r="G47" i="5"/>
  <c r="N46" i="5"/>
  <c r="U46" i="5" l="1"/>
  <c r="AI46" i="5" s="1"/>
  <c r="AL46" i="5" s="1"/>
  <c r="T32" i="7"/>
  <c r="U31" i="7" s="1"/>
  <c r="V47" i="5"/>
  <c r="AJ47" i="5" s="1"/>
  <c r="AM47" i="5" s="1"/>
  <c r="X34" i="7"/>
  <c r="L32" i="7"/>
  <c r="P33" i="7"/>
  <c r="W33" i="7"/>
  <c r="O33" i="7" s="1"/>
  <c r="AF43" i="5"/>
  <c r="AE44" i="5"/>
  <c r="K44" i="5"/>
  <c r="M46" i="5"/>
  <c r="G48" i="5"/>
  <c r="N47" i="5"/>
  <c r="AD46" i="5" l="1"/>
  <c r="L33" i="7"/>
  <c r="U47" i="5"/>
  <c r="AI47" i="5" s="1"/>
  <c r="AL47" i="5" s="1"/>
  <c r="T33" i="7"/>
  <c r="U32" i="7" s="1"/>
  <c r="V48" i="5"/>
  <c r="AJ48" i="5" s="1"/>
  <c r="AM48" i="5" s="1"/>
  <c r="X35" i="7"/>
  <c r="P34" i="7"/>
  <c r="W34" i="7"/>
  <c r="O34" i="7" s="1"/>
  <c r="AF44" i="5"/>
  <c r="AE45" i="5"/>
  <c r="K45" i="5"/>
  <c r="M47" i="5"/>
  <c r="N48" i="5"/>
  <c r="G49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T34" i="7"/>
  <c r="U33" i="7" s="1"/>
  <c r="AF45" i="5"/>
  <c r="K46" i="5"/>
  <c r="AE46" i="5"/>
  <c r="M48" i="5"/>
  <c r="N49" i="5"/>
  <c r="G50" i="5"/>
  <c r="AD48" i="5" l="1"/>
  <c r="U49" i="5"/>
  <c r="AI49" i="5" s="1"/>
  <c r="AL49" i="5" s="1"/>
  <c r="L35" i="7"/>
  <c r="V50" i="5"/>
  <c r="AJ50" i="5" s="1"/>
  <c r="AM50" i="5" s="1"/>
  <c r="X37" i="7"/>
  <c r="T35" i="7"/>
  <c r="U34" i="7" s="1"/>
  <c r="P36" i="7"/>
  <c r="W36" i="7"/>
  <c r="O36" i="7" s="1"/>
  <c r="AE47" i="5"/>
  <c r="AF46" i="5"/>
  <c r="K47" i="5"/>
  <c r="M49" i="5"/>
  <c r="G51" i="5"/>
  <c r="N50" i="5"/>
  <c r="U50" i="5" l="1"/>
  <c r="AI50" i="5" s="1"/>
  <c r="AL50" i="5" s="1"/>
  <c r="AD49" i="5"/>
  <c r="L36" i="7"/>
  <c r="T36" i="7"/>
  <c r="V51" i="5"/>
  <c r="AJ51" i="5" s="1"/>
  <c r="AM51" i="5" s="1"/>
  <c r="X38" i="7"/>
  <c r="P37" i="7"/>
  <c r="W37" i="7"/>
  <c r="O37" i="7" s="1"/>
  <c r="AF47" i="5"/>
  <c r="AE48" i="5"/>
  <c r="K48" i="5"/>
  <c r="M50" i="5"/>
  <c r="N51" i="5"/>
  <c r="G52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T37" i="7"/>
  <c r="U36" i="7" s="1"/>
  <c r="U35" i="7"/>
  <c r="AF48" i="5"/>
  <c r="AE49" i="5"/>
  <c r="K49" i="5"/>
  <c r="M51" i="5"/>
  <c r="N52" i="5"/>
  <c r="G53" i="5"/>
  <c r="AL52" i="5" l="1"/>
  <c r="AD51" i="5"/>
  <c r="AJ52" i="5"/>
  <c r="AM52" i="5" s="1"/>
  <c r="L38" i="7"/>
  <c r="V53" i="5"/>
  <c r="AJ53" i="5" s="1"/>
  <c r="AM53" i="5" s="1"/>
  <c r="X40" i="7"/>
  <c r="T38" i="7"/>
  <c r="U37" i="7" s="1"/>
  <c r="P39" i="7"/>
  <c r="W39" i="7"/>
  <c r="O39" i="7" s="1"/>
  <c r="AD52" i="5"/>
  <c r="AE50" i="5"/>
  <c r="AF50" i="5" s="1"/>
  <c r="AF49" i="5"/>
  <c r="K50" i="5"/>
  <c r="M52" i="5"/>
  <c r="N53" i="5"/>
  <c r="G54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T39" i="7"/>
  <c r="U38" i="7" s="1"/>
  <c r="K51" i="5"/>
  <c r="AE51" i="5"/>
  <c r="M53" i="5"/>
  <c r="G55" i="5"/>
  <c r="N54" i="5"/>
  <c r="L40" i="7" l="1"/>
  <c r="AD53" i="5"/>
  <c r="U54" i="5"/>
  <c r="AI54" i="5" s="1"/>
  <c r="AL54" i="5" s="1"/>
  <c r="V55" i="5"/>
  <c r="AJ55" i="5" s="1"/>
  <c r="AM55" i="5" s="1"/>
  <c r="X42" i="7"/>
  <c r="T40" i="7"/>
  <c r="P41" i="7"/>
  <c r="W41" i="7"/>
  <c r="O41" i="7" s="1"/>
  <c r="AF51" i="5"/>
  <c r="AE52" i="5"/>
  <c r="K52" i="5"/>
  <c r="M54" i="5"/>
  <c r="AE53" i="5"/>
  <c r="N55" i="5"/>
  <c r="G56" i="5"/>
  <c r="AD54" i="5" l="1"/>
  <c r="U55" i="5"/>
  <c r="AI55" i="5" s="1"/>
  <c r="AL55" i="5" s="1"/>
  <c r="L41" i="7"/>
  <c r="V56" i="5"/>
  <c r="AJ56" i="5" s="1"/>
  <c r="AM56" i="5" s="1"/>
  <c r="X43" i="7"/>
  <c r="U39" i="7"/>
  <c r="P42" i="7"/>
  <c r="W42" i="7"/>
  <c r="O42" i="7" s="1"/>
  <c r="T41" i="7"/>
  <c r="U40" i="7" s="1"/>
  <c r="AF52" i="5"/>
  <c r="K53" i="5"/>
  <c r="M55" i="5"/>
  <c r="AF53" i="5"/>
  <c r="N56" i="5"/>
  <c r="G57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T42" i="7"/>
  <c r="U41" i="7" s="1"/>
  <c r="AE54" i="5"/>
  <c r="K54" i="5"/>
  <c r="M56" i="5"/>
  <c r="AE55" i="5"/>
  <c r="G58" i="5"/>
  <c r="N57" i="5"/>
  <c r="U57" i="5" l="1"/>
  <c r="AI57" i="5" s="1"/>
  <c r="AL57" i="5" s="1"/>
  <c r="AD56" i="5"/>
  <c r="L43" i="7"/>
  <c r="V58" i="5"/>
  <c r="AJ58" i="5" s="1"/>
  <c r="AM58" i="5" s="1"/>
  <c r="X45" i="7"/>
  <c r="T43" i="7"/>
  <c r="U42" i="7" s="1"/>
  <c r="P44" i="7"/>
  <c r="W44" i="7"/>
  <c r="O44" i="7" s="1"/>
  <c r="AD57" i="5"/>
  <c r="AF54" i="5"/>
  <c r="K55" i="5"/>
  <c r="M57" i="5"/>
  <c r="AF55" i="5"/>
  <c r="G59" i="5"/>
  <c r="N58" i="5"/>
  <c r="U58" i="5" l="1"/>
  <c r="AI58" i="5" s="1"/>
  <c r="AL58" i="5" s="1"/>
  <c r="L44" i="7"/>
  <c r="V59" i="5"/>
  <c r="U59" i="5" s="1"/>
  <c r="AI59" i="5" s="1"/>
  <c r="X46" i="7"/>
  <c r="P45" i="7"/>
  <c r="W45" i="7"/>
  <c r="O45" i="7" s="1"/>
  <c r="T44" i="7"/>
  <c r="U43" i="7" s="1"/>
  <c r="K56" i="5"/>
  <c r="AE56" i="5"/>
  <c r="M58" i="5"/>
  <c r="N59" i="5"/>
  <c r="G60" i="5"/>
  <c r="AL59" i="5" l="1"/>
  <c r="AD58" i="5"/>
  <c r="L45" i="7"/>
  <c r="AJ59" i="5"/>
  <c r="AM59" i="5" s="1"/>
  <c r="V60" i="5"/>
  <c r="AJ60" i="5" s="1"/>
  <c r="X47" i="7"/>
  <c r="T45" i="7"/>
  <c r="U44" i="7" s="1"/>
  <c r="P46" i="7"/>
  <c r="W46" i="7"/>
  <c r="O46" i="7" s="1"/>
  <c r="AD59" i="5"/>
  <c r="AF56" i="5"/>
  <c r="AE57" i="5"/>
  <c r="K57" i="5"/>
  <c r="M59" i="5"/>
  <c r="AE58" i="5"/>
  <c r="G61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T46" i="7"/>
  <c r="U45" i="7" s="1"/>
  <c r="AF57" i="5"/>
  <c r="K58" i="5"/>
  <c r="M60" i="5"/>
  <c r="AF58" i="5"/>
  <c r="G62" i="5"/>
  <c r="N61" i="5"/>
  <c r="U61" i="5" l="1"/>
  <c r="AI61" i="5" s="1"/>
  <c r="AL61" i="5" s="1"/>
  <c r="AD60" i="5"/>
  <c r="L47" i="7"/>
  <c r="T47" i="7"/>
  <c r="U46" i="7" s="1"/>
  <c r="P48" i="7"/>
  <c r="W48" i="7"/>
  <c r="O48" i="7" s="1"/>
  <c r="V62" i="5"/>
  <c r="AJ62" i="5" s="1"/>
  <c r="AM62" i="5" s="1"/>
  <c r="X49" i="7"/>
  <c r="AE59" i="5"/>
  <c r="K59" i="5"/>
  <c r="M61" i="5"/>
  <c r="G63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T48" i="7"/>
  <c r="U47" i="7" s="1"/>
  <c r="AE60" i="5"/>
  <c r="AF60" i="5" s="1"/>
  <c r="AF59" i="5"/>
  <c r="K60" i="5"/>
  <c r="M62" i="5"/>
  <c r="N63" i="5"/>
  <c r="G64" i="5"/>
  <c r="AL63" i="5" l="1"/>
  <c r="AD62" i="5"/>
  <c r="L49" i="7"/>
  <c r="AJ63" i="5"/>
  <c r="AM63" i="5" s="1"/>
  <c r="V64" i="5"/>
  <c r="U64" i="5" s="1"/>
  <c r="AI64" i="5" s="1"/>
  <c r="AL64" i="5" s="1"/>
  <c r="X51" i="7"/>
  <c r="T49" i="7"/>
  <c r="U48" i="7" s="1"/>
  <c r="P50" i="7"/>
  <c r="W50" i="7"/>
  <c r="O50" i="7" s="1"/>
  <c r="AD63" i="5"/>
  <c r="K61" i="5"/>
  <c r="AE61" i="5"/>
  <c r="M63" i="5"/>
  <c r="AE62" i="5"/>
  <c r="N64" i="5"/>
  <c r="G65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T50" i="7"/>
  <c r="U49" i="7" s="1"/>
  <c r="AD64" i="5"/>
  <c r="AF61" i="5"/>
  <c r="K62" i="5"/>
  <c r="M64" i="5"/>
  <c r="AF62" i="5"/>
  <c r="N65" i="5"/>
  <c r="G66" i="5"/>
  <c r="AJ65" i="5" l="1"/>
  <c r="AM65" i="5" s="1"/>
  <c r="L51" i="7"/>
  <c r="V66" i="5"/>
  <c r="AJ66" i="5" s="1"/>
  <c r="X53" i="7"/>
  <c r="T51" i="7"/>
  <c r="U50" i="7" s="1"/>
  <c r="P52" i="7"/>
  <c r="W52" i="7"/>
  <c r="O52" i="7" s="1"/>
  <c r="AD65" i="5"/>
  <c r="AE63" i="5"/>
  <c r="K63" i="5"/>
  <c r="M65" i="5"/>
  <c r="G67" i="5"/>
  <c r="N66" i="5"/>
  <c r="AM66" i="5" l="1"/>
  <c r="U66" i="5"/>
  <c r="AI66" i="5" s="1"/>
  <c r="AL66" i="5" s="1"/>
  <c r="L52" i="7"/>
  <c r="V67" i="5"/>
  <c r="AJ67" i="5" s="1"/>
  <c r="AM67" i="5" s="1"/>
  <c r="X54" i="7"/>
  <c r="P53" i="7"/>
  <c r="W53" i="7"/>
  <c r="O53" i="7" s="1"/>
  <c r="T52" i="7"/>
  <c r="U51" i="7" s="1"/>
  <c r="AF63" i="5"/>
  <c r="AE64" i="5"/>
  <c r="AF64" i="5" s="1"/>
  <c r="K64" i="5"/>
  <c r="M66" i="5"/>
  <c r="G68" i="5"/>
  <c r="N67" i="5"/>
  <c r="AD66" i="5" l="1"/>
  <c r="U67" i="5"/>
  <c r="AI67" i="5" s="1"/>
  <c r="AL67" i="5" s="1"/>
  <c r="L53" i="7"/>
  <c r="T53" i="7"/>
  <c r="U52" i="7" s="1"/>
  <c r="V68" i="5"/>
  <c r="U68" i="5" s="1"/>
  <c r="AI68" i="5" s="1"/>
  <c r="AL68" i="5" s="1"/>
  <c r="X55" i="7"/>
  <c r="P54" i="7"/>
  <c r="W54" i="7"/>
  <c r="O54" i="7" s="1"/>
  <c r="K65" i="5"/>
  <c r="AE65" i="5"/>
  <c r="M67" i="5"/>
  <c r="N68" i="5"/>
  <c r="G69" i="5"/>
  <c r="AD67" i="5" l="1"/>
  <c r="AJ68" i="5"/>
  <c r="AM68" i="5" s="1"/>
  <c r="L54" i="7"/>
  <c r="V69" i="5"/>
  <c r="AJ69" i="5" s="1"/>
  <c r="X56" i="7"/>
  <c r="T54" i="7"/>
  <c r="U53" i="7" s="1"/>
  <c r="P55" i="7"/>
  <c r="W55" i="7"/>
  <c r="O55" i="7" s="1"/>
  <c r="AD68" i="5"/>
  <c r="AF65" i="5"/>
  <c r="AE66" i="5"/>
  <c r="K66" i="5"/>
  <c r="M68" i="5"/>
  <c r="N69" i="5"/>
  <c r="G70" i="5"/>
  <c r="AM69" i="5" l="1"/>
  <c r="U69" i="5"/>
  <c r="AI69" i="5" s="1"/>
  <c r="AL69" i="5" s="1"/>
  <c r="L55" i="7"/>
  <c r="P56" i="7"/>
  <c r="W56" i="7"/>
  <c r="O56" i="7" s="1"/>
  <c r="V70" i="5"/>
  <c r="U70" i="5" s="1"/>
  <c r="AI70" i="5" s="1"/>
  <c r="X57" i="7"/>
  <c r="T55" i="7"/>
  <c r="U54" i="7" s="1"/>
  <c r="AF66" i="5"/>
  <c r="AE67" i="5"/>
  <c r="AF67" i="5" s="1"/>
  <c r="K67" i="5"/>
  <c r="M69" i="5"/>
  <c r="G71" i="5"/>
  <c r="N70" i="5"/>
  <c r="AD69" i="5" l="1"/>
  <c r="AL70" i="5"/>
  <c r="L56" i="7"/>
  <c r="AJ70" i="5"/>
  <c r="AM70" i="5" s="1"/>
  <c r="V71" i="5"/>
  <c r="AJ71" i="5" s="1"/>
  <c r="AM71" i="5" s="1"/>
  <c r="X58" i="7"/>
  <c r="P57" i="7"/>
  <c r="W57" i="7"/>
  <c r="O57" i="7" s="1"/>
  <c r="T56" i="7"/>
  <c r="U55" i="7" s="1"/>
  <c r="AD70" i="5"/>
  <c r="AE68" i="5"/>
  <c r="K68" i="5"/>
  <c r="M70" i="5"/>
  <c r="N71" i="5"/>
  <c r="G72" i="5"/>
  <c r="U71" i="5" l="1"/>
  <c r="AI71" i="5" s="1"/>
  <c r="AL71" i="5" s="1"/>
  <c r="L57" i="7"/>
  <c r="V72" i="5"/>
  <c r="AJ72" i="5" s="1"/>
  <c r="AM72" i="5" s="1"/>
  <c r="X59" i="7"/>
  <c r="T57" i="7"/>
  <c r="P58" i="7"/>
  <c r="W58" i="7"/>
  <c r="O58" i="7" s="1"/>
  <c r="AF68" i="5"/>
  <c r="AE69" i="5"/>
  <c r="K69" i="5"/>
  <c r="M71" i="5"/>
  <c r="G73" i="5"/>
  <c r="N72" i="5"/>
  <c r="AD71" i="5" l="1"/>
  <c r="U72" i="5"/>
  <c r="AI72" i="5" s="1"/>
  <c r="AL72" i="5" s="1"/>
  <c r="L58" i="7"/>
  <c r="V73" i="5"/>
  <c r="AJ73" i="5" s="1"/>
  <c r="AM73" i="5" s="1"/>
  <c r="X60" i="7"/>
  <c r="U56" i="7"/>
  <c r="P59" i="7"/>
  <c r="W59" i="7"/>
  <c r="O59" i="7" s="1"/>
  <c r="T58" i="7"/>
  <c r="U57" i="7" s="1"/>
  <c r="AF69" i="5"/>
  <c r="AE70" i="5"/>
  <c r="AF70" i="5" s="1"/>
  <c r="K70" i="5"/>
  <c r="M72" i="5"/>
  <c r="G74" i="5"/>
  <c r="N73" i="5"/>
  <c r="AD72" i="5" l="1"/>
  <c r="U73" i="5"/>
  <c r="AI73" i="5" s="1"/>
  <c r="AL73" i="5" s="1"/>
  <c r="T59" i="7"/>
  <c r="U58" i="7" s="1"/>
  <c r="V74" i="5"/>
  <c r="U74" i="5" s="1"/>
  <c r="AI74" i="5" s="1"/>
  <c r="X61" i="7"/>
  <c r="L59" i="7"/>
  <c r="P60" i="7"/>
  <c r="W60" i="7"/>
  <c r="O60" i="7" s="1"/>
  <c r="K71" i="5"/>
  <c r="AE71" i="5"/>
  <c r="M73" i="5"/>
  <c r="N74" i="5"/>
  <c r="G75" i="5"/>
  <c r="AL74" i="5" l="1"/>
  <c r="AJ74" i="5"/>
  <c r="AM74" i="5" s="1"/>
  <c r="AD73" i="5"/>
  <c r="L60" i="7"/>
  <c r="V75" i="5"/>
  <c r="AJ75" i="5" s="1"/>
  <c r="X62" i="7"/>
  <c r="T60" i="7"/>
  <c r="U59" i="7" s="1"/>
  <c r="P61" i="7"/>
  <c r="W61" i="7"/>
  <c r="O61" i="7" s="1"/>
  <c r="AD74" i="5"/>
  <c r="AE72" i="5"/>
  <c r="AF71" i="5"/>
  <c r="K72" i="5"/>
  <c r="M74" i="5"/>
  <c r="G76" i="5"/>
  <c r="N75" i="5"/>
  <c r="AM75" i="5" l="1"/>
  <c r="U75" i="5"/>
  <c r="AI75" i="5" s="1"/>
  <c r="AL75" i="5" s="1"/>
  <c r="L61" i="7"/>
  <c r="T61" i="7"/>
  <c r="U60" i="7" s="1"/>
  <c r="P62" i="7"/>
  <c r="W62" i="7"/>
  <c r="O62" i="7" s="1"/>
  <c r="V76" i="5"/>
  <c r="AJ76" i="5" s="1"/>
  <c r="AM76" i="5" s="1"/>
  <c r="X63" i="7"/>
  <c r="AF72" i="5"/>
  <c r="AE73" i="5"/>
  <c r="K73" i="5"/>
  <c r="M75" i="5"/>
  <c r="AE74" i="5"/>
  <c r="N76" i="5"/>
  <c r="G77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T62" i="7"/>
  <c r="U61" i="7" s="1"/>
  <c r="AF73" i="5"/>
  <c r="K74" i="5"/>
  <c r="M76" i="5"/>
  <c r="AF74" i="5"/>
  <c r="G78" i="5"/>
  <c r="N77" i="5"/>
  <c r="U77" i="5" l="1"/>
  <c r="AI77" i="5" s="1"/>
  <c r="AL77" i="5" s="1"/>
  <c r="L63" i="7"/>
  <c r="AD76" i="5"/>
  <c r="T63" i="7"/>
  <c r="U62" i="7" s="1"/>
  <c r="P64" i="7"/>
  <c r="W64" i="7"/>
  <c r="O64" i="7" s="1"/>
  <c r="V78" i="5"/>
  <c r="AJ78" i="5" s="1"/>
  <c r="AM78" i="5" s="1"/>
  <c r="X65" i="7"/>
  <c r="K75" i="5"/>
  <c r="AE75" i="5"/>
  <c r="M77" i="5"/>
  <c r="G79" i="5"/>
  <c r="N78" i="5"/>
  <c r="AD77" i="5" l="1"/>
  <c r="L64" i="7"/>
  <c r="U78" i="5"/>
  <c r="AI78" i="5" s="1"/>
  <c r="AL78" i="5" s="1"/>
  <c r="T64" i="7"/>
  <c r="U63" i="7" s="1"/>
  <c r="V79" i="5"/>
  <c r="U79" i="5" s="1"/>
  <c r="AI79" i="5" s="1"/>
  <c r="X66" i="7"/>
  <c r="P65" i="7"/>
  <c r="W65" i="7"/>
  <c r="O65" i="7" s="1"/>
  <c r="AE76" i="5"/>
  <c r="AF75" i="5"/>
  <c r="K76" i="5"/>
  <c r="M78" i="5"/>
  <c r="N79" i="5"/>
  <c r="G80" i="5"/>
  <c r="AD78" i="5" l="1"/>
  <c r="AL79" i="5"/>
  <c r="AJ79" i="5"/>
  <c r="AM79" i="5" s="1"/>
  <c r="L65" i="7"/>
  <c r="T65" i="7"/>
  <c r="U64" i="7" s="1"/>
  <c r="P66" i="7"/>
  <c r="W66" i="7"/>
  <c r="O66" i="7" s="1"/>
  <c r="V80" i="5"/>
  <c r="U80" i="5" s="1"/>
  <c r="AI80" i="5" s="1"/>
  <c r="AL80" i="5" s="1"/>
  <c r="X67" i="7"/>
  <c r="AD79" i="5"/>
  <c r="AF76" i="5"/>
  <c r="AE77" i="5"/>
  <c r="K77" i="5"/>
  <c r="M79" i="5"/>
  <c r="N80" i="5"/>
  <c r="G81" i="5"/>
  <c r="L66" i="7" l="1"/>
  <c r="AJ80" i="5"/>
  <c r="AM80" i="5" s="1"/>
  <c r="P67" i="7"/>
  <c r="W67" i="7"/>
  <c r="O67" i="7" s="1"/>
  <c r="V81" i="5"/>
  <c r="AJ81" i="5" s="1"/>
  <c r="X68" i="7"/>
  <c r="T66" i="7"/>
  <c r="U65" i="7" s="1"/>
  <c r="AD80" i="5"/>
  <c r="AF77" i="5"/>
  <c r="AE78" i="5"/>
  <c r="K78" i="5"/>
  <c r="M80" i="5"/>
  <c r="G82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T67" i="7"/>
  <c r="U66" i="7" s="1"/>
  <c r="AF78" i="5"/>
  <c r="AE79" i="5"/>
  <c r="K79" i="5"/>
  <c r="M81" i="5"/>
  <c r="G83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T68" i="7"/>
  <c r="AE80" i="5"/>
  <c r="AF79" i="5"/>
  <c r="K80" i="5"/>
  <c r="M82" i="5"/>
  <c r="AE81" i="5"/>
  <c r="G84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U67" i="7"/>
  <c r="T69" i="7"/>
  <c r="U68" i="7" s="1"/>
  <c r="AF80" i="5"/>
  <c r="K81" i="5"/>
  <c r="M83" i="5"/>
  <c r="AF81" i="5"/>
  <c r="G85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T70" i="7"/>
  <c r="U69" i="7" s="1"/>
  <c r="AE82" i="5"/>
  <c r="AF82" i="5" s="1"/>
  <c r="K82" i="5"/>
  <c r="M84" i="5"/>
  <c r="AE83" i="5"/>
  <c r="G86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T71" i="7"/>
  <c r="U70" i="7" s="1"/>
  <c r="K83" i="5"/>
  <c r="M85" i="5"/>
  <c r="AF83" i="5"/>
  <c r="N86" i="5"/>
  <c r="G87" i="5"/>
  <c r="AD85" i="5" l="1"/>
  <c r="U86" i="5"/>
  <c r="AI86" i="5" s="1"/>
  <c r="AL86" i="5" s="1"/>
  <c r="L72" i="7"/>
  <c r="V87" i="5"/>
  <c r="AJ87" i="5" s="1"/>
  <c r="AM87" i="5" s="1"/>
  <c r="X74" i="7"/>
  <c r="T72" i="7"/>
  <c r="U71" i="7" s="1"/>
  <c r="P73" i="7"/>
  <c r="W73" i="7"/>
  <c r="O73" i="7" s="1"/>
  <c r="AE84" i="5"/>
  <c r="K84" i="5"/>
  <c r="M86" i="5"/>
  <c r="G88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T73" i="7"/>
  <c r="U72" i="7" s="1"/>
  <c r="AF84" i="5"/>
  <c r="AE85" i="5"/>
  <c r="K85" i="5"/>
  <c r="M87" i="5"/>
  <c r="N88" i="5"/>
  <c r="G89" i="5"/>
  <c r="U88" i="5" l="1"/>
  <c r="AI88" i="5" s="1"/>
  <c r="AL88" i="5" s="1"/>
  <c r="AD87" i="5"/>
  <c r="AE87" i="5" s="1"/>
  <c r="L74" i="7"/>
  <c r="V89" i="5"/>
  <c r="AJ89" i="5" s="1"/>
  <c r="AM89" i="5" s="1"/>
  <c r="X76" i="7"/>
  <c r="P75" i="7"/>
  <c r="W75" i="7"/>
  <c r="O75" i="7" s="1"/>
  <c r="T74" i="7"/>
  <c r="U73" i="7" s="1"/>
  <c r="AF85" i="5"/>
  <c r="AE86" i="5"/>
  <c r="AF86" i="5" s="1"/>
  <c r="K86" i="5"/>
  <c r="M88" i="5"/>
  <c r="N89" i="5"/>
  <c r="G90" i="5"/>
  <c r="U89" i="5" l="1"/>
  <c r="AI89" i="5" s="1"/>
  <c r="AL89" i="5" s="1"/>
  <c r="AD88" i="5"/>
  <c r="L75" i="7"/>
  <c r="T75" i="7"/>
  <c r="U74" i="7" s="1"/>
  <c r="V90" i="5"/>
  <c r="U90" i="5" s="1"/>
  <c r="AI90" i="5" s="1"/>
  <c r="X77" i="7"/>
  <c r="P76" i="7"/>
  <c r="W76" i="7"/>
  <c r="O76" i="7" s="1"/>
  <c r="K87" i="5"/>
  <c r="M89" i="5"/>
  <c r="AF87" i="5"/>
  <c r="G91" i="5"/>
  <c r="N90" i="5"/>
  <c r="AD89" i="5" l="1"/>
  <c r="AL90" i="5"/>
  <c r="L76" i="7"/>
  <c r="AJ90" i="5"/>
  <c r="AM90" i="5" s="1"/>
  <c r="T76" i="7"/>
  <c r="U75" i="7" s="1"/>
  <c r="V91" i="5"/>
  <c r="AJ91" i="5" s="1"/>
  <c r="AM91" i="5" s="1"/>
  <c r="X78" i="7"/>
  <c r="P77" i="7"/>
  <c r="W77" i="7"/>
  <c r="O77" i="7" s="1"/>
  <c r="AD90" i="5"/>
  <c r="AE88" i="5"/>
  <c r="K88" i="5"/>
  <c r="M90" i="5"/>
  <c r="N91" i="5"/>
  <c r="G92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T77" i="7"/>
  <c r="U76" i="7" s="1"/>
  <c r="AF88" i="5"/>
  <c r="AE89" i="5"/>
  <c r="AF89" i="5" s="1"/>
  <c r="K89" i="5"/>
  <c r="M91" i="5"/>
  <c r="N92" i="5"/>
  <c r="G93" i="5"/>
  <c r="AD91" i="5" l="1"/>
  <c r="AE91" i="5" s="1"/>
  <c r="U92" i="5"/>
  <c r="AI92" i="5" s="1"/>
  <c r="AL92" i="5" s="1"/>
  <c r="L78" i="7"/>
  <c r="T78" i="7"/>
  <c r="U77" i="7" s="1"/>
  <c r="V93" i="5"/>
  <c r="AJ93" i="5" s="1"/>
  <c r="AM93" i="5" s="1"/>
  <c r="X80" i="7"/>
  <c r="P79" i="7"/>
  <c r="W79" i="7"/>
  <c r="O79" i="7" s="1"/>
  <c r="AE90" i="5"/>
  <c r="AF90" i="5" s="1"/>
  <c r="K90" i="5"/>
  <c r="M92" i="5"/>
  <c r="G94" i="5"/>
  <c r="N93" i="5"/>
  <c r="L79" i="7" l="1"/>
  <c r="AD92" i="5"/>
  <c r="U93" i="5"/>
  <c r="AI93" i="5" s="1"/>
  <c r="AL93" i="5" s="1"/>
  <c r="V94" i="5"/>
  <c r="U94" i="5" s="1"/>
  <c r="AI94" i="5" s="1"/>
  <c r="X81" i="7"/>
  <c r="T79" i="7"/>
  <c r="U78" i="7" s="1"/>
  <c r="P80" i="7"/>
  <c r="W80" i="7"/>
  <c r="O80" i="7" s="1"/>
  <c r="K91" i="5"/>
  <c r="M93" i="5"/>
  <c r="AF91" i="5"/>
  <c r="G95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T80" i="7"/>
  <c r="U79" i="7" s="1"/>
  <c r="AD94" i="5"/>
  <c r="AE92" i="5"/>
  <c r="K92" i="5"/>
  <c r="M94" i="5"/>
  <c r="G96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T81" i="7"/>
  <c r="U80" i="7" s="1"/>
  <c r="AE93" i="5"/>
  <c r="AF93" i="5" s="1"/>
  <c r="AF92" i="5"/>
  <c r="K93" i="5"/>
  <c r="M95" i="5"/>
  <c r="G97" i="5"/>
  <c r="N96" i="5"/>
  <c r="AD95" i="5" l="1"/>
  <c r="L82" i="7"/>
  <c r="AL96" i="5"/>
  <c r="AJ96" i="5"/>
  <c r="AM96" i="5" s="1"/>
  <c r="T82" i="7"/>
  <c r="U81" i="7" s="1"/>
  <c r="V97" i="5"/>
  <c r="U97" i="5" s="1"/>
  <c r="AI97" i="5" s="1"/>
  <c r="AL97" i="5" s="1"/>
  <c r="X84" i="7"/>
  <c r="P83" i="7"/>
  <c r="W83" i="7"/>
  <c r="O83" i="7" s="1"/>
  <c r="AD96" i="5"/>
  <c r="K94" i="5"/>
  <c r="AE94" i="5"/>
  <c r="M96" i="5"/>
  <c r="G98" i="5"/>
  <c r="N97" i="5"/>
  <c r="AJ97" i="5" l="1"/>
  <c r="AM97" i="5" s="1"/>
  <c r="L83" i="7"/>
  <c r="T83" i="7"/>
  <c r="U82" i="7" s="1"/>
  <c r="V98" i="5"/>
  <c r="AJ98" i="5" s="1"/>
  <c r="AM98" i="5" s="1"/>
  <c r="X85" i="7"/>
  <c r="P84" i="7"/>
  <c r="W84" i="7"/>
  <c r="O84" i="7" s="1"/>
  <c r="AD97" i="5"/>
  <c r="AE95" i="5"/>
  <c r="AF94" i="5"/>
  <c r="K95" i="5"/>
  <c r="M97" i="5"/>
  <c r="N98" i="5"/>
  <c r="G99" i="5"/>
  <c r="U98" i="5" l="1"/>
  <c r="AI98" i="5" s="1"/>
  <c r="AL98" i="5" s="1"/>
  <c r="L84" i="7"/>
  <c r="T84" i="7"/>
  <c r="U83" i="7" s="1"/>
  <c r="V99" i="5"/>
  <c r="AJ99" i="5" s="1"/>
  <c r="AM99" i="5" s="1"/>
  <c r="X86" i="7"/>
  <c r="P85" i="7"/>
  <c r="W85" i="7"/>
  <c r="O85" i="7" s="1"/>
  <c r="AE96" i="5"/>
  <c r="AF95" i="5"/>
  <c r="K96" i="5"/>
  <c r="M98" i="5"/>
  <c r="G100" i="5"/>
  <c r="N99" i="5"/>
  <c r="U99" i="5" l="1"/>
  <c r="AI99" i="5" s="1"/>
  <c r="AL99" i="5" s="1"/>
  <c r="AD98" i="5"/>
  <c r="L85" i="7"/>
  <c r="T85" i="7"/>
  <c r="U84" i="7" s="1"/>
  <c r="V100" i="5"/>
  <c r="AJ100" i="5" s="1"/>
  <c r="AM100" i="5" s="1"/>
  <c r="X87" i="7"/>
  <c r="P86" i="7"/>
  <c r="W86" i="7"/>
  <c r="O86" i="7" s="1"/>
  <c r="AF96" i="5"/>
  <c r="AE97" i="5"/>
  <c r="K97" i="5"/>
  <c r="M99" i="5"/>
  <c r="N100" i="5"/>
  <c r="G101" i="5"/>
  <c r="AD99" i="5" l="1"/>
  <c r="U100" i="5"/>
  <c r="AI100" i="5" s="1"/>
  <c r="AL100" i="5" s="1"/>
  <c r="L86" i="7"/>
  <c r="V101" i="5"/>
  <c r="AJ101" i="5" s="1"/>
  <c r="AM101" i="5" s="1"/>
  <c r="X88" i="7"/>
  <c r="T86" i="7"/>
  <c r="U85" i="7" s="1"/>
  <c r="P87" i="7"/>
  <c r="W87" i="7"/>
  <c r="O87" i="7" s="1"/>
  <c r="AF97" i="5"/>
  <c r="AE98" i="5"/>
  <c r="AF98" i="5" s="1"/>
  <c r="K98" i="5"/>
  <c r="M100" i="5"/>
  <c r="G102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T87" i="7"/>
  <c r="U86" i="7" s="1"/>
  <c r="AE99" i="5"/>
  <c r="K99" i="5"/>
  <c r="M101" i="5"/>
  <c r="N102" i="5"/>
  <c r="G103" i="5"/>
  <c r="AD101" i="5" l="1"/>
  <c r="U102" i="5"/>
  <c r="AI102" i="5" s="1"/>
  <c r="AL102" i="5" s="1"/>
  <c r="L88" i="7"/>
  <c r="V103" i="5"/>
  <c r="U103" i="5" s="1"/>
  <c r="AI103" i="5" s="1"/>
  <c r="AL103" i="5" s="1"/>
  <c r="X90" i="7"/>
  <c r="T88" i="7"/>
  <c r="U87" i="7" s="1"/>
  <c r="P89" i="7"/>
  <c r="W89" i="7"/>
  <c r="O89" i="7" s="1"/>
  <c r="AF99" i="5"/>
  <c r="AE100" i="5"/>
  <c r="AF100" i="5" s="1"/>
  <c r="K100" i="5"/>
  <c r="M102" i="5"/>
  <c r="G104" i="5"/>
  <c r="N103" i="5"/>
  <c r="AD102" i="5" l="1"/>
  <c r="AE102" i="5" s="1"/>
  <c r="L89" i="7"/>
  <c r="AJ103" i="5"/>
  <c r="AM103" i="5" s="1"/>
  <c r="P90" i="7"/>
  <c r="W90" i="7"/>
  <c r="O90" i="7" s="1"/>
  <c r="V104" i="5"/>
  <c r="AJ104" i="5" s="1"/>
  <c r="AM104" i="5" s="1"/>
  <c r="X91" i="7"/>
  <c r="T89" i="7"/>
  <c r="U88" i="7" s="1"/>
  <c r="AD103" i="5"/>
  <c r="AE101" i="5"/>
  <c r="AF101" i="5" s="1"/>
  <c r="K101" i="5"/>
  <c r="M103" i="5"/>
  <c r="N104" i="5"/>
  <c r="G105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T90" i="7"/>
  <c r="U89" i="7" s="1"/>
  <c r="K102" i="5"/>
  <c r="M104" i="5"/>
  <c r="AE103" i="5"/>
  <c r="AF102" i="5"/>
  <c r="N105" i="5"/>
  <c r="G106" i="5"/>
  <c r="U105" i="5" l="1"/>
  <c r="AI105" i="5" s="1"/>
  <c r="AL105" i="5" s="1"/>
  <c r="AD104" i="5"/>
  <c r="AE104" i="5" s="1"/>
  <c r="L91" i="7"/>
  <c r="V106" i="5"/>
  <c r="AJ106" i="5" s="1"/>
  <c r="AM106" i="5" s="1"/>
  <c r="X93" i="7"/>
  <c r="T91" i="7"/>
  <c r="U90" i="7" s="1"/>
  <c r="P92" i="7"/>
  <c r="W92" i="7"/>
  <c r="O92" i="7" s="1"/>
  <c r="K103" i="5"/>
  <c r="M105" i="5"/>
  <c r="AF103" i="5"/>
  <c r="G107" i="5"/>
  <c r="N106" i="5"/>
  <c r="AD105" i="5" l="1"/>
  <c r="AE105" i="5" s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T92" i="7"/>
  <c r="U91" i="7" s="1"/>
  <c r="K104" i="5"/>
  <c r="M106" i="5"/>
  <c r="AF104" i="5"/>
  <c r="N107" i="5"/>
  <c r="G108" i="5"/>
  <c r="U107" i="5" l="1"/>
  <c r="AI107" i="5" s="1"/>
  <c r="AL107" i="5" s="1"/>
  <c r="AD106" i="5"/>
  <c r="L93" i="7"/>
  <c r="V108" i="5"/>
  <c r="AJ108" i="5" s="1"/>
  <c r="AM108" i="5" s="1"/>
  <c r="X95" i="7"/>
  <c r="T93" i="7"/>
  <c r="U92" i="7" s="1"/>
  <c r="P94" i="7"/>
  <c r="W94" i="7"/>
  <c r="O94" i="7" s="1"/>
  <c r="K105" i="5"/>
  <c r="M107" i="5"/>
  <c r="AF105" i="5"/>
  <c r="N108" i="5"/>
  <c r="G109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T94" i="7"/>
  <c r="U93" i="7" s="1"/>
  <c r="K106" i="5"/>
  <c r="AE106" i="5"/>
  <c r="M108" i="5"/>
  <c r="N109" i="5"/>
  <c r="G110" i="5"/>
  <c r="AL109" i="5" l="1"/>
  <c r="AD108" i="5"/>
  <c r="AJ109" i="5"/>
  <c r="AM109" i="5" s="1"/>
  <c r="L95" i="7"/>
  <c r="V110" i="5"/>
  <c r="AJ110" i="5" s="1"/>
  <c r="AM110" i="5" s="1"/>
  <c r="X97" i="7"/>
  <c r="T95" i="7"/>
  <c r="U94" i="7" s="1"/>
  <c r="P96" i="7"/>
  <c r="W96" i="7"/>
  <c r="O96" i="7" s="1"/>
  <c r="AD109" i="5"/>
  <c r="AE107" i="5"/>
  <c r="AF106" i="5"/>
  <c r="K107" i="5"/>
  <c r="M109" i="5"/>
  <c r="G111" i="5"/>
  <c r="N110" i="5"/>
  <c r="U110" i="5" l="1"/>
  <c r="AI110" i="5" s="1"/>
  <c r="AL110" i="5" s="1"/>
  <c r="L96" i="7"/>
  <c r="V111" i="5"/>
  <c r="U111" i="5" s="1"/>
  <c r="AI111" i="5" s="1"/>
  <c r="X98" i="7"/>
  <c r="P97" i="7"/>
  <c r="W97" i="7"/>
  <c r="O97" i="7" s="1"/>
  <c r="T96" i="7"/>
  <c r="U95" i="7" s="1"/>
  <c r="AF107" i="5"/>
  <c r="AE108" i="5"/>
  <c r="K108" i="5"/>
  <c r="M110" i="5"/>
  <c r="G112" i="5"/>
  <c r="N111" i="5"/>
  <c r="AL111" i="5" l="1"/>
  <c r="AJ111" i="5"/>
  <c r="AM111" i="5" s="1"/>
  <c r="AD110" i="5"/>
  <c r="L97" i="7"/>
  <c r="V112" i="5"/>
  <c r="AJ112" i="5" s="1"/>
  <c r="AM112" i="5" s="1"/>
  <c r="X99" i="7"/>
  <c r="T97" i="7"/>
  <c r="U96" i="7" s="1"/>
  <c r="P98" i="7"/>
  <c r="W98" i="7"/>
  <c r="O98" i="7" s="1"/>
  <c r="AD111" i="5"/>
  <c r="AF108" i="5"/>
  <c r="AE109" i="5"/>
  <c r="K109" i="5"/>
  <c r="M111" i="5"/>
  <c r="AE110" i="5"/>
  <c r="N112" i="5"/>
  <c r="G113" i="5"/>
  <c r="U112" i="5" l="1"/>
  <c r="AI112" i="5" s="1"/>
  <c r="AL112" i="5" s="1"/>
  <c r="L98" i="7"/>
  <c r="V113" i="5"/>
  <c r="U113" i="5" s="1"/>
  <c r="AI113" i="5" s="1"/>
  <c r="X100" i="7"/>
  <c r="T98" i="7"/>
  <c r="U97" i="7" s="1"/>
  <c r="P99" i="7"/>
  <c r="W99" i="7"/>
  <c r="O99" i="7" s="1"/>
  <c r="AF109" i="5"/>
  <c r="K110" i="5"/>
  <c r="M112" i="5"/>
  <c r="AE111" i="5"/>
  <c r="AF110" i="5"/>
  <c r="N113" i="5"/>
  <c r="G114" i="5"/>
  <c r="AD112" i="5" l="1"/>
  <c r="AE112" i="5" s="1"/>
  <c r="AL113" i="5"/>
  <c r="AJ113" i="5"/>
  <c r="AM113" i="5" s="1"/>
  <c r="T99" i="7"/>
  <c r="U98" i="7" s="1"/>
  <c r="L99" i="7"/>
  <c r="V114" i="5"/>
  <c r="AJ114" i="5" s="1"/>
  <c r="X101" i="7"/>
  <c r="P100" i="7"/>
  <c r="W100" i="7"/>
  <c r="O100" i="7" s="1"/>
  <c r="AD113" i="5"/>
  <c r="K111" i="5"/>
  <c r="M113" i="5"/>
  <c r="AF111" i="5"/>
  <c r="N114" i="5"/>
  <c r="G115" i="5"/>
  <c r="U114" i="5" l="1"/>
  <c r="AI114" i="5" s="1"/>
  <c r="AL114" i="5" s="1"/>
  <c r="AM114" i="5"/>
  <c r="L100" i="7"/>
  <c r="T100" i="7"/>
  <c r="U99" i="7" s="1"/>
  <c r="P101" i="7"/>
  <c r="W101" i="7"/>
  <c r="O101" i="7" s="1"/>
  <c r="V115" i="5"/>
  <c r="AJ115" i="5" s="1"/>
  <c r="AM115" i="5" s="1"/>
  <c r="X102" i="7"/>
  <c r="K112" i="5"/>
  <c r="M114" i="5"/>
  <c r="AE113" i="5"/>
  <c r="AF112" i="5"/>
  <c r="G116" i="5"/>
  <c r="N115" i="5"/>
  <c r="AD114" i="5" l="1"/>
  <c r="AE114" i="5" s="1"/>
  <c r="L101" i="7"/>
  <c r="U115" i="5"/>
  <c r="AI115" i="5" s="1"/>
  <c r="AL115" i="5" s="1"/>
  <c r="T101" i="7"/>
  <c r="U100" i="7" s="1"/>
  <c r="P102" i="7"/>
  <c r="W102" i="7"/>
  <c r="O102" i="7" s="1"/>
  <c r="V116" i="5"/>
  <c r="AJ116" i="5" s="1"/>
  <c r="AM116" i="5" s="1"/>
  <c r="X103" i="7"/>
  <c r="K113" i="5"/>
  <c r="M115" i="5"/>
  <c r="AF113" i="5"/>
  <c r="N116" i="5"/>
  <c r="G117" i="5"/>
  <c r="AD115" i="5" l="1"/>
  <c r="L102" i="7"/>
  <c r="U116" i="5"/>
  <c r="AI116" i="5" s="1"/>
  <c r="AL116" i="5" s="1"/>
  <c r="V117" i="5"/>
  <c r="U117" i="5" s="1"/>
  <c r="AI117" i="5" s="1"/>
  <c r="X104" i="7"/>
  <c r="P103" i="7"/>
  <c r="W103" i="7"/>
  <c r="O103" i="7" s="1"/>
  <c r="T102" i="7"/>
  <c r="U101" i="7" s="1"/>
  <c r="K114" i="5"/>
  <c r="M116" i="5"/>
  <c r="AE115" i="5"/>
  <c r="AF114" i="5"/>
  <c r="N117" i="5"/>
  <c r="G14" i="5"/>
  <c r="AD116" i="5" l="1"/>
  <c r="AJ117" i="5"/>
  <c r="AM117" i="5" s="1"/>
  <c r="L103" i="7"/>
  <c r="T103" i="7"/>
  <c r="U102" i="7" s="1"/>
  <c r="P104" i="7"/>
  <c r="W104" i="7"/>
  <c r="O104" i="7" s="1"/>
  <c r="U118" i="5"/>
  <c r="AD117" i="5"/>
  <c r="V118" i="5"/>
  <c r="AL117" i="5"/>
  <c r="M117" i="5"/>
  <c r="P15" i="5"/>
  <c r="Q15" i="5" s="1"/>
  <c r="K115" i="5"/>
  <c r="N119" i="5"/>
  <c r="N121" i="5" s="1"/>
  <c r="AE116" i="5"/>
  <c r="AF115" i="5"/>
  <c r="L104" i="7" l="1"/>
  <c r="L4" i="7" s="1"/>
  <c r="T104" i="7"/>
  <c r="M119" i="5"/>
  <c r="M121" i="5" s="1"/>
  <c r="N118" i="5"/>
  <c r="M118" i="5"/>
  <c r="AI118" i="5" s="1"/>
  <c r="AL118" i="5" s="1"/>
  <c r="K116" i="5"/>
  <c r="AJ118" i="5"/>
  <c r="AM118" i="5" s="1"/>
  <c r="AF116" i="5"/>
  <c r="U104" i="7" l="1"/>
  <c r="U103" i="7"/>
  <c r="AE117" i="5"/>
  <c r="AE16" i="5" s="1"/>
  <c r="AF1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1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</commentList>
</comments>
</file>

<file path=xl/sharedStrings.xml><?xml version="1.0" encoding="utf-8"?>
<sst xmlns="http://schemas.openxmlformats.org/spreadsheetml/2006/main" count="683" uniqueCount="283">
  <si>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</si>
  <si>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</si>
  <si>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</si>
  <si>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</si>
  <si>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</si>
  <si>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</si>
  <si>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</si>
  <si>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</si>
  <si>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</si>
  <si>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</si>
  <si>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</si>
  <si>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有限养成、轻PVP，高级属性对投独立计算</t>
    <phoneticPr fontId="1" type="noConversion"/>
  </si>
  <si>
    <t>不确定是否无限和重PVP与否，高级属性可以混合用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</si>
  <si>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</si>
  <si>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</si>
  <si>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</si>
  <si>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</si>
  <si>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</si>
  <si>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</si>
  <si>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</si>
  <si>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</si>
  <si>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</si>
  <si>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</si>
  <si>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</si>
  <si>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</si>
  <si>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</si>
  <si>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</si>
  <si>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</si>
  <si>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</si>
  <si>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</si>
  <si>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</si>
  <si>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</si>
  <si>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</si>
  <si>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</si>
  <si>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</si>
  <si>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</si>
  <si>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</si>
  <si>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</si>
  <si>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</si>
  <si>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</si>
  <si>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</si>
  <si>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</si>
  <si>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</si>
  <si>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</si>
  <si>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</si>
  <si>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</si>
  <si>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</si>
  <si>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</si>
  <si>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</si>
  <si>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</si>
  <si>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</si>
  <si>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</si>
  <si>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</si>
  <si>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</si>
  <si>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</si>
  <si>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</si>
  <si>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</si>
  <si>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</si>
  <si>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</si>
  <si>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</si>
  <si>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</si>
  <si>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基础属性和基础属性修正的关系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</si>
  <si>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</si>
  <si>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</si>
  <si>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</si>
  <si>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</si>
  <si>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</si>
  <si>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</si>
  <si>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</si>
  <si>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</si>
  <si>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</si>
  <si>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</si>
  <si>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</si>
  <si>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</si>
  <si>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</si>
  <si>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</si>
  <si>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</si>
  <si>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</si>
  <si>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</si>
  <si>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</si>
  <si>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</si>
  <si>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</si>
  <si>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</si>
  <si>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</si>
  <si>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每列战法牧组合；牧的治疗平分到每列</t>
    <phoneticPr fontId="1" type="noConversion"/>
  </si>
  <si>
    <t>列位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</si>
  <si>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</si>
  <si>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</si>
  <si>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</si>
  <si>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</si>
  <si>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</si>
  <si>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</si>
  <si>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</si>
  <si>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</si>
  <si>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</si>
  <si>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</si>
  <si>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</si>
  <si>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</si>
  <si>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</si>
  <si>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</si>
  <si>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</si>
  <si>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</si>
  <si>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</si>
  <si>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</si>
  <si>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</si>
  <si>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</si>
  <si>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</si>
  <si>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</si>
  <si>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</si>
  <si>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</si>
  <si>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</si>
  <si>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</si>
  <si>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</si>
  <si>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</si>
  <si>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</si>
  <si>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</si>
  <si>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</si>
  <si>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</si>
  <si>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</si>
  <si>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</si>
  <si>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</si>
  <si>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</si>
  <si>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</si>
  <si>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</si>
  <si>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</si>
  <si>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</si>
  <si>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</si>
  <si>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</si>
  <si>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</si>
  <si>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</si>
  <si>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</si>
  <si>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</si>
  <si>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</si>
  <si>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</si>
  <si>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</si>
  <si>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</si>
  <si>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</si>
  <si>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</si>
  <si>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</si>
  <si>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</si>
  <si>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优先攻击对位（列）敌人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</si>
  <si>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</si>
  <si>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</si>
  <si>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</si>
  <si>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</si>
  <si>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</si>
  <si>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</si>
  <si>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</si>
  <si>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</si>
  <si>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</si>
  <si>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防御向战斗力=生命上限*（1+防御力价值）*生命上限价值+回复生命上限*30*生命上限价值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</si>
  <si>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</si>
  <si>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</si>
  <si>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</si>
  <si>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</si>
  <si>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</si>
  <si>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</si>
  <si>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</si>
  <si>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</si>
  <si>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</si>
  <si>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</si>
  <si>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</si>
  <si>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</si>
  <si>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</si>
  <si>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</si>
  <si>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</si>
  <si>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</si>
  <si>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</si>
  <si>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优势属性比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</si>
  <si>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</si>
  <si>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</si>
  <si>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</si>
  <si>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</si>
  <si>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</si>
  <si>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</si>
  <si>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</si>
  <si>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</si>
  <si>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</si>
  <si>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</si>
  <si>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</si>
  <si>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</si>
  <si>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</si>
  <si>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</si>
  <si>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</si>
  <si>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</si>
  <si>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</si>
  <si>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</si>
  <si>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</si>
  <si>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</si>
  <si>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</si>
  <si>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</si>
  <si>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</si>
  <si>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</si>
  <si>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</si>
  <si>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</si>
  <si>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</si>
  <si>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</si>
  <si>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</si>
  <si>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</si>
  <si>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</si>
  <si>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</si>
  <si>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</si>
  <si>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</si>
  <si>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</si>
  <si>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</si>
  <si>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</si>
  <si>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</si>
  <si>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</si>
  <si>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</si>
  <si>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</si>
  <si>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</si>
  <si>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</si>
  <si>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</si>
  <si>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</si>
  <si>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</si>
  <si>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</si>
  <si>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</si>
  <si>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</si>
  <si>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</si>
  <si>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</si>
  <si>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</si>
  <si>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公共技能不做数值平衡，只做自己内部的相克平衡，对整体战局的影响控制在一定比例内</t>
    <phoneticPr fontId="1" type="noConversion"/>
  </si>
  <si>
    <t>最少配置</t>
  </si>
  <si>
    <t>最多配置</t>
  </si>
  <si>
    <t>标准模型</t>
  </si>
  <si>
    <t>站位</t>
  </si>
  <si>
    <t>职业</t>
  </si>
  <si>
    <t>1~1</t>
    <phoneticPr fontId="1" type="noConversion"/>
  </si>
  <si>
    <t>1~2</t>
    <phoneticPr fontId="1" type="noConversion"/>
  </si>
  <si>
    <t>2~1</t>
    <phoneticPr fontId="1" type="noConversion"/>
  </si>
  <si>
    <t>2~2</t>
    <phoneticPr fontId="1" type="noConversion"/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</si>
  <si>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</si>
  <si>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</si>
  <si>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</si>
  <si>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</si>
  <si>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</si>
  <si>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</si>
  <si>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</si>
  <si>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</si>
  <si>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</si>
  <si>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</si>
  <si>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</si>
  <si>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</si>
  <si>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</si>
  <si>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</si>
  <si>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</si>
  <si>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</si>
  <si>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</si>
  <si>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</si>
  <si>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</si>
  <si>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</si>
  <si>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</si>
  <si>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</si>
  <si>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</si>
  <si>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>如何确定攻击目标</t>
    <phoneticPr fontId="1" type="noConversion"/>
  </si>
  <si>
    <t>攻方先手</t>
    <phoneticPr fontId="1" type="noConversion"/>
  </si>
  <si>
    <t>列数＞行数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</si>
  <si>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</si>
  <si>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</si>
  <si>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</si>
  <si>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</si>
  <si>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</si>
  <si>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目前不记录技能攻击时间，默认瞬发瞬结束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</si>
  <si>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</si>
  <si>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</si>
  <si>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</si>
  <si>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</si>
  <si>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</si>
  <si>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</si>
  <si>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</si>
  <si>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</si>
  <si>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</si>
  <si>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</si>
  <si>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</si>
  <si>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</si>
  <si>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</si>
  <si>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</si>
  <si>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</si>
  <si>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</si>
  <si>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</si>
  <si>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战斗次数</t>
    <phoneticPr fontId="1" type="noConversion"/>
  </si>
  <si>
    <t xml:space="preserve">饼干1[A组]攻击饼干1[B组]造成伤害：732_x000D_
饼干2[A组]攻击饼干2[B组]造成伤害：546_x000D_
饼干5[A组]攻击饼干1[B组]造成伤害：1265_x000D_
饼干7[A组]攻击饼干2[B组]造成伤害：932_x000D_
饼干11[A组]攻击饼干2[B组]造成伤害：393_x000D_
饼干1[B组]攻击饼干1[A组]造成伤害：488_x000D_
饼干2[B组]攻击饼干2[A组]造成伤害：546_x000D_
饼干5[B组]攻击饼干1[A组]造成伤害：1265_x000D_
饼干7[B组]攻击饼干2[A组]造成伤害：932_x000D_
饼干11[B组]攻击饼干2[A组]造成伤害：393_x000D_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饼干5[A组]攻击饼干1[B组]造成伤害：1898_x000D_
饼干5[B组]攻击饼干1[A组]造成伤害：1898_x000D_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饼干5[A组]攻击饼干1[B组]造成伤害：1265_x000D_
饼干5[B组]攻击饼干1[A组]造成伤害：1265_x000D_
饼干1[A组]攻击饼干1[B组]造成伤害：488_x000D_
饼干2[A组]攻击饼干2[B组]造成伤害：546_x000D_
饼干7[A组]攻击饼干2[B组]造成伤害：932_x000D_
饼干11[A组]攻击饼干2[B组]造成伤害：393_x000D_
饼干1[B组]攻击饼干1[A组]造成伤害：488_x000D_
饼干2[B组]攻击饼干2[A组]造成伤害：546_x000D_
饼干7[B组]攻击饼干2[A组]造成伤害：932_x000D_
饼干11[B组]攻击饼干2[A组]造成伤害：393_x000D_
饼干5[A组]攻击饼干1[B组]造成伤害：1265_x000D_
饼干5[B组]攻击饼干1[A组]造成伤害：1265_x000D_
饼干1[A组]攻击饼干1[B组]造成伤害：488_x000D_
饼干2[A组]攻击饼干2[B组]造成伤害：546_x000D_
饼干7[A组]攻击饼干2[B组]造成伤害：932_x000D_
饼干11[A组]攻击饼干2[B组]造成伤害：393_x000D_
饼干1[B组]攻击饼干1[A组]造成伤害：488_x000D_
饼干2[B组]攻击饼干2[A组]造成伤害：546_x000D_
饼干7[B组]攻击饼干2[A组]造成伤害：932_x000D_
饼干11[B组]攻击饼干2[A组]造成伤害：393_x000D_
饼干1[A组]攻击饼干1[B组]造成伤害：547_x000D_
饼干1[A组]治疗饼干1[A组]回复血量：6273_x000D_
饼干1[A组]治疗饼干2[A组]回复血量：4515_x000D_
饼干1[A组]治疗饼干5[A组]回复血量：5672_x000D_
饼干1[A组]治疗饼干7[A组]回复血量：6203_x000D_
饼干1[A组]治疗饼干11[A组]回复血量：8235_x000D_
饼干1[A组]治疗自己，回复血量：10748_x000D_
饼干2[A组]攻击饼干2[B组]造成伤害：612_x000D_
饼干2[A组]治疗饼干1[A组]回复血量：11926_x000D_
饼干2[A组]治疗饼干2[A组]回复血量：4515_x000D_
饼干2[A组]治疗饼干5[A组]回复血量：5672_x000D_
饼干2[A组]治疗饼干7[A组]回复血量：6203_x000D_
饼干2[A组]治疗饼干11[A组]回复血量：8235_x000D_
饼干2[A组]治疗自己，回复血量：7735_x000D_
饼干5[A组]攻击饼干1[B组]造成伤害：1265_x000D_
饼干7[A组]攻击饼干2[B组]造成伤害：932_x000D_
饼干11[A组]攻击饼干2[B组]造成伤害：440_x000D_
饼干11[A组]治疗饼干1[A组]回复血量：16064_x000D_
饼干11[A组]治疗饼干2[A组]回复血量：14563_x000D_
饼干11[A组]治疗饼干5[A组]回复血量：5672_x000D_
饼干11[A组]治疗饼干7[A组]回复血量：6203_x000D_
饼干11[A组]治疗饼干11[A组]回复血量：8235_x000D_
饼干11[A组]治疗自己，回复血量：0_x000D_
饼干1[B组]攻击饼干1[A组]造成伤害：547_x000D_
饼干1[B组]治疗饼干1[B组]回复血量：4217_x000D_
饼干1[B组]治疗饼干2[B组]回复血量：2530_x000D_
饼干1[B组]治疗饼干5[B组]回复血量：5672_x000D_
饼干1[B组]治疗饼干7[B组]回复血量：6203_x000D_
饼干1[B组]治疗饼干11[B组]回复血量：8235_x000D_
饼干1[B组]治疗自己，回复血量：7225_x000D_
饼干2[B组]攻击饼干2[A组]造成伤害：612_x000D_
饼干2[B组]治疗饼干1[B组]回复血量：8018_x000D_
饼干2[B组]治疗饼干2[B组]回复血量：2530_x000D_
饼干2[B组]治疗饼干5[B组]回复血量：5672_x000D_
饼干2[B组]治疗饼干7[B组]回复血量：6203_x000D_
饼干2[B组]治疗饼干11[B组]回复血量：8235_x000D_
饼干2[B组]治疗自己，回复血量：4335_x000D_
饼干5[B组]攻击饼干1[A组]造成伤害：1265_x000D_
饼干7[B组]攻击饼干2[A组]造成伤害：932_x000D_
饼干11[B组]攻击饼干2[A组]造成伤害：440_x000D_
饼干11[B组]治疗饼干1[B组]回复血量：15016_x000D_
饼干11[B组]治疗饼干2[B组]回复血量：9010_x000D_
饼干11[B组]治疗饼干5[B组]回复血量：5672_x000D_
饼干11[B组]治疗饼干7[B组]回复血量：6203_x000D_
饼干11[B组]治疗饼干11[B组]回复血量：8235_x000D_
饼干11[B组]治疗自己，回复血量：0_x000D_
饼干1[B组]攻击饼干1[A组]造成伤害：488_x000D_
饼干2[B组]攻击饼干2[A组]造成伤害：546_x000D_
饼干11[B组]攻击饼干2[A组]造成伤害：393_x000D_
饼干1[A组]攻击饼干1[B组]造成伤害：488_x000D_
饼干2[A组]攻击饼干2[B组]造成伤害：546_x000D_
饼干11[A组]攻击饼干2[B组]造成伤害：393_x000D_
饼干1[A组]攻击饼干1[B组]造成伤害：488_x000D_
饼干2[A组]攻击饼干2[B组]造成伤害：546_x000D_
饼干7[A组]攻击饼干2[B组]造成伤害：932_x000D_
饼干11[A组]攻击饼干2[B组]造成伤害：393_x000D_
饼干1[B组]攻击饼干1[A组]造成伤害：488_x000D_
饼干2[B组]攻击饼干2[A组]造成伤害：546_x000D_
饼干7[B组]攻击饼干2[A组]造成伤害：932_x000D_
饼干11[B组]攻击饼干2[A组]造成伤害：393_x000D_
饼干5[A组]攻击饼干1[B组]造成伤害：1265_x000D_
饼干5[B组]攻击饼干1[A组]造成伤害：1265_x000D_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饼干5[A组]攻击饼干1[B组]造成伤害：1898_x000D_
饼干5[B组]攻击饼干1[A组]造成伤害：1898_x000D_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饼干5[A组]攻击饼干1[B组]造成伤害：1898_x000D_
饼干5[B组]攻击饼干1[A组]造成伤害：1898_x000D_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饼干5[B组]攻击饼干2[A组]造成伤害：1398_x000D_
饼干7[B组]攻击饼干1[A组]造成伤害：586_x000D_
饼干1[A组]攻击饼干1[B组]造成伤害：732_x000D_
饼干2[A组]攻击饼干1[B组]造成伤害：813_x000D_
饼干5[A组]攻击饼干1[B组]造成伤害：7641_x000D_
饼干5[A组]治疗饼干1[A组]回复血量：4264_x000D_
饼干5[A组]治疗饼干2[A组]回复血量：3936_x000D_
饼干5[A组]治疗饼干5[A组]回复血量：5672_x000D_
饼干5[A组]治疗饼干7[A组]回复血量：6203_x000D_
饼干5[A组]治疗饼干11[A组]回复血量：8235_x000D_
饼干5[A组]治疗自己，回复血量：0_x000D_
饼干7[A组]攻击饼干2[B组]造成伤害：7194_x000D_
饼干7[A组]治疗饼干1[A组]回复血量：4264_x000D_
饼干7[A组]治疗饼干2[A组]回复血量：3936_x000D_
饼干7[A组]治疗饼干5[A组]回复血量：5672_x000D_
饼干7[A组]治疗饼干7[A组]回复血量：6203_x000D_
饼干7[A组]治疗饼干11[A组]回复血量：8235_x000D_
饼干7[A组]治疗自己，回复血量：0_x000D_
饼干11[A组]攻击饼干1[B组]造成伤害：603_x000D_
饼干1[B组]攻击饼干1[A组]造成伤害：7641_x000D_
饼干1[B组]治疗饼干1[B组]回复血量：5069_x000D_
饼干1[B组]治疗饼干2[B组]回复血量：8235_x000D_
饼干1[B组]治疗自己，回复血量：0_x000D_
饼干2[B组]攻击饼干1[A组]造成伤害：590_x000D_
饼干1[B组]攻击饼干1[A组]造成伤害：1911_x000D_
饼干2[A组]攻击饼干1[B组]造成伤害：1954_x000D_
饼干5[A组]攻击饼干1[B组]造成伤害：1429_x000D_
饼干1[A组]攻击饼干1[B组]造成伤害：837_x000D_
饼干5[A组]攻击饼干1[B组]造成伤害：1429_x000D_
饼干7[A组]攻击饼干1[B组]造成伤害：600_x000D_
饼干1[B组]攻击饼干1[A组]造成伤害：590_x000D_
饼干2[A组]攻击饼干1[B组]造成伤害：1945_x000D_
饼干1[A组]攻击饼干1[B组]造成伤害：834_x000D_
饼干5[A组]攻击饼干1[B组]造成伤害：1423_x000D_
饼干7[A组]攻击饼干1[B组]造成伤害：600_x000D_
饼干1[B组]攻击饼干1[A组]造成伤害：590_x000D_
饼干2[A组]攻击饼干1[B组]造成伤害：1945_x000D_
饼干1[A组]攻击饼干1[B组]造成伤害：834_x000D_
饼干5[A组]攻击饼干1[B组]造成伤害：1423_x000D_
</t>
  </si>
  <si>
    <t>回合结束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</si>
</sst>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9" fontId="5" fillId="0" borderId="1" xfId="1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9" fontId="2" fillId="3" borderId="1" xfId="1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5" fillId="4" borderId="1" xfId="0" applyFont="1" applyFill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left" vertical="top" wrapText="1" shrinkToFit="1"/>
    </xf>
    <xf numFmtId="0" fontId="2" fillId="0" borderId="12" xfId="0" applyFont="1" applyBorder="1" applyAlignment="1">
      <alignment horizontal="left" vertical="top" shrinkToFit="1"/>
    </xf>
    <xf numFmtId="0" fontId="2" fillId="0" borderId="3" xfId="0" applyFont="1" applyBorder="1" applyAlignment="1">
      <alignment horizontal="left" vertical="top" shrinkToFit="1"/>
    </xf>
    <xf numFmtId="0" fontId="2" fillId="0" borderId="13" xfId="0" applyFont="1" applyBorder="1" applyAlignment="1">
      <alignment horizontal="left" vertical="top" shrinkToFit="1"/>
    </xf>
    <xf numFmtId="0" fontId="2" fillId="0" borderId="0" xfId="0" applyFont="1" applyBorder="1" applyAlignment="1">
      <alignment horizontal="left" vertical="top" shrinkToFit="1"/>
    </xf>
    <xf numFmtId="0" fontId="2" fillId="0" borderId="14" xfId="0" applyFont="1" applyBorder="1" applyAlignment="1">
      <alignment horizontal="left" vertical="top" shrinkToFit="1"/>
    </xf>
    <xf numFmtId="0" fontId="2" fillId="0" borderId="4" xfId="0" applyFont="1" applyBorder="1" applyAlignment="1">
      <alignment horizontal="left" vertical="top" shrinkToFit="1"/>
    </xf>
    <xf numFmtId="0" fontId="2" fillId="0" borderId="15" xfId="0" applyFont="1" applyBorder="1" applyAlignment="1">
      <alignment horizontal="left" vertical="top" shrinkToFit="1"/>
    </xf>
    <xf numFmtId="0" fontId="2" fillId="0" borderId="5" xfId="0" applyFont="1" applyBorder="1" applyAlignment="1">
      <alignment horizontal="left" vertical="top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5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7" sqref="B17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47" t="s">
        <v>231</v>
      </c>
      <c r="B1" s="48"/>
    </row>
    <row r="2" spans="1:25" ht="14.25" customHeight="1" x14ac:dyDescent="0.2">
      <c r="A2" s="49"/>
      <c r="B2" s="50"/>
    </row>
    <row r="3" spans="1:25" ht="14.25" customHeight="1" x14ac:dyDescent="0.2">
      <c r="D3" s="2" t="s">
        <v>83</v>
      </c>
    </row>
    <row r="4" spans="1:25" s="3" customFormat="1" ht="14.25" customHeight="1" x14ac:dyDescent="0.2">
      <c r="C4" s="3" t="s">
        <v>25</v>
      </c>
      <c r="K4" s="3" t="s">
        <v>26</v>
      </c>
      <c r="W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20</v>
      </c>
      <c r="L5" s="1" t="s">
        <v>18</v>
      </c>
      <c r="M5" s="1" t="s">
        <v>15</v>
      </c>
      <c r="N5" s="1" t="s">
        <v>16</v>
      </c>
      <c r="O5" s="1" t="s">
        <v>5</v>
      </c>
      <c r="Q5" s="1" t="s">
        <v>20</v>
      </c>
      <c r="R5" s="1" t="s">
        <v>18</v>
      </c>
      <c r="S5" s="1" t="s">
        <v>15</v>
      </c>
      <c r="T5" s="1" t="s">
        <v>16</v>
      </c>
      <c r="U5" s="1" t="s">
        <v>5</v>
      </c>
      <c r="W5" s="3" t="s">
        <v>18</v>
      </c>
      <c r="X5" s="3" t="s">
        <v>142</v>
      </c>
      <c r="Y5" s="3" t="s">
        <v>143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127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30</v>
      </c>
      <c r="K8" s="1">
        <v>3</v>
      </c>
      <c r="L8" s="1" t="s">
        <v>128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128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K10" s="1">
        <v>5</v>
      </c>
      <c r="L10" s="1" t="s">
        <v>129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21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20</v>
      </c>
      <c r="D16" s="3" t="s">
        <v>18</v>
      </c>
      <c r="E16" s="3" t="s">
        <v>15</v>
      </c>
      <c r="F16" s="3" t="s">
        <v>16</v>
      </c>
      <c r="G16" s="3" t="s">
        <v>5</v>
      </c>
      <c r="L16" s="2" t="s">
        <v>29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24</v>
      </c>
      <c r="R17" s="1" t="s">
        <v>24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141</v>
      </c>
      <c r="H22" s="1" t="s">
        <v>17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22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23</v>
      </c>
      <c r="H30" s="9">
        <f>G17*H23*2</f>
        <v>83.333333333333343</v>
      </c>
      <c r="I30" s="24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28</v>
      </c>
      <c r="S38" s="6">
        <f>SUM(S18:S36)</f>
        <v>46.25</v>
      </c>
    </row>
    <row r="40" spans="9:19" ht="14.25" customHeight="1" x14ac:dyDescent="0.2">
      <c r="I40" s="6"/>
    </row>
    <row r="48" spans="9:19" ht="14.25" customHeight="1" x14ac:dyDescent="0.2">
      <c r="R48" s="1">
        <v>683</v>
      </c>
      <c r="S48" s="1">
        <v>1034</v>
      </c>
    </row>
    <row r="49" spans="17:20" ht="14.25" customHeight="1" x14ac:dyDescent="0.2">
      <c r="Q49" s="6">
        <f>R49/R48</f>
        <v>1.3850658857979503</v>
      </c>
      <c r="R49" s="1">
        <v>946</v>
      </c>
      <c r="S49" s="1">
        <v>1500</v>
      </c>
      <c r="T49" s="6">
        <f>S49/$S$48</f>
        <v>1.4506769825918762</v>
      </c>
    </row>
    <row r="50" spans="17:20" ht="14.25" customHeight="1" x14ac:dyDescent="0.2">
      <c r="S50" s="1">
        <v>1800</v>
      </c>
      <c r="T50" s="6">
        <f t="shared" ref="T50:T51" si="3">S50/$S$48</f>
        <v>1.7408123791102514</v>
      </c>
    </row>
    <row r="51" spans="17:20" ht="14.25" customHeight="1" x14ac:dyDescent="0.2">
      <c r="S51" s="1">
        <v>2300</v>
      </c>
      <c r="T51" s="6">
        <f t="shared" si="3"/>
        <v>2.2243713733075436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Y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X9" sqref="X9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5" ht="14.25" customHeight="1" x14ac:dyDescent="0.2">
      <c r="A1" s="47" t="s">
        <v>19</v>
      </c>
      <c r="B1" s="48"/>
    </row>
    <row r="2" spans="1:25" ht="14.25" customHeight="1" x14ac:dyDescent="0.2">
      <c r="A2" s="49"/>
      <c r="B2" s="50"/>
    </row>
    <row r="3" spans="1:25" x14ac:dyDescent="0.2">
      <c r="D3" s="2" t="s">
        <v>84</v>
      </c>
    </row>
    <row r="4" spans="1:25" s="3" customFormat="1" ht="14.25" customHeight="1" x14ac:dyDescent="0.2">
      <c r="C4" s="3" t="s">
        <v>25</v>
      </c>
      <c r="J4" s="3" t="s">
        <v>26</v>
      </c>
      <c r="K4" s="2" t="s">
        <v>140</v>
      </c>
      <c r="V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J5" s="1" t="s">
        <v>85</v>
      </c>
      <c r="K5" s="1" t="s">
        <v>18</v>
      </c>
      <c r="L5" s="1" t="s">
        <v>15</v>
      </c>
      <c r="M5" s="1" t="s">
        <v>16</v>
      </c>
      <c r="N5" s="1" t="s">
        <v>5</v>
      </c>
      <c r="P5" s="1" t="s">
        <v>85</v>
      </c>
      <c r="Q5" s="1" t="s">
        <v>18</v>
      </c>
      <c r="R5" s="1" t="s">
        <v>15</v>
      </c>
      <c r="S5" s="1" t="s">
        <v>16</v>
      </c>
      <c r="T5" s="1" t="s">
        <v>5</v>
      </c>
      <c r="V5" s="3" t="s">
        <v>18</v>
      </c>
      <c r="W5" s="3" t="s">
        <v>222</v>
      </c>
      <c r="X5" s="3" t="s">
        <v>223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J6" s="1">
        <v>1</v>
      </c>
      <c r="K6" s="1" t="s">
        <v>3</v>
      </c>
      <c r="L6" s="1">
        <f t="shared" ref="L6:N10" si="0">VLOOKUP($K6,$D$10:$G$13,MATCH(L$5,$D$10:$G$10,0),0)</f>
        <v>5</v>
      </c>
      <c r="M6" s="1">
        <f t="shared" si="0"/>
        <v>100</v>
      </c>
      <c r="N6" s="1">
        <f t="shared" si="0"/>
        <v>2</v>
      </c>
      <c r="P6" s="1">
        <v>1</v>
      </c>
      <c r="Q6" s="1" t="s">
        <v>3</v>
      </c>
      <c r="R6" s="1">
        <f t="shared" ref="R6:T10" si="1">VLOOKUP($Q6,$D$10:$G$13,MATCH(R$5,$D$10:$G$10,0),0)</f>
        <v>5</v>
      </c>
      <c r="S6" s="1">
        <f t="shared" si="1"/>
        <v>100</v>
      </c>
      <c r="T6" s="1">
        <f t="shared" si="1"/>
        <v>2</v>
      </c>
      <c r="V6" s="11" t="s">
        <v>3</v>
      </c>
      <c r="W6" s="1">
        <v>2</v>
      </c>
      <c r="X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3</v>
      </c>
      <c r="R7" s="1">
        <f t="shared" si="1"/>
        <v>5</v>
      </c>
      <c r="S7" s="1">
        <f t="shared" si="1"/>
        <v>100</v>
      </c>
      <c r="T7" s="1">
        <f t="shared" si="1"/>
        <v>2</v>
      </c>
      <c r="V7" s="1" t="s">
        <v>4</v>
      </c>
      <c r="W7" s="1">
        <v>1</v>
      </c>
      <c r="X7" s="12">
        <v>3</v>
      </c>
    </row>
    <row r="8" spans="1:25" ht="14.25" customHeight="1" x14ac:dyDescent="0.2">
      <c r="D8" s="2" t="s">
        <v>30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3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5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3</v>
      </c>
      <c r="R9" s="1">
        <f t="shared" si="1"/>
        <v>5</v>
      </c>
      <c r="S9" s="1">
        <f t="shared" si="1"/>
        <v>100</v>
      </c>
      <c r="T9" s="1">
        <f t="shared" si="1"/>
        <v>2</v>
      </c>
      <c r="V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3</v>
      </c>
      <c r="R10" s="1">
        <f t="shared" si="1"/>
        <v>5</v>
      </c>
      <c r="S10" s="1">
        <f t="shared" si="1"/>
        <v>100</v>
      </c>
      <c r="T10" s="1">
        <f t="shared" si="1"/>
        <v>2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2</v>
      </c>
      <c r="I11" s="6"/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12.5</v>
      </c>
      <c r="S12" s="1">
        <f>SUM(S6:S$7)</f>
        <v>200</v>
      </c>
      <c r="T12" s="1">
        <f>SUM(T6:T$7)+T$10/2</f>
        <v>5</v>
      </c>
    </row>
    <row r="13" spans="1:25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7.5</v>
      </c>
      <c r="S13" s="1">
        <f>SUM(S7:S$7)</f>
        <v>100</v>
      </c>
      <c r="T13" s="1">
        <f>SUM(T7:T$7)+T$10/2</f>
        <v>3</v>
      </c>
    </row>
    <row r="14" spans="1:25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12.5</v>
      </c>
      <c r="S14" s="1">
        <f>SUM(S8:S$9)</f>
        <v>200</v>
      </c>
      <c r="T14" s="1">
        <f>SUM(T8:T$9)+T$10/2</f>
        <v>5</v>
      </c>
    </row>
    <row r="15" spans="1:25" s="3" customFormat="1" ht="14.25" customHeight="1" x14ac:dyDescent="0.2">
      <c r="C15" s="3" t="s">
        <v>224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7.5</v>
      </c>
      <c r="S15" s="1">
        <f>SUM(S9:S$9)</f>
        <v>100</v>
      </c>
      <c r="T15" s="1">
        <f>SUM(T9:T$9)+T$10/2</f>
        <v>3</v>
      </c>
      <c r="W15" s="3">
        <v>5</v>
      </c>
      <c r="X15" s="3">
        <v>100</v>
      </c>
      <c r="Y15" s="3">
        <v>2</v>
      </c>
    </row>
    <row r="16" spans="1:25" ht="14.25" customHeight="1" x14ac:dyDescent="0.2">
      <c r="C16" s="3" t="s">
        <v>225</v>
      </c>
      <c r="D16" s="3" t="s">
        <v>226</v>
      </c>
      <c r="E16" s="3" t="s">
        <v>153</v>
      </c>
      <c r="F16" s="3" t="s">
        <v>154</v>
      </c>
      <c r="G16" s="3" t="s">
        <v>129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5</v>
      </c>
      <c r="S16" s="1">
        <f>S10</f>
        <v>100</v>
      </c>
      <c r="T16" s="1">
        <f>IF(Q10="治疗",0,T10)</f>
        <v>2</v>
      </c>
      <c r="W16" s="1">
        <v>10</v>
      </c>
      <c r="X16" s="1">
        <v>40</v>
      </c>
      <c r="Y16" s="1">
        <v>0</v>
      </c>
    </row>
    <row r="17" spans="3:25" ht="14.25" customHeight="1" x14ac:dyDescent="0.2">
      <c r="C17" s="44" t="s">
        <v>227</v>
      </c>
      <c r="D17" s="1" t="s">
        <v>127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2</v>
      </c>
      <c r="J17" s="3"/>
      <c r="W17" s="1">
        <v>4</v>
      </c>
      <c r="X17" s="1">
        <v>50</v>
      </c>
      <c r="Y17" s="1">
        <v>6</v>
      </c>
    </row>
    <row r="18" spans="3:25" ht="14.25" customHeight="1" x14ac:dyDescent="0.2">
      <c r="C18" s="1" t="s">
        <v>228</v>
      </c>
      <c r="D18" s="1" t="s">
        <v>128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3</v>
      </c>
      <c r="P18" s="3"/>
    </row>
    <row r="19" spans="3:25" ht="14.25" customHeight="1" x14ac:dyDescent="0.2">
      <c r="C19" s="1" t="s">
        <v>229</v>
      </c>
      <c r="D19" s="1" t="s">
        <v>127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29</v>
      </c>
      <c r="R19" s="34">
        <f>MAX(R29,R39)+R52</f>
        <v>22.142857142857146</v>
      </c>
    </row>
    <row r="20" spans="3:25" ht="14.25" customHeight="1" x14ac:dyDescent="0.2">
      <c r="C20" s="1" t="s">
        <v>230</v>
      </c>
      <c r="D20" s="1" t="s">
        <v>128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138</v>
      </c>
      <c r="M20" s="1" t="s">
        <v>24</v>
      </c>
      <c r="Q20" s="1" t="s">
        <v>24</v>
      </c>
    </row>
    <row r="21" spans="3:25" ht="14.25" customHeight="1" x14ac:dyDescent="0.2">
      <c r="C21" s="1">
        <v>0</v>
      </c>
      <c r="D21" s="1" t="s">
        <v>129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13.333333333333334</v>
      </c>
      <c r="O21" s="10">
        <f>N21-P21</f>
        <v>5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25" ht="14.25" customHeight="1" x14ac:dyDescent="0.2">
      <c r="H22" s="9"/>
      <c r="I22" s="9"/>
      <c r="N22" s="15">
        <f>IFERROR(VLOOKUP(M21,K$12:N$13,2,0),0)</f>
        <v>17</v>
      </c>
      <c r="O22" s="6">
        <f>IFERROR(IF(O21&gt;0,O21/N21*INDEX($M$6:$M$7,MATCH(M21,$K$12:$K$13,0)),-O21/P21*INDEX($S$6:$S$7,MATCH(Q21,$K$12:$K$13,0))),O20)</f>
        <v>37.5</v>
      </c>
      <c r="P22" s="15">
        <f>IFERROR(VLOOKUP(Q21,Q$12:T$13,2,0),0)</f>
        <v>12.5</v>
      </c>
    </row>
    <row r="23" spans="3:25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9">
        <f>F17/(E23-G23)</f>
        <v>8.3333333333333339</v>
      </c>
      <c r="I23" s="9"/>
      <c r="M23" s="1">
        <f>IF($O21&gt;0,M21,M21-1)</f>
        <v>2</v>
      </c>
      <c r="N23" s="6">
        <f>IFERROR(IF(O21&gt;0,O22,INDEX($M$6:$M$7,MATCH(M23,$K$12:$K$13,0)))/MAX((VLOOKUP(Q23,$Q$12:$T$13,2,0)-VLOOKUP(M23,$K$12:$N$13,4,0)),1),0)</f>
        <v>15</v>
      </c>
      <c r="O23" s="10">
        <f>N23-P23</f>
        <v>7.8571428571428568</v>
      </c>
      <c r="P23" s="6">
        <f>IFERROR(IF(O21&lt;0,O22,INDEX($S$6:$S$7,MATCH(Q23,$K$12:$K$13,0)))/MAX((VLOOKUP(M23,$K$12:$N$13,2,0)-VLOOKUP(Q23,$Q$12:$T$13,4,0)),1),0)</f>
        <v>7.1428571428571432</v>
      </c>
      <c r="Q23" s="1">
        <f>IF($O21&lt;0,Q21,Q21-1)</f>
        <v>1</v>
      </c>
      <c r="R23" s="6">
        <f>IFERROR(IF(O23&gt;0,P23,N23),"")</f>
        <v>7.1428571428571432</v>
      </c>
    </row>
    <row r="24" spans="3:25" ht="14.25" customHeight="1" x14ac:dyDescent="0.2">
      <c r="D24" s="1">
        <v>1</v>
      </c>
      <c r="E24" s="1">
        <f>E18</f>
        <v>10</v>
      </c>
      <c r="F24" s="1">
        <f>F18</f>
        <v>40</v>
      </c>
      <c r="G24" s="1">
        <f>G21/2</f>
        <v>3</v>
      </c>
      <c r="H24" s="9">
        <f>F18/(E24+G24)</f>
        <v>3.0769230769230771</v>
      </c>
      <c r="I24" s="9"/>
      <c r="N24" s="15">
        <f>IFERROR(VLOOKUP(M23,K$12:N$13,2,0),0)</f>
        <v>17</v>
      </c>
      <c r="O24" s="6">
        <f>IFERROR(IF(O23&gt;0,O23/N23*INDEX($M$6:$M$7,MATCH(M23,$K$12:$K$13,0)),-O23/P23*INDEX($S$6:$S$7,MATCH(Q23,$K$12:$K$13,0))),O22)</f>
        <v>52.380952380952387</v>
      </c>
      <c r="P24" s="15">
        <f>IFERROR(VLOOKUP(Q23,Q$12:T$13,2,0),0)</f>
        <v>7.5</v>
      </c>
    </row>
    <row r="25" spans="3:25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2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25" ht="14.25" customHeight="1" x14ac:dyDescent="0.2">
      <c r="N26" s="15">
        <f>IFERROR(VLOOKUP(M25,K$12:N$13,2,0),0)</f>
        <v>17</v>
      </c>
      <c r="O26" s="6">
        <f>IFERROR(IF(O25&gt;0,O25/N25*INDEX($M$6:$M$7,MATCH(M25,$K$12:$K$13,0)),-O25/P25*INDEX($S$6:$S$7,MATCH(Q25,$K$12:$K$13,0))),O24)</f>
        <v>52.380952380952387</v>
      </c>
      <c r="P26" s="15">
        <f>IFERROR(VLOOKUP(Q25,Q$12:T$13,2,0),0)</f>
        <v>0</v>
      </c>
    </row>
    <row r="27" spans="3:25" ht="14.25" customHeight="1" x14ac:dyDescent="0.2">
      <c r="C27" s="3"/>
      <c r="E27" s="1" t="s">
        <v>15</v>
      </c>
      <c r="F27" s="3"/>
      <c r="G27" s="3"/>
      <c r="M27" s="1">
        <f>IF($O25&gt;0,M25,M25-1)</f>
        <v>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25" ht="14.25" customHeight="1" x14ac:dyDescent="0.2">
      <c r="D28" s="1" t="s">
        <v>127</v>
      </c>
      <c r="E28" s="8">
        <f>H23*E17</f>
        <v>41.666666666666671</v>
      </c>
      <c r="F28" s="5">
        <f>E28/SUM($E$28:$E$32)</f>
        <v>0.10232997481108314</v>
      </c>
      <c r="M28" s="15">
        <f>IFERROR(VLOOKUP(M27,K$12:N$13,4,0),0)</f>
        <v>3</v>
      </c>
      <c r="N28" s="15">
        <f>IFERROR(VLOOKUP(M27,K$12:N$13,2,0),0)</f>
        <v>12</v>
      </c>
      <c r="O28" s="6">
        <f>IFERROR(IF(O27&gt;0,O27/N27*INDEX($M$6:$M$7,MATCH(M27,$K$12:$K$13,0)),-O27/P27*INDEX($S$6:$S$7,MATCH(Q27,$K$12:$K$13,0))),O26)</f>
        <v>52.380952380952387</v>
      </c>
      <c r="P28" s="15">
        <f>IFERROR(VLOOKUP(Q27,Q$12:T$13,2,0),0)</f>
        <v>0</v>
      </c>
      <c r="Q28" s="15">
        <f>IFERROR(VLOOKUP(Q27,Q$12:T$13,4,0),0)</f>
        <v>0</v>
      </c>
    </row>
    <row r="29" spans="3:25" ht="14.25" customHeight="1" x14ac:dyDescent="0.2">
      <c r="D29" s="1" t="s">
        <v>128</v>
      </c>
      <c r="E29" s="8">
        <f>H24*E18+E18*H23</f>
        <v>114.10256410256412</v>
      </c>
      <c r="F29" s="5">
        <f t="shared" ref="F29:F32" si="3">E29/SUM($E$28:$E$32)</f>
        <v>0.28022670025188923</v>
      </c>
      <c r="M29" s="1">
        <f>MAX(M27-Q27,0)</f>
        <v>2</v>
      </c>
      <c r="N29" s="6"/>
      <c r="O29" s="10"/>
      <c r="P29" s="6"/>
      <c r="Q29" s="1">
        <f>MAX(Q27-M27,0)</f>
        <v>0</v>
      </c>
      <c r="R29" s="6">
        <f>SUM(R21:R27)</f>
        <v>15.476190476190478</v>
      </c>
    </row>
    <row r="30" spans="3:25" ht="14.25" customHeight="1" x14ac:dyDescent="0.2">
      <c r="D30" s="1" t="s">
        <v>127</v>
      </c>
      <c r="E30" s="8">
        <f>E28</f>
        <v>41.666666666666671</v>
      </c>
      <c r="F30" s="5">
        <f t="shared" si="3"/>
        <v>0.10232997481108314</v>
      </c>
      <c r="L30" s="1" t="s">
        <v>139</v>
      </c>
      <c r="M30" s="1" t="s">
        <v>24</v>
      </c>
      <c r="N30" s="15">
        <f>IFERROR(VLOOKUP(M29,K$12:N$13,2,0),0)</f>
        <v>17</v>
      </c>
      <c r="P30" s="15">
        <f>IFERROR(VLOOKUP(Q29,Q$12:T$13,2,0),0)</f>
        <v>0</v>
      </c>
      <c r="Q30" s="1" t="s">
        <v>24</v>
      </c>
    </row>
    <row r="31" spans="3:25" ht="14.25" customHeight="1" x14ac:dyDescent="0.2">
      <c r="D31" s="1" t="s">
        <v>128</v>
      </c>
      <c r="E31" s="8">
        <f>E29</f>
        <v>114.10256410256412</v>
      </c>
      <c r="F31" s="5">
        <f t="shared" si="3"/>
        <v>0.28022670025188923</v>
      </c>
      <c r="M31" s="1">
        <v>2</v>
      </c>
      <c r="N31" s="6">
        <f>INDEX($M$8:$M$9,MATCH(M31,$K$14:$K$15,0))/MAX((VLOOKUP(Q31,$Q$14:$T$15,2,0)-VLOOKUP(M31,$K$14:$N$15,4,0)),1)</f>
        <v>13.333333333333334</v>
      </c>
      <c r="O31" s="10">
        <f>N31-P31</f>
        <v>5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25" ht="14.25" customHeight="1" x14ac:dyDescent="0.2">
      <c r="D32" s="1" t="s">
        <v>129</v>
      </c>
      <c r="E32" s="8">
        <f>E21*SUM(H23:H25)</f>
        <v>95.641025641025635</v>
      </c>
      <c r="F32" s="5">
        <f t="shared" si="3"/>
        <v>0.23488664987405539</v>
      </c>
      <c r="N32" s="15">
        <f>IFERROR(VLOOKUP(M31,K$14:N$15,2,0),0)</f>
        <v>17</v>
      </c>
      <c r="O32" s="6">
        <f>IFERROR(IF(O31&gt;0,O31/N31*INDEX($M$8:$M$9,MATCH(M31,$K$14:$K$15,0)),-O31/P31*INDEX($S$8:$S$9,MATCH(Q31,$K$14:$K$15,0))),O30)</f>
        <v>37.5</v>
      </c>
      <c r="P32" s="15">
        <f>IFERROR(VLOOKUP(Q31,Q$14:T$15,2,0),0)</f>
        <v>12.5</v>
      </c>
    </row>
    <row r="33" spans="3:18" ht="14.25" customHeight="1" x14ac:dyDescent="0.2">
      <c r="C33" s="7"/>
      <c r="M33" s="1">
        <f>IF($O31&gt;0,M31,M31-1)</f>
        <v>2</v>
      </c>
      <c r="N33" s="6">
        <f>IFERROR(IF(O31&gt;0,O32,INDEX($M$8:$M$9,MATCH(M33,$K$14:$K$15,0)))/MAX((VLOOKUP(Q33,$Q$14:$T$15,2,0)-VLOOKUP(M33,$K$14:$N$15,4,0)),1),0)</f>
        <v>15</v>
      </c>
      <c r="O33" s="10">
        <f>N33-P33</f>
        <v>7.8571428571428568</v>
      </c>
      <c r="P33" s="6">
        <f>IFERROR(IF(O31&lt;0,O32,INDEX($S$8:$S$9,MATCH(Q33,$K$14:$K$15,0)))/MAX((VLOOKUP(M33,$K$14:$N$15,2,0)-VLOOKUP(Q33,$Q$14:$T$15,4,0)),1),0)</f>
        <v>7.1428571428571432</v>
      </c>
      <c r="Q33" s="1">
        <f>IF($O31&lt;0,Q31,Q31-1)</f>
        <v>1</v>
      </c>
      <c r="R33" s="6">
        <f>IFERROR(IF(O33&gt;0,P33,N33),"")</f>
        <v>7.1428571428571432</v>
      </c>
    </row>
    <row r="34" spans="3:18" ht="14.25" customHeight="1" x14ac:dyDescent="0.2">
      <c r="D34" s="1" t="s">
        <v>127</v>
      </c>
      <c r="E34" s="36">
        <f>F30+F28</f>
        <v>0.20465994962216627</v>
      </c>
      <c r="H34" s="6"/>
      <c r="N34" s="15">
        <f>IFERROR(VLOOKUP(M33,K$14:N$15,2,0),0)</f>
        <v>17</v>
      </c>
      <c r="O34" s="6">
        <f>IFERROR(IF(O33&gt;0,O33/N33*INDEX($M$8:$M$9,MATCH(M33,$K$14:$K$15,0)),-O33/P33*INDEX($S$8:$S$9,MATCH(Q33,$K$14:$K$15,0))),O32)</f>
        <v>52.380952380952387</v>
      </c>
      <c r="P34" s="15">
        <f>IFERROR(VLOOKUP(Q33,Q$14:T$15,2,0),0)</f>
        <v>7.5</v>
      </c>
    </row>
    <row r="35" spans="3:18" ht="14.25" customHeight="1" x14ac:dyDescent="0.2">
      <c r="D35" s="1" t="s">
        <v>128</v>
      </c>
      <c r="E35" s="36">
        <f>F31+F29</f>
        <v>0.56045340050377845</v>
      </c>
      <c r="H35" s="6"/>
      <c r="M35" s="1">
        <f>IF($O33&gt;0,M33,M33-1)</f>
        <v>2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129</v>
      </c>
      <c r="E36" s="36">
        <f>F32</f>
        <v>0.23488664987405539</v>
      </c>
      <c r="H36" s="6"/>
      <c r="N36" s="15">
        <f>IFERROR(VLOOKUP(M35,K$14:N$15,2,0),0)</f>
        <v>17</v>
      </c>
      <c r="O36" s="6">
        <f>IFERROR(IF(O35&gt;0,O35/N35*INDEX($M$8:$M$9,MATCH(M35,$K$14:$K$15,0)),-O35/P35*INDEX($S$8:$S$9,MATCH(Q35,$K$14:$K$15,0))),O34)</f>
        <v>52.380952380952387</v>
      </c>
      <c r="P36" s="15">
        <f>IFERROR(VLOOKUP(Q35,Q$14:T$15,2,0),0)</f>
        <v>0</v>
      </c>
    </row>
    <row r="37" spans="3:18" ht="14.25" customHeight="1" x14ac:dyDescent="0.2">
      <c r="H37" s="6"/>
      <c r="M37" s="1">
        <f>IF($O35&gt;0,M35,M35-1)</f>
        <v>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H38" s="6"/>
      <c r="M38" s="15">
        <f>IFERROR(VLOOKUP(M37,K$14:N$15,4,0),0)</f>
        <v>3</v>
      </c>
      <c r="N38" s="15">
        <f>IFERROR(VLOOKUP(M37,K$14:N$15,2,0),0)</f>
        <v>12</v>
      </c>
      <c r="O38" s="6">
        <f>IFERROR(IF(O37&gt;0,O37/N37*INDEX($M$8:$M$9,MATCH(M37,$K$14:$K$15,0)),-O37/P37*INDEX($S$8:$S$9,MATCH(Q37,$K$14:$K$15,0))),O36)</f>
        <v>52.380952380952387</v>
      </c>
      <c r="P38" s="15">
        <f>IFERROR(VLOOKUP(Q37,Q$14:T$15,2,0),0)</f>
        <v>0</v>
      </c>
      <c r="Q38" s="15">
        <f>IFERROR(VLOOKUP(Q37,Q$14:T$15,4,0),0)</f>
        <v>0</v>
      </c>
    </row>
    <row r="39" spans="3:18" ht="14.25" customHeight="1" x14ac:dyDescent="0.2">
      <c r="H39" s="6"/>
      <c r="M39" s="1">
        <f>MAX(M37-Q37,0)</f>
        <v>2</v>
      </c>
      <c r="N39" s="6"/>
      <c r="O39" s="10"/>
      <c r="P39" s="6"/>
      <c r="Q39" s="1">
        <f>MAX(Q37-M37,0)</f>
        <v>0</v>
      </c>
      <c r="R39" s="6">
        <f>SUM(R31:R37)</f>
        <v>15.476190476190478</v>
      </c>
    </row>
    <row r="40" spans="3:18" ht="14.25" customHeight="1" x14ac:dyDescent="0.2">
      <c r="H40" s="6"/>
      <c r="N40" s="15">
        <f>IFERROR(VLOOKUP(M39,K$14:N$15,2,0),0)</f>
        <v>17</v>
      </c>
      <c r="P40" s="15">
        <f>IFERROR(VLOOKUP(Q39,Q$14:T$15,2,0),0)</f>
        <v>0</v>
      </c>
    </row>
    <row r="41" spans="3:18" ht="14.25" customHeight="1" x14ac:dyDescent="0.2">
      <c r="H41" s="6"/>
      <c r="L41" s="1" t="s">
        <v>15</v>
      </c>
      <c r="M41" s="1" t="s">
        <v>16</v>
      </c>
      <c r="N41" s="1" t="s">
        <v>5</v>
      </c>
      <c r="O41" s="10"/>
      <c r="P41" s="1" t="s">
        <v>15</v>
      </c>
      <c r="Q41" s="1" t="s">
        <v>16</v>
      </c>
      <c r="R41" s="1" t="s">
        <v>5</v>
      </c>
    </row>
    <row r="42" spans="3:18" x14ac:dyDescent="0.2">
      <c r="K42" s="1">
        <f>IF(L42&lt;&gt;0,COUNTIF($L$42:$L$44,"&gt;0"),"")</f>
        <v>3</v>
      </c>
      <c r="L42" s="1">
        <f>N30</f>
        <v>17</v>
      </c>
      <c r="M42" s="6">
        <f>IF(L42=0,0,O28)</f>
        <v>52.380952380952387</v>
      </c>
      <c r="N42" s="1">
        <f>M28</f>
        <v>3</v>
      </c>
      <c r="O42" s="1" t="str">
        <f>IF(P42&lt;&gt;0,COUNTIF($P$42:$P$44,"&gt;0"),"")</f>
        <v/>
      </c>
      <c r="P42" s="1">
        <f>P30</f>
        <v>0</v>
      </c>
      <c r="Q42" s="16">
        <f>IF(P42=0,0,O28)</f>
        <v>0</v>
      </c>
      <c r="R42" s="1">
        <f>Q28</f>
        <v>0</v>
      </c>
    </row>
    <row r="43" spans="3:18" x14ac:dyDescent="0.2">
      <c r="K43" s="1">
        <f>IF(K42&lt;&gt;"",IF(L43&lt;&gt;0,COUNTIF($L$42:$L$44,"&gt;0")-1,""),IF(L43&lt;&gt;0,COUNTIF($L$42:$L$44,"&gt;0"),""))</f>
        <v>2</v>
      </c>
      <c r="L43" s="1">
        <f>N40</f>
        <v>17</v>
      </c>
      <c r="M43" s="6">
        <f>IF(L43=0,0,O38)</f>
        <v>52.380952380952387</v>
      </c>
      <c r="N43" s="1">
        <f>M38</f>
        <v>3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5</v>
      </c>
      <c r="Q44" s="1">
        <f t="shared" ref="Q44:R44" si="4">S16</f>
        <v>100</v>
      </c>
      <c r="R44" s="1">
        <f t="shared" si="4"/>
        <v>2</v>
      </c>
    </row>
    <row r="46" spans="3:18" x14ac:dyDescent="0.2">
      <c r="L46" s="1" t="s">
        <v>86</v>
      </c>
      <c r="M46" s="6" t="s">
        <v>24</v>
      </c>
      <c r="Q46" s="6" t="s">
        <v>24</v>
      </c>
    </row>
    <row r="47" spans="3:18" x14ac:dyDescent="0.2">
      <c r="M47" s="9">
        <f>COUNTIF(L42:L44,"&gt;0")</f>
        <v>3</v>
      </c>
      <c r="N47" s="6">
        <f>IFERROR(VLOOKUP(M47,$K$41:$R$44,3,0)/MAX((VLOOKUP(Q47,$O$41:$R$44,2,0)-VLOOKUP(M47,$K$41:$R$44,4,0)),1),0)</f>
        <v>26.190476190476193</v>
      </c>
      <c r="O47" s="10">
        <f>N47-P47</f>
        <v>19.523809523809526</v>
      </c>
      <c r="P47" s="6">
        <f>IFERROR(VLOOKUP(Q47,$O$41:$R$44,3,0)/MAX((VLOOKUP(M47,$K$41:$R$44,2,0)-VLOOKUP(Q47,$O$41:$R$44,4,0)),1),0)</f>
        <v>6.666666666666667</v>
      </c>
      <c r="Q47" s="9">
        <f>COUNTIF(P42:P44,"&gt;0")</f>
        <v>1</v>
      </c>
      <c r="R47" s="6">
        <f>IFERROR(IF(O47&gt;0,P47,N47),"")</f>
        <v>6.666666666666667</v>
      </c>
    </row>
    <row r="48" spans="3:18" ht="14.25" customHeight="1" x14ac:dyDescent="0.2">
      <c r="N48" s="15">
        <f>IFERROR(VLOOKUP(M47,K$14:N$15,2,0),0)</f>
        <v>0</v>
      </c>
      <c r="O48" s="6">
        <f>IFERROR(IF(O47&gt;0,O47/N47*VLOOKUP(M47,$K$41:$R$44,3,0),-O47/P47*VLOOKUP(Q47,$O$41:$R$44,3,0)),O46)</f>
        <v>39.047619047619051</v>
      </c>
      <c r="P48" s="15">
        <f>IFERROR(VLOOKUP(Q47,Q$14:T$15,2,0),0)</f>
        <v>7.5</v>
      </c>
    </row>
    <row r="49" spans="13:18" ht="14.25" customHeight="1" x14ac:dyDescent="0.2">
      <c r="M49" s="1">
        <f>IF($O47&gt;0,M47,M47-1)</f>
        <v>3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13:18" ht="14.25" customHeight="1" x14ac:dyDescent="0.2">
      <c r="M50" s="6"/>
      <c r="N50" s="15">
        <f>IFERROR(VLOOKUP(M49,K$14:N$15,2,0),0)</f>
        <v>0</v>
      </c>
      <c r="O50" s="6">
        <f>IFERROR(IF(O49&gt;0,O49/N49*VLOOKUP(M49,$K$41:$R$44,3,0),-O49/P49*VLOOKUP(Q49,$O$41:$R$44,3,0)),O48)</f>
        <v>39.047619047619051</v>
      </c>
      <c r="P50" s="15">
        <f>IFERROR(VLOOKUP(Q49,Q$14:T$15,2,0),0)</f>
        <v>0</v>
      </c>
      <c r="Q50" s="6"/>
      <c r="R50" s="6"/>
    </row>
    <row r="51" spans="13:18" ht="14.25" customHeight="1" x14ac:dyDescent="0.2">
      <c r="M51" s="1">
        <f>IF($O49&gt;0,M49,M49-1)</f>
        <v>2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13:18" x14ac:dyDescent="0.2">
      <c r="M52" s="6"/>
      <c r="N52" s="15">
        <f>IFERROR(VLOOKUP(M51,K$14:N$15,2,0),0)</f>
        <v>17</v>
      </c>
      <c r="O52" s="6">
        <f>IFERROR(IF(O51&gt;0,O51/N51*VLOOKUP(M51,$K$41:$R$44,3,0),-O51/P51*VLOOKUP(Q51,$O$41:$R$44,3,0)),O50)</f>
        <v>39.047619047619051</v>
      </c>
      <c r="P52" s="15">
        <f>IFERROR(VLOOKUP(Q51,Q$14:T$15,2,0),0)</f>
        <v>0</v>
      </c>
      <c r="Q52" s="6"/>
      <c r="R52" s="6">
        <f>SUM(R47:R51)</f>
        <v>6.666666666666667</v>
      </c>
    </row>
    <row r="53" spans="13:18" x14ac:dyDescent="0.2">
      <c r="N53" s="6"/>
      <c r="O53" s="6"/>
      <c r="P53" s="6"/>
      <c r="Q53" s="6"/>
    </row>
    <row r="54" spans="13:18" x14ac:dyDescent="0.2">
      <c r="Q54" s="6"/>
      <c r="R54" s="6"/>
    </row>
    <row r="55" spans="13:18" x14ac:dyDescent="0.2">
      <c r="Q55" s="6"/>
    </row>
    <row r="57" spans="13:18" x14ac:dyDescent="0.2">
      <c r="Q57" s="6"/>
      <c r="R57" s="6"/>
    </row>
    <row r="58" spans="13:18" x14ac:dyDescent="0.2">
      <c r="Q58" s="10"/>
    </row>
    <row r="59" spans="13:18" x14ac:dyDescent="0.2">
      <c r="R59" s="6"/>
    </row>
    <row r="60" spans="13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7"/>
  <sheetViews>
    <sheetView workbookViewId="0">
      <pane xSplit="3" ySplit="8" topLeftCell="D12" activePane="bottomRight" state="frozen"/>
      <selection pane="topRight" activeCell="D1" sqref="D1"/>
      <selection pane="bottomLeft" activeCell="A10" sqref="A10"/>
      <selection pane="bottomRight" activeCell="E32" sqref="E32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47" t="s">
        <v>31</v>
      </c>
      <c r="B1" s="48"/>
    </row>
    <row r="2" spans="1:17" ht="14.25" customHeight="1" x14ac:dyDescent="0.2">
      <c r="A2" s="49"/>
      <c r="B2" s="50"/>
    </row>
    <row r="3" spans="1:17" ht="14.25" customHeight="1" x14ac:dyDescent="0.2">
      <c r="C3" s="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2" t="s">
        <v>10</v>
      </c>
    </row>
    <row r="6" spans="1:17" ht="14.25" customHeight="1" x14ac:dyDescent="0.2">
      <c r="C6" s="2" t="s">
        <v>11</v>
      </c>
    </row>
    <row r="7" spans="1:17" ht="14.25" customHeight="1" x14ac:dyDescent="0.2">
      <c r="C7" s="2" t="s">
        <v>12</v>
      </c>
    </row>
    <row r="9" spans="1:17" ht="14.25" customHeight="1" x14ac:dyDescent="0.2">
      <c r="D9" s="3" t="s">
        <v>32</v>
      </c>
      <c r="E9" s="3" t="s">
        <v>43</v>
      </c>
      <c r="F9" s="3" t="s">
        <v>47</v>
      </c>
      <c r="G9" s="14" t="s">
        <v>54</v>
      </c>
      <c r="H9" s="63" t="s">
        <v>49</v>
      </c>
      <c r="I9" s="64"/>
      <c r="J9" s="64"/>
      <c r="K9" s="64"/>
      <c r="L9" s="64"/>
      <c r="M9" s="64"/>
      <c r="N9" s="64"/>
      <c r="O9" s="64"/>
      <c r="P9" s="64"/>
      <c r="Q9" s="65"/>
    </row>
    <row r="10" spans="1:17" ht="14.25" customHeight="1" x14ac:dyDescent="0.2">
      <c r="C10" s="51" t="s">
        <v>33</v>
      </c>
      <c r="D10" s="1" t="s">
        <v>34</v>
      </c>
      <c r="E10" s="1" t="s">
        <v>44</v>
      </c>
      <c r="F10" s="1" t="s">
        <v>48</v>
      </c>
      <c r="G10" s="13" t="s">
        <v>64</v>
      </c>
      <c r="H10" s="66" t="s">
        <v>50</v>
      </c>
      <c r="I10" s="67"/>
      <c r="J10" s="67"/>
      <c r="K10" s="67"/>
      <c r="L10" s="67"/>
      <c r="M10" s="67"/>
      <c r="N10" s="67"/>
      <c r="O10" s="67"/>
      <c r="P10" s="67"/>
      <c r="Q10" s="68"/>
    </row>
    <row r="11" spans="1:17" ht="14.25" customHeight="1" x14ac:dyDescent="0.2">
      <c r="C11" s="52"/>
      <c r="D11" s="1" t="s">
        <v>35</v>
      </c>
      <c r="E11" s="1" t="s">
        <v>44</v>
      </c>
      <c r="F11" s="1" t="s">
        <v>48</v>
      </c>
      <c r="G11" s="13" t="s">
        <v>64</v>
      </c>
      <c r="H11" s="66" t="s">
        <v>51</v>
      </c>
      <c r="I11" s="67"/>
      <c r="J11" s="67"/>
      <c r="K11" s="67"/>
      <c r="L11" s="67"/>
      <c r="M11" s="67"/>
      <c r="N11" s="67"/>
      <c r="O11" s="67"/>
      <c r="P11" s="67"/>
      <c r="Q11" s="68"/>
    </row>
    <row r="12" spans="1:17" ht="14.25" customHeight="1" x14ac:dyDescent="0.2">
      <c r="C12" s="52"/>
      <c r="D12" s="1" t="s">
        <v>36</v>
      </c>
      <c r="E12" s="1" t="s">
        <v>44</v>
      </c>
      <c r="F12" s="1" t="s">
        <v>48</v>
      </c>
      <c r="G12" s="13" t="s">
        <v>64</v>
      </c>
      <c r="H12" s="66" t="s">
        <v>52</v>
      </c>
      <c r="I12" s="67"/>
      <c r="J12" s="67"/>
      <c r="K12" s="67"/>
      <c r="L12" s="67"/>
      <c r="M12" s="67"/>
      <c r="N12" s="67"/>
      <c r="O12" s="67"/>
      <c r="P12" s="67"/>
      <c r="Q12" s="68"/>
    </row>
    <row r="13" spans="1:17" ht="14.25" customHeight="1" x14ac:dyDescent="0.2">
      <c r="C13" s="52"/>
      <c r="D13" s="1" t="s">
        <v>37</v>
      </c>
      <c r="E13" s="1" t="s">
        <v>44</v>
      </c>
      <c r="F13" s="1" t="s">
        <v>48</v>
      </c>
      <c r="G13" s="13" t="s">
        <v>55</v>
      </c>
      <c r="H13" s="66" t="s">
        <v>53</v>
      </c>
      <c r="I13" s="67"/>
      <c r="J13" s="67"/>
      <c r="K13" s="67"/>
      <c r="L13" s="67"/>
      <c r="M13" s="67"/>
      <c r="N13" s="67"/>
      <c r="O13" s="67"/>
      <c r="P13" s="67"/>
      <c r="Q13" s="68"/>
    </row>
    <row r="14" spans="1:17" ht="14.25" customHeight="1" x14ac:dyDescent="0.2">
      <c r="C14" s="52"/>
      <c r="D14" s="1" t="s">
        <v>57</v>
      </c>
      <c r="E14" s="1" t="s">
        <v>44</v>
      </c>
      <c r="F14" s="1" t="s">
        <v>48</v>
      </c>
      <c r="G14" s="13" t="s">
        <v>56</v>
      </c>
      <c r="H14" s="66" t="s">
        <v>58</v>
      </c>
      <c r="I14" s="67"/>
      <c r="J14" s="67"/>
      <c r="K14" s="67"/>
      <c r="L14" s="67"/>
      <c r="M14" s="67"/>
      <c r="N14" s="67"/>
      <c r="O14" s="67"/>
      <c r="P14" s="67"/>
      <c r="Q14" s="68"/>
    </row>
    <row r="15" spans="1:17" ht="14.25" customHeight="1" x14ac:dyDescent="0.2">
      <c r="C15" s="53"/>
      <c r="D15" s="1" t="s">
        <v>13</v>
      </c>
      <c r="E15" s="1" t="s">
        <v>44</v>
      </c>
      <c r="F15" s="1" t="s">
        <v>48</v>
      </c>
      <c r="G15" s="13" t="s">
        <v>59</v>
      </c>
      <c r="H15" s="66" t="s">
        <v>60</v>
      </c>
      <c r="I15" s="67"/>
      <c r="J15" s="67"/>
      <c r="K15" s="67"/>
      <c r="L15" s="67"/>
      <c r="M15" s="67"/>
      <c r="N15" s="67"/>
      <c r="O15" s="67"/>
      <c r="P15" s="67"/>
      <c r="Q15" s="68"/>
    </row>
    <row r="16" spans="1:17" ht="14.25" customHeight="1" x14ac:dyDescent="0.2">
      <c r="C16" s="51" t="s">
        <v>38</v>
      </c>
      <c r="D16" s="1" t="s">
        <v>39</v>
      </c>
      <c r="E16" s="1" t="s">
        <v>45</v>
      </c>
      <c r="F16" s="1" t="s">
        <v>48</v>
      </c>
      <c r="G16" s="13" t="s">
        <v>65</v>
      </c>
      <c r="H16" s="54" t="s">
        <v>63</v>
      </c>
      <c r="I16" s="55"/>
      <c r="J16" s="55"/>
      <c r="K16" s="55"/>
      <c r="L16" s="55"/>
      <c r="M16" s="55"/>
      <c r="N16" s="55"/>
      <c r="O16" s="55"/>
      <c r="P16" s="55"/>
      <c r="Q16" s="56"/>
    </row>
    <row r="17" spans="3:17" ht="14.25" customHeight="1" x14ac:dyDescent="0.2">
      <c r="C17" s="52"/>
      <c r="D17" s="1" t="s">
        <v>40</v>
      </c>
      <c r="E17" s="1" t="s">
        <v>45</v>
      </c>
      <c r="F17" s="1" t="s">
        <v>48</v>
      </c>
      <c r="G17" s="13" t="s">
        <v>65</v>
      </c>
      <c r="H17" s="57"/>
      <c r="I17" s="58"/>
      <c r="J17" s="58"/>
      <c r="K17" s="58"/>
      <c r="L17" s="58"/>
      <c r="M17" s="58"/>
      <c r="N17" s="58"/>
      <c r="O17" s="58"/>
      <c r="P17" s="58"/>
      <c r="Q17" s="59"/>
    </row>
    <row r="18" spans="3:17" ht="14.25" customHeight="1" x14ac:dyDescent="0.2">
      <c r="C18" s="53"/>
      <c r="D18" s="1" t="s">
        <v>41</v>
      </c>
      <c r="E18" s="1" t="s">
        <v>45</v>
      </c>
      <c r="F18" s="1" t="s">
        <v>48</v>
      </c>
      <c r="G18" s="13" t="s">
        <v>65</v>
      </c>
      <c r="H18" s="60"/>
      <c r="I18" s="61"/>
      <c r="J18" s="61"/>
      <c r="K18" s="61"/>
      <c r="L18" s="61"/>
      <c r="M18" s="61"/>
      <c r="N18" s="61"/>
      <c r="O18" s="61"/>
      <c r="P18" s="61"/>
      <c r="Q18" s="62"/>
    </row>
    <row r="19" spans="3:17" ht="14.25" customHeight="1" x14ac:dyDescent="0.2">
      <c r="C19" s="51" t="s">
        <v>42</v>
      </c>
      <c r="D19" s="1" t="s">
        <v>73</v>
      </c>
      <c r="E19" s="1" t="s">
        <v>45</v>
      </c>
      <c r="F19" s="1" t="s">
        <v>48</v>
      </c>
      <c r="G19" s="1" t="s">
        <v>66</v>
      </c>
      <c r="H19" s="54" t="s">
        <v>67</v>
      </c>
      <c r="I19" s="55"/>
      <c r="J19" s="55"/>
      <c r="K19" s="55"/>
      <c r="L19" s="55"/>
      <c r="M19" s="55"/>
      <c r="N19" s="55"/>
      <c r="O19" s="55"/>
      <c r="P19" s="55"/>
      <c r="Q19" s="56"/>
    </row>
    <row r="20" spans="3:17" ht="14.25" customHeight="1" x14ac:dyDescent="0.2">
      <c r="C20" s="52"/>
      <c r="D20" s="1" t="s">
        <v>133</v>
      </c>
      <c r="E20" s="1" t="s">
        <v>45</v>
      </c>
      <c r="F20" s="1" t="s">
        <v>48</v>
      </c>
      <c r="G20" s="1" t="s">
        <v>126</v>
      </c>
      <c r="H20" s="57"/>
      <c r="I20" s="58"/>
      <c r="J20" s="58"/>
      <c r="K20" s="58"/>
      <c r="L20" s="58"/>
      <c r="M20" s="58"/>
      <c r="N20" s="58"/>
      <c r="O20" s="58"/>
      <c r="P20" s="58"/>
      <c r="Q20" s="59"/>
    </row>
    <row r="21" spans="3:17" ht="14.25" customHeight="1" x14ac:dyDescent="0.2">
      <c r="C21" s="53"/>
      <c r="D21" s="1" t="s">
        <v>125</v>
      </c>
      <c r="E21" s="1" t="s">
        <v>45</v>
      </c>
      <c r="F21" s="1" t="s">
        <v>48</v>
      </c>
      <c r="G21" s="1" t="s">
        <v>126</v>
      </c>
      <c r="H21" s="60"/>
      <c r="I21" s="61"/>
      <c r="J21" s="61"/>
      <c r="K21" s="61"/>
      <c r="L21" s="61"/>
      <c r="M21" s="61"/>
      <c r="N21" s="61"/>
      <c r="O21" s="61"/>
      <c r="P21" s="61"/>
      <c r="Q21" s="62"/>
    </row>
    <row r="22" spans="3:17" ht="14.25" customHeight="1" x14ac:dyDescent="0.2">
      <c r="C22" s="27"/>
      <c r="H22" s="28"/>
      <c r="I22" s="29"/>
      <c r="J22" s="29"/>
      <c r="K22" s="29"/>
      <c r="L22" s="29"/>
      <c r="M22" s="29"/>
      <c r="N22" s="29"/>
      <c r="O22" s="29"/>
      <c r="P22" s="29"/>
      <c r="Q22" s="30"/>
    </row>
    <row r="23" spans="3:17" ht="14.25" customHeight="1" x14ac:dyDescent="0.2">
      <c r="D23" s="17"/>
    </row>
    <row r="24" spans="3:17" ht="14.25" customHeight="1" x14ac:dyDescent="0.2">
      <c r="D24" s="7" t="s">
        <v>61</v>
      </c>
    </row>
    <row r="25" spans="3:17" ht="14.25" customHeight="1" x14ac:dyDescent="0.2">
      <c r="E25" s="2" t="s">
        <v>62</v>
      </c>
      <c r="Q25" s="17" t="s">
        <v>46</v>
      </c>
    </row>
    <row r="27" spans="3:17" s="3" customFormat="1" ht="14.25" customHeight="1" x14ac:dyDescent="0.2">
      <c r="C27" s="3" t="s">
        <v>31</v>
      </c>
      <c r="D27" s="2" t="s">
        <v>79</v>
      </c>
      <c r="L27" s="3" t="s">
        <v>18</v>
      </c>
      <c r="M27" s="3" t="s">
        <v>134</v>
      </c>
    </row>
    <row r="28" spans="3:17" ht="14.25" customHeight="1" x14ac:dyDescent="0.2">
      <c r="D28" s="3" t="s">
        <v>69</v>
      </c>
      <c r="E28" s="3" t="s">
        <v>77</v>
      </c>
      <c r="L28" s="1" t="s">
        <v>3</v>
      </c>
      <c r="M28" s="7" t="s">
        <v>135</v>
      </c>
    </row>
    <row r="29" spans="3:17" ht="14.25" customHeight="1" x14ac:dyDescent="0.2">
      <c r="D29" s="1" t="s">
        <v>14</v>
      </c>
      <c r="E29" s="7" t="s">
        <v>68</v>
      </c>
      <c r="L29" s="1" t="s">
        <v>4</v>
      </c>
      <c r="M29" s="7" t="s">
        <v>136</v>
      </c>
    </row>
    <row r="30" spans="3:17" ht="14.25" customHeight="1" x14ac:dyDescent="0.2">
      <c r="D30" s="1" t="s">
        <v>72</v>
      </c>
      <c r="E30" s="7" t="s">
        <v>70</v>
      </c>
      <c r="L30" s="1" t="s">
        <v>5</v>
      </c>
      <c r="M30" s="7" t="s">
        <v>137</v>
      </c>
    </row>
    <row r="31" spans="3:17" ht="14.25" customHeight="1" x14ac:dyDescent="0.2">
      <c r="D31" s="1" t="s">
        <v>71</v>
      </c>
      <c r="E31" s="7" t="s">
        <v>233</v>
      </c>
    </row>
    <row r="32" spans="3:17" ht="14.25" customHeight="1" x14ac:dyDescent="0.2">
      <c r="D32" s="1" t="s">
        <v>15</v>
      </c>
      <c r="E32" s="7" t="s">
        <v>74</v>
      </c>
    </row>
    <row r="33" spans="3:6" ht="14.25" customHeight="1" x14ac:dyDescent="0.2">
      <c r="D33" s="3" t="s">
        <v>75</v>
      </c>
      <c r="E33" s="7" t="s">
        <v>76</v>
      </c>
    </row>
    <row r="34" spans="3:6" ht="14.25" customHeight="1" x14ac:dyDescent="0.2">
      <c r="D34" s="3" t="s">
        <v>81</v>
      </c>
      <c r="E34" s="7" t="s">
        <v>78</v>
      </c>
    </row>
    <row r="35" spans="3:6" ht="14.25" customHeight="1" x14ac:dyDescent="0.2">
      <c r="D35" s="3" t="s">
        <v>80</v>
      </c>
      <c r="E35" s="7" t="s">
        <v>82</v>
      </c>
    </row>
    <row r="37" spans="3:6" ht="14.25" customHeight="1" x14ac:dyDescent="0.2">
      <c r="C37" s="1" t="s">
        <v>88</v>
      </c>
      <c r="D37" s="1" t="s">
        <v>130</v>
      </c>
      <c r="E37" s="1">
        <v>25</v>
      </c>
    </row>
    <row r="38" spans="3:6" ht="14.25" customHeight="1" x14ac:dyDescent="0.2">
      <c r="D38" s="1" t="s">
        <v>32</v>
      </c>
      <c r="E38" s="1" t="s">
        <v>90</v>
      </c>
    </row>
    <row r="39" spans="3:6" ht="14.25" customHeight="1" x14ac:dyDescent="0.2">
      <c r="D39" s="1" t="s">
        <v>34</v>
      </c>
      <c r="E39" s="1">
        <f>E41*E37</f>
        <v>25</v>
      </c>
    </row>
    <row r="40" spans="3:6" ht="14.25" customHeight="1" x14ac:dyDescent="0.2">
      <c r="D40" s="1" t="s">
        <v>35</v>
      </c>
      <c r="E40" s="32">
        <f>1/100000</f>
        <v>1.0000000000000001E-5</v>
      </c>
      <c r="F40" s="1" t="s">
        <v>36</v>
      </c>
    </row>
    <row r="41" spans="3:6" ht="14.25" customHeight="1" x14ac:dyDescent="0.2">
      <c r="D41" s="1" t="s">
        <v>36</v>
      </c>
      <c r="E41" s="18">
        <v>1</v>
      </c>
    </row>
    <row r="42" spans="3:6" ht="14.25" customHeight="1" x14ac:dyDescent="0.2">
      <c r="D42" s="1" t="s">
        <v>37</v>
      </c>
      <c r="E42" s="4">
        <f>0.5*0.01</f>
        <v>5.0000000000000001E-3</v>
      </c>
      <c r="F42" s="1" t="s">
        <v>34</v>
      </c>
    </row>
    <row r="43" spans="3:6" ht="14.25" customHeight="1" x14ac:dyDescent="0.2">
      <c r="D43" s="1" t="s">
        <v>89</v>
      </c>
      <c r="E43" s="5">
        <f>0.75*0.01</f>
        <v>7.4999999999999997E-3</v>
      </c>
      <c r="F43" s="1" t="s">
        <v>34</v>
      </c>
    </row>
    <row r="44" spans="3:6" ht="14.25" customHeight="1" x14ac:dyDescent="0.2">
      <c r="D44" s="1" t="s">
        <v>13</v>
      </c>
      <c r="E44" s="5">
        <f>0.67*0.01</f>
        <v>6.7000000000000002E-3</v>
      </c>
      <c r="F44" s="1" t="s">
        <v>34</v>
      </c>
    </row>
    <row r="46" spans="3:6" ht="14.25" customHeight="1" x14ac:dyDescent="0.2">
      <c r="D46" s="7" t="s">
        <v>132</v>
      </c>
    </row>
    <row r="47" spans="3:6" ht="14.25" customHeight="1" x14ac:dyDescent="0.2">
      <c r="D47" s="7" t="s">
        <v>150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R23" sqref="R23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16384" width="9" style="1"/>
  </cols>
  <sheetData>
    <row r="1" spans="1:36" ht="14.25" customHeight="1" x14ac:dyDescent="0.2">
      <c r="A1" s="47" t="s">
        <v>91</v>
      </c>
      <c r="B1" s="48"/>
    </row>
    <row r="2" spans="1:36" ht="14.25" customHeight="1" x14ac:dyDescent="0.2">
      <c r="A2" s="49"/>
      <c r="B2" s="50"/>
    </row>
    <row r="3" spans="1:36" ht="14.25" customHeight="1" x14ac:dyDescent="0.2">
      <c r="C3" s="3" t="s">
        <v>117</v>
      </c>
    </row>
    <row r="4" spans="1:36" s="3" customFormat="1" ht="14.25" customHeight="1" x14ac:dyDescent="0.2">
      <c r="D4" s="3" t="s">
        <v>93</v>
      </c>
      <c r="E4" s="3" t="s">
        <v>15</v>
      </c>
      <c r="F4" s="3" t="s">
        <v>16</v>
      </c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114</v>
      </c>
      <c r="Q8" s="3" t="s">
        <v>156</v>
      </c>
      <c r="AB8" s="3" t="s">
        <v>144</v>
      </c>
    </row>
    <row r="9" spans="1:36" s="3" customFormat="1" ht="14.25" customHeight="1" x14ac:dyDescent="0.2">
      <c r="D9" s="3" t="s">
        <v>92</v>
      </c>
      <c r="E9" s="3" t="s">
        <v>93</v>
      </c>
      <c r="F9" s="3" t="s">
        <v>15</v>
      </c>
      <c r="G9" s="3" t="s">
        <v>16</v>
      </c>
      <c r="I9" s="25" t="s">
        <v>95</v>
      </c>
      <c r="J9" s="3" t="s">
        <v>96</v>
      </c>
      <c r="K9" s="3" t="s">
        <v>97</v>
      </c>
      <c r="L9" s="3" t="s">
        <v>98</v>
      </c>
      <c r="M9" s="25" t="s">
        <v>165</v>
      </c>
      <c r="R9" s="3" t="s">
        <v>157</v>
      </c>
      <c r="S9" s="3" t="s">
        <v>92</v>
      </c>
      <c r="T9" s="3" t="s">
        <v>164</v>
      </c>
      <c r="U9" s="25" t="s">
        <v>95</v>
      </c>
      <c r="V9" s="3" t="s">
        <v>96</v>
      </c>
      <c r="W9" s="3" t="s">
        <v>97</v>
      </c>
      <c r="X9" s="3" t="s">
        <v>98</v>
      </c>
      <c r="Y9" s="3" t="s">
        <v>164</v>
      </c>
      <c r="Z9" s="25" t="s">
        <v>35</v>
      </c>
      <c r="AA9" s="39" t="s">
        <v>176</v>
      </c>
      <c r="AC9" s="3" t="s">
        <v>151</v>
      </c>
      <c r="AD9" s="3" t="s">
        <v>153</v>
      </c>
      <c r="AE9" s="3" t="s">
        <v>154</v>
      </c>
      <c r="AF9" s="3" t="s">
        <v>145</v>
      </c>
      <c r="AG9" s="3" t="s">
        <v>146</v>
      </c>
      <c r="AH9" s="3" t="s">
        <v>147</v>
      </c>
      <c r="AI9" s="3" t="s">
        <v>148</v>
      </c>
      <c r="AJ9" s="3" t="s">
        <v>175</v>
      </c>
    </row>
    <row r="10" spans="1:36" ht="14.25" customHeight="1" x14ac:dyDescent="0.2">
      <c r="C10" s="19" t="s">
        <v>103</v>
      </c>
      <c r="D10" s="1" t="s">
        <v>71</v>
      </c>
      <c r="E10" s="1" t="s">
        <v>3</v>
      </c>
      <c r="F10" s="6">
        <f t="shared" ref="F10:G15" si="0">VLOOKUP($E10,$D$4:$F$7,MATCH(F$9,$D$4:$F$4,0),0)</f>
        <v>5</v>
      </c>
      <c r="G10" s="6">
        <f t="shared" si="0"/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1" t="s">
        <v>263</v>
      </c>
      <c r="S10" s="1" t="s">
        <v>158</v>
      </c>
      <c r="T10" s="1" t="str">
        <f>MIN(VLOOKUP(S10,$D$9:$M$15,6,0),VLOOKUP(S10,$D$9:$M$15,10,0))&amp;"~"&amp;MAX(VLOOKUP(S10,$D$9:$M$15,6,0),VLOOKUP(S10,$D$9:$M$15,10,0))</f>
        <v>0.9~1</v>
      </c>
      <c r="U10" s="6">
        <v>0.9</v>
      </c>
      <c r="V10" s="6">
        <f>X10/VLOOKUP(S10,$D$9:$L$15,4,0)</f>
        <v>1.1111111111111112</v>
      </c>
      <c r="W10" s="6">
        <f>VLOOKUP(S10,$D$9:$L$15,3,0)*U10</f>
        <v>4.5</v>
      </c>
      <c r="X10" s="6">
        <f>VLOOKUP(S10,$D$9:$L$15,5,0)/W10</f>
        <v>111.11111111111111</v>
      </c>
      <c r="Y10" s="6" t="str">
        <f>MIN(VLOOKUP(S10,$D$18:$O$24,4,0),VLOOKUP(S10,$D$18:$O$24,12,0))&amp;"~"&amp;MAX(VLOOKUP(S10,$D$18:$O$24,4,0),VLOOKUP(S10,$D$18:$O$24,12,0))</f>
        <v>11.5~25</v>
      </c>
      <c r="Z10" s="6">
        <v>25</v>
      </c>
      <c r="AA10" s="1">
        <f>VLOOKUP(S10,$D$27:$M$33,MATCH(AA$9,$D$27:$M$27,0),0)</f>
        <v>0.9</v>
      </c>
      <c r="AB10" s="1" t="str">
        <f>R10</f>
        <v>饼干1</v>
      </c>
      <c r="AC10" s="1" t="str">
        <f>VLOOKUP($S10,$D$27:$L$33,MATCH(AC$9,$D$27:$L$27,0),0)</f>
        <v>承伤</v>
      </c>
      <c r="AD10" s="26">
        <f>W10/INDEX($G$26:$L$26,MATCH(AD$9,$G$27:$L$27,0))</f>
        <v>0.61363636363636365</v>
      </c>
      <c r="AE10" s="26">
        <f>X10/INDEX($G$26:$L$26,MATCH(AE$9,$G$27:$L$27,0))</f>
        <v>1.8018018018018018</v>
      </c>
      <c r="AF10" s="26">
        <f>Z10/INDEX($G$26:$L$26,MATCH(AF$9,$G$27:$L$27,0))</f>
        <v>4.4117647058823524</v>
      </c>
      <c r="AG10" s="26">
        <f>VLOOKUP($S10,$D$18:$O$24,MATCH(AG$9,$D$18:$O$18,0),0)/INDEX($G$26:$L$26,MATCH(AG$9,$G$27:$L$27,0))</f>
        <v>1</v>
      </c>
      <c r="AH10" s="26">
        <f t="shared" ref="AH10:AI21" si="1">VLOOKUP($S10,$D$18:$O$24,MATCH(AH$9,$D$18:$O$18,0),0)/INDEX($G$26:$L$26,MATCH(AH$9,$G$27:$L$27,0))</f>
        <v>1</v>
      </c>
      <c r="AI10" s="26">
        <f t="shared" si="1"/>
        <v>1</v>
      </c>
      <c r="AJ10" s="1">
        <f>AA10</f>
        <v>0.9</v>
      </c>
    </row>
    <row r="11" spans="1:36" ht="14.25" customHeight="1" x14ac:dyDescent="0.2">
      <c r="C11" s="19" t="s">
        <v>104</v>
      </c>
      <c r="D11" s="1" t="s">
        <v>94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1" t="s">
        <v>264</v>
      </c>
      <c r="S11" s="1" t="s">
        <v>158</v>
      </c>
      <c r="T11" s="1" t="str">
        <f t="shared" ref="T11:T21" si="2">MIN(VLOOKUP(S11,$D$9:$M$15,6,0),VLOOKUP(S11,$D$9:$M$15,10,0))&amp;"~"&amp;MAX(VLOOKUP(S11,$D$9:$M$15,6,0),VLOOKUP(S11,$D$9:$M$15,10,0))</f>
        <v>0.9~1</v>
      </c>
      <c r="U11" s="6">
        <v>1</v>
      </c>
      <c r="V11" s="6">
        <f t="shared" ref="V11:V21" si="3">X11/VLOOKUP(S11,$D$9:$L$15,4,0)</f>
        <v>1</v>
      </c>
      <c r="W11" s="6">
        <f t="shared" ref="W11:W21" si="4">VLOOKUP(S11,$D$9:$L$15,3,0)*U11</f>
        <v>5</v>
      </c>
      <c r="X11" s="6">
        <f t="shared" ref="X11:X21" si="5">VLOOKUP(S11,$D$9:$L$15,5,0)/W11</f>
        <v>100</v>
      </c>
      <c r="Y11" s="6" t="str">
        <f t="shared" ref="Y11:Y21" si="6">MIN(VLOOKUP(S11,$D$18:$O$24,4,0),VLOOKUP(S11,$D$18:$O$24,12,0))&amp;"~"&amp;MAX(VLOOKUP(S11,$D$18:$O$24,4,0),VLOOKUP(S11,$D$18:$O$24,12,0))</f>
        <v>11.5~25</v>
      </c>
      <c r="Z11" s="6">
        <v>20</v>
      </c>
      <c r="AA11" s="1">
        <f t="shared" ref="AA11:AA21" si="7">VLOOKUP(S11,$D$27:$M$33,MATCH(AA$9,$D$27:$M$27,0),0)</f>
        <v>0.9</v>
      </c>
      <c r="AB11" s="1" t="str">
        <f t="shared" ref="AB11:AB21" si="8">R11</f>
        <v>饼干2</v>
      </c>
      <c r="AC11" s="1" t="str">
        <f t="shared" ref="AC11:AC21" si="9">VLOOKUP($S11,$D$27:$L$33,MATCH(AC$9,$D$27:$L$27,0),0)</f>
        <v>承伤</v>
      </c>
      <c r="AD11" s="26">
        <f t="shared" ref="AD11:AD21" si="10">W11/INDEX($G$26:$L$26,MATCH(AD$9,$G$27:$L$27,0))</f>
        <v>0.68181818181818188</v>
      </c>
      <c r="AE11" s="26">
        <f t="shared" ref="AE11:AE21" si="11">X11/INDEX($G$26:$L$26,MATCH(AE$9,$G$27:$L$27,0))</f>
        <v>1.6216216216216217</v>
      </c>
      <c r="AF11" s="26">
        <f t="shared" ref="AF11:AF21" si="12">Z11/INDEX($G$26:$L$26,MATCH(AF$9,$G$27:$L$27,0))</f>
        <v>3.5294117647058822</v>
      </c>
      <c r="AG11" s="26">
        <f t="shared" ref="AG11:AG21" si="13">VLOOKUP($S11,$D$18:$O$24,MATCH(AG$9,$D$18:$O$18,0),0)/INDEX($G$26:$L$26,MATCH(AG$9,$G$27:$L$27,0))</f>
        <v>1</v>
      </c>
      <c r="AH11" s="26">
        <f t="shared" si="1"/>
        <v>1</v>
      </c>
      <c r="AI11" s="26">
        <f t="shared" si="1"/>
        <v>1</v>
      </c>
      <c r="AJ11" s="1">
        <f t="shared" ref="AJ11:AJ21" si="14">AA11</f>
        <v>0.9</v>
      </c>
    </row>
    <row r="12" spans="1:36" ht="14.25" customHeight="1" x14ac:dyDescent="0.2">
      <c r="C12" s="19" t="s">
        <v>105</v>
      </c>
      <c r="D12" s="1" t="s">
        <v>99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1" t="s">
        <v>265</v>
      </c>
      <c r="S12" s="1" t="s">
        <v>159</v>
      </c>
      <c r="T12" s="1" t="str">
        <f t="shared" si="2"/>
        <v>1~1.2</v>
      </c>
      <c r="U12" s="6">
        <v>1.1000000000000001</v>
      </c>
      <c r="V12" s="6">
        <f t="shared" si="3"/>
        <v>0.90909090909090906</v>
      </c>
      <c r="W12" s="6">
        <f t="shared" si="4"/>
        <v>5.5</v>
      </c>
      <c r="X12" s="6">
        <f t="shared" si="5"/>
        <v>90.909090909090907</v>
      </c>
      <c r="Y12" s="6" t="str">
        <f t="shared" si="6"/>
        <v>7.5~25</v>
      </c>
      <c r="Z12" s="6">
        <v>23</v>
      </c>
      <c r="AA12" s="1">
        <f t="shared" si="7"/>
        <v>0.9</v>
      </c>
      <c r="AB12" s="1" t="str">
        <f t="shared" si="8"/>
        <v>饼干3</v>
      </c>
      <c r="AC12" s="1" t="str">
        <f t="shared" si="9"/>
        <v>伤害</v>
      </c>
      <c r="AD12" s="26">
        <f t="shared" si="10"/>
        <v>0.75</v>
      </c>
      <c r="AE12" s="26">
        <f t="shared" si="11"/>
        <v>1.4742014742014742</v>
      </c>
      <c r="AF12" s="26">
        <f t="shared" si="12"/>
        <v>4.0588235294117645</v>
      </c>
      <c r="AG12" s="26">
        <f t="shared" si="13"/>
        <v>1</v>
      </c>
      <c r="AH12" s="26">
        <f t="shared" si="1"/>
        <v>1</v>
      </c>
      <c r="AI12" s="26">
        <f t="shared" si="1"/>
        <v>1.1000000000000001</v>
      </c>
      <c r="AJ12" s="1">
        <f t="shared" si="14"/>
        <v>0.9</v>
      </c>
    </row>
    <row r="13" spans="1:36" ht="14.25" customHeight="1" x14ac:dyDescent="0.2">
      <c r="C13" s="19" t="s">
        <v>106</v>
      </c>
      <c r="D13" s="1" t="s">
        <v>100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1" t="s">
        <v>266</v>
      </c>
      <c r="S13" s="1" t="s">
        <v>159</v>
      </c>
      <c r="T13" s="1" t="str">
        <f t="shared" si="2"/>
        <v>1~1.2</v>
      </c>
      <c r="U13" s="6">
        <v>1.2</v>
      </c>
      <c r="V13" s="6">
        <f t="shared" si="3"/>
        <v>0.83333333333333326</v>
      </c>
      <c r="W13" s="6">
        <f t="shared" si="4"/>
        <v>6</v>
      </c>
      <c r="X13" s="6">
        <f t="shared" si="5"/>
        <v>83.333333333333329</v>
      </c>
      <c r="Y13" s="6" t="str">
        <f t="shared" si="6"/>
        <v>7.5~25</v>
      </c>
      <c r="Z13" s="6">
        <v>22.5</v>
      </c>
      <c r="AA13" s="1">
        <f t="shared" si="7"/>
        <v>0.9</v>
      </c>
      <c r="AB13" s="1" t="str">
        <f t="shared" si="8"/>
        <v>饼干4</v>
      </c>
      <c r="AC13" s="1" t="str">
        <f t="shared" si="9"/>
        <v>伤害</v>
      </c>
      <c r="AD13" s="26">
        <f t="shared" si="10"/>
        <v>0.81818181818181823</v>
      </c>
      <c r="AE13" s="26">
        <f t="shared" si="11"/>
        <v>1.3513513513513513</v>
      </c>
      <c r="AF13" s="26">
        <f t="shared" si="12"/>
        <v>3.9705882352941173</v>
      </c>
      <c r="AG13" s="26">
        <f t="shared" si="13"/>
        <v>1</v>
      </c>
      <c r="AH13" s="26">
        <f t="shared" si="1"/>
        <v>1</v>
      </c>
      <c r="AI13" s="26">
        <f t="shared" si="1"/>
        <v>1.1000000000000001</v>
      </c>
      <c r="AJ13" s="1">
        <f t="shared" si="14"/>
        <v>0.9</v>
      </c>
    </row>
    <row r="14" spans="1:36" ht="14.25" customHeight="1" x14ac:dyDescent="0.2">
      <c r="C14" s="19" t="s">
        <v>107</v>
      </c>
      <c r="D14" s="1" t="s">
        <v>101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1" t="s">
        <v>267</v>
      </c>
      <c r="S14" s="1" t="s">
        <v>160</v>
      </c>
      <c r="T14" s="1" t="str">
        <f t="shared" si="2"/>
        <v>1~1.05</v>
      </c>
      <c r="U14" s="6">
        <v>1.05</v>
      </c>
      <c r="V14" s="6">
        <f t="shared" si="3"/>
        <v>0.95238095238095233</v>
      </c>
      <c r="W14" s="6">
        <f t="shared" si="4"/>
        <v>10.5</v>
      </c>
      <c r="X14" s="6">
        <f t="shared" si="5"/>
        <v>38.095238095238095</v>
      </c>
      <c r="Y14" s="6" t="str">
        <f t="shared" si="6"/>
        <v>2~10</v>
      </c>
      <c r="Z14" s="6">
        <v>5</v>
      </c>
      <c r="AA14" s="1">
        <f t="shared" si="7"/>
        <v>0.8</v>
      </c>
      <c r="AB14" s="1" t="str">
        <f t="shared" si="8"/>
        <v>饼干5</v>
      </c>
      <c r="AC14" s="1" t="str">
        <f t="shared" si="9"/>
        <v>伤害</v>
      </c>
      <c r="AD14" s="26">
        <f t="shared" si="10"/>
        <v>1.4318181818181819</v>
      </c>
      <c r="AE14" s="26">
        <f t="shared" si="11"/>
        <v>0.61776061776061775</v>
      </c>
      <c r="AF14" s="26">
        <f t="shared" si="12"/>
        <v>0.88235294117647056</v>
      </c>
      <c r="AG14" s="26">
        <f t="shared" si="13"/>
        <v>1</v>
      </c>
      <c r="AH14" s="26">
        <f t="shared" si="1"/>
        <v>1</v>
      </c>
      <c r="AI14" s="26">
        <f t="shared" si="1"/>
        <v>0.8</v>
      </c>
      <c r="AJ14" s="1">
        <f t="shared" si="14"/>
        <v>0.8</v>
      </c>
    </row>
    <row r="15" spans="1:36" ht="14.25" customHeight="1" x14ac:dyDescent="0.2">
      <c r="C15" s="19" t="s">
        <v>108</v>
      </c>
      <c r="D15" s="1" t="s">
        <v>102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1" t="s">
        <v>268</v>
      </c>
      <c r="S15" s="1" t="s">
        <v>160</v>
      </c>
      <c r="T15" s="1" t="str">
        <f t="shared" si="2"/>
        <v>1~1.05</v>
      </c>
      <c r="U15" s="6">
        <v>1</v>
      </c>
      <c r="V15" s="6">
        <f t="shared" si="3"/>
        <v>1</v>
      </c>
      <c r="W15" s="6">
        <f t="shared" si="4"/>
        <v>10</v>
      </c>
      <c r="X15" s="6">
        <f t="shared" si="5"/>
        <v>40</v>
      </c>
      <c r="Y15" s="6" t="str">
        <f t="shared" si="6"/>
        <v>2~10</v>
      </c>
      <c r="Z15" s="6">
        <v>7.5</v>
      </c>
      <c r="AA15" s="1">
        <f t="shared" si="7"/>
        <v>0.8</v>
      </c>
      <c r="AB15" s="1" t="str">
        <f t="shared" si="8"/>
        <v>饼干6</v>
      </c>
      <c r="AC15" s="1" t="str">
        <f t="shared" si="9"/>
        <v>伤害</v>
      </c>
      <c r="AD15" s="26">
        <f t="shared" si="10"/>
        <v>1.3636363636363638</v>
      </c>
      <c r="AE15" s="26">
        <f t="shared" si="11"/>
        <v>0.64864864864864868</v>
      </c>
      <c r="AF15" s="26">
        <f t="shared" si="12"/>
        <v>1.3235294117647058</v>
      </c>
      <c r="AG15" s="26">
        <f t="shared" si="13"/>
        <v>1</v>
      </c>
      <c r="AH15" s="26">
        <f t="shared" si="1"/>
        <v>1</v>
      </c>
      <c r="AI15" s="26">
        <f t="shared" si="1"/>
        <v>0.8</v>
      </c>
      <c r="AJ15" s="1">
        <f t="shared" si="14"/>
        <v>0.8</v>
      </c>
    </row>
    <row r="16" spans="1:36" ht="14.25" customHeight="1" x14ac:dyDescent="0.2">
      <c r="F16" s="6">
        <f>AVERAGE(F10:F15)</f>
        <v>7.333333333333333</v>
      </c>
      <c r="G16" s="6">
        <f>AVERAGE(G10:G15)</f>
        <v>61.666666666666664</v>
      </c>
      <c r="H16" s="6">
        <f>AVERAGE(G19:G24)</f>
        <v>5.666666666666667</v>
      </c>
      <c r="K16" s="23"/>
      <c r="L16" s="23"/>
      <c r="R16" s="1" t="s">
        <v>269</v>
      </c>
      <c r="S16" s="1" t="s">
        <v>161</v>
      </c>
      <c r="T16" s="1" t="str">
        <f t="shared" si="2"/>
        <v>0.95~1</v>
      </c>
      <c r="U16" s="6">
        <v>0.96</v>
      </c>
      <c r="V16" s="6">
        <f t="shared" si="3"/>
        <v>1.0416666666666667</v>
      </c>
      <c r="W16" s="6">
        <f t="shared" si="4"/>
        <v>9.6</v>
      </c>
      <c r="X16" s="6">
        <f t="shared" si="5"/>
        <v>41.666666666666671</v>
      </c>
      <c r="Y16" s="6" t="str">
        <f t="shared" si="6"/>
        <v>4~7.5</v>
      </c>
      <c r="Z16" s="6">
        <v>5</v>
      </c>
      <c r="AA16" s="1">
        <f t="shared" si="7"/>
        <v>0.8</v>
      </c>
      <c r="AB16" s="1" t="str">
        <f t="shared" si="8"/>
        <v>饼干7</v>
      </c>
      <c r="AC16" s="1" t="str">
        <f t="shared" si="9"/>
        <v>伤害</v>
      </c>
      <c r="AD16" s="26">
        <f t="shared" si="10"/>
        <v>1.3090909090909091</v>
      </c>
      <c r="AE16" s="26">
        <f t="shared" si="11"/>
        <v>0.67567567567567577</v>
      </c>
      <c r="AF16" s="26">
        <f t="shared" si="12"/>
        <v>0.88235294117647056</v>
      </c>
      <c r="AG16" s="26">
        <f t="shared" si="13"/>
        <v>1</v>
      </c>
      <c r="AH16" s="26">
        <f t="shared" si="1"/>
        <v>1</v>
      </c>
      <c r="AI16" s="26">
        <f t="shared" si="1"/>
        <v>1</v>
      </c>
      <c r="AJ16" s="1">
        <f t="shared" si="14"/>
        <v>0.8</v>
      </c>
    </row>
    <row r="17" spans="3:36" ht="14.25" customHeight="1" x14ac:dyDescent="0.2">
      <c r="C17" s="3" t="s">
        <v>115</v>
      </c>
      <c r="G17" s="6">
        <v>100000</v>
      </c>
      <c r="H17" s="6"/>
      <c r="L17" s="1">
        <f>战斗公式!E39</f>
        <v>25</v>
      </c>
      <c r="M17" s="1">
        <f>战斗公式!E41</f>
        <v>1</v>
      </c>
      <c r="R17" s="1" t="s">
        <v>270</v>
      </c>
      <c r="S17" s="1" t="s">
        <v>161</v>
      </c>
      <c r="T17" s="1" t="str">
        <f t="shared" si="2"/>
        <v>0.95~1</v>
      </c>
      <c r="U17" s="6">
        <v>0.98</v>
      </c>
      <c r="V17" s="6">
        <f t="shared" si="3"/>
        <v>1.0204081632653061</v>
      </c>
      <c r="W17" s="6">
        <f t="shared" si="4"/>
        <v>9.8000000000000007</v>
      </c>
      <c r="X17" s="6">
        <f t="shared" si="5"/>
        <v>40.816326530612244</v>
      </c>
      <c r="Y17" s="6" t="str">
        <f t="shared" si="6"/>
        <v>4~7.5</v>
      </c>
      <c r="Z17" s="6">
        <v>6</v>
      </c>
      <c r="AA17" s="1">
        <f t="shared" si="7"/>
        <v>0.8</v>
      </c>
      <c r="AB17" s="1" t="str">
        <f t="shared" si="8"/>
        <v>饼干8</v>
      </c>
      <c r="AC17" s="1" t="str">
        <f t="shared" si="9"/>
        <v>伤害</v>
      </c>
      <c r="AD17" s="26">
        <f t="shared" si="10"/>
        <v>1.3363636363636364</v>
      </c>
      <c r="AE17" s="26">
        <f t="shared" si="11"/>
        <v>0.66188637617209045</v>
      </c>
      <c r="AF17" s="26">
        <f t="shared" si="12"/>
        <v>1.0588235294117647</v>
      </c>
      <c r="AG17" s="26">
        <f t="shared" si="13"/>
        <v>1</v>
      </c>
      <c r="AH17" s="26">
        <f t="shared" si="1"/>
        <v>1</v>
      </c>
      <c r="AI17" s="26">
        <f t="shared" si="1"/>
        <v>1</v>
      </c>
      <c r="AJ17" s="1">
        <f t="shared" si="14"/>
        <v>0.8</v>
      </c>
    </row>
    <row r="18" spans="3:36" s="3" customFormat="1" ht="14.25" customHeight="1" x14ac:dyDescent="0.2">
      <c r="D18" s="3" t="s">
        <v>92</v>
      </c>
      <c r="E18" s="3" t="s">
        <v>93</v>
      </c>
      <c r="F18" s="3" t="s">
        <v>34</v>
      </c>
      <c r="G18" s="25" t="s">
        <v>35</v>
      </c>
      <c r="H18" s="3" t="s">
        <v>36</v>
      </c>
      <c r="I18" s="25" t="s">
        <v>37</v>
      </c>
      <c r="J18" s="25" t="s">
        <v>89</v>
      </c>
      <c r="K18" s="25" t="s">
        <v>13</v>
      </c>
      <c r="L18" s="3" t="s">
        <v>109</v>
      </c>
      <c r="M18" s="3" t="s">
        <v>110</v>
      </c>
      <c r="N18" s="31">
        <f>MAX(N19:N23)/MIN(N19:N23)</f>
        <v>1.0986221899927484</v>
      </c>
      <c r="O18" s="25" t="s">
        <v>166</v>
      </c>
      <c r="R18" s="1" t="s">
        <v>271</v>
      </c>
      <c r="S18" s="1" t="s">
        <v>162</v>
      </c>
      <c r="T18" s="1" t="str">
        <f t="shared" si="2"/>
        <v>0.9~0.95</v>
      </c>
      <c r="U18" s="6">
        <v>0.94</v>
      </c>
      <c r="V18" s="6">
        <f t="shared" si="3"/>
        <v>1.0638297872340428</v>
      </c>
      <c r="W18" s="6">
        <f t="shared" si="4"/>
        <v>9.3999999999999986</v>
      </c>
      <c r="X18" s="6">
        <f t="shared" si="5"/>
        <v>42.553191489361708</v>
      </c>
      <c r="Y18" s="6" t="str">
        <f t="shared" si="6"/>
        <v>5~15</v>
      </c>
      <c r="Z18" s="6">
        <v>7</v>
      </c>
      <c r="AA18" s="1">
        <f t="shared" si="7"/>
        <v>0.8</v>
      </c>
      <c r="AB18" s="1" t="str">
        <f t="shared" si="8"/>
        <v>饼干9</v>
      </c>
      <c r="AC18" s="1" t="str">
        <f t="shared" si="9"/>
        <v>伤害</v>
      </c>
      <c r="AD18" s="26">
        <f t="shared" si="10"/>
        <v>1.2818181818181817</v>
      </c>
      <c r="AE18" s="26">
        <f t="shared" si="11"/>
        <v>0.69005175388154127</v>
      </c>
      <c r="AF18" s="26">
        <f t="shared" si="12"/>
        <v>1.2352941176470587</v>
      </c>
      <c r="AG18" s="26">
        <f t="shared" si="13"/>
        <v>1</v>
      </c>
      <c r="AH18" s="26">
        <f t="shared" si="1"/>
        <v>1</v>
      </c>
      <c r="AI18" s="26">
        <f t="shared" si="1"/>
        <v>0.9</v>
      </c>
      <c r="AJ18" s="1">
        <f t="shared" si="14"/>
        <v>0.8</v>
      </c>
    </row>
    <row r="19" spans="3:36" ht="14.25" customHeight="1" x14ac:dyDescent="0.2">
      <c r="D19" s="1" t="s">
        <v>71</v>
      </c>
      <c r="E19" s="1" t="s">
        <v>3</v>
      </c>
      <c r="F19" s="6">
        <f>K10/K19/(1+I19*(J19-1))</f>
        <v>3.75</v>
      </c>
      <c r="G19" s="1">
        <v>11.5</v>
      </c>
      <c r="H19" s="6">
        <f>L10/(G19/$G$17+1)</f>
        <v>111.0983348026088</v>
      </c>
      <c r="I19" s="20">
        <v>0.4</v>
      </c>
      <c r="J19" s="20">
        <v>1.5</v>
      </c>
      <c r="K19" s="1">
        <v>1</v>
      </c>
      <c r="L19" s="6">
        <f>F19*$L$17*(1+I19*(J19-1))*K19</f>
        <v>112.5</v>
      </c>
      <c r="M19" s="6">
        <f>H19*$M$17*(1+G19*战斗公式!$E$40)+$M$17*基础模型!$G$17*$L$17</f>
        <v>161.11111111111111</v>
      </c>
      <c r="N19" s="22">
        <f>L19+M19</f>
        <v>273.61111111111109</v>
      </c>
      <c r="O19" s="1">
        <v>25</v>
      </c>
      <c r="P19" s="21"/>
      <c r="R19" s="1" t="s">
        <v>272</v>
      </c>
      <c r="S19" s="1" t="s">
        <v>162</v>
      </c>
      <c r="T19" s="1" t="str">
        <f t="shared" si="2"/>
        <v>0.9~0.95</v>
      </c>
      <c r="U19" s="6">
        <v>0.9</v>
      </c>
      <c r="V19" s="6">
        <f t="shared" si="3"/>
        <v>1.1111111111111112</v>
      </c>
      <c r="W19" s="6">
        <f t="shared" si="4"/>
        <v>9</v>
      </c>
      <c r="X19" s="6">
        <f t="shared" si="5"/>
        <v>44.444444444444443</v>
      </c>
      <c r="Y19" s="6" t="str">
        <f t="shared" si="6"/>
        <v>5~15</v>
      </c>
      <c r="Z19" s="6">
        <v>10</v>
      </c>
      <c r="AA19" s="1">
        <f t="shared" si="7"/>
        <v>0.8</v>
      </c>
      <c r="AB19" s="1" t="str">
        <f t="shared" si="8"/>
        <v>饼干10</v>
      </c>
      <c r="AC19" s="1" t="str">
        <f t="shared" si="9"/>
        <v>伤害</v>
      </c>
      <c r="AD19" s="26">
        <f t="shared" si="10"/>
        <v>1.2272727272727273</v>
      </c>
      <c r="AE19" s="26">
        <f t="shared" si="11"/>
        <v>0.72072072072072069</v>
      </c>
      <c r="AF19" s="26">
        <f t="shared" si="12"/>
        <v>1.7647058823529411</v>
      </c>
      <c r="AG19" s="26">
        <f t="shared" si="13"/>
        <v>1</v>
      </c>
      <c r="AH19" s="26">
        <f t="shared" si="1"/>
        <v>1</v>
      </c>
      <c r="AI19" s="26">
        <f t="shared" si="1"/>
        <v>0.9</v>
      </c>
      <c r="AJ19" s="1">
        <f t="shared" si="14"/>
        <v>0.8</v>
      </c>
    </row>
    <row r="20" spans="3:36" ht="14.25" customHeight="1" x14ac:dyDescent="0.2">
      <c r="D20" s="1" t="s">
        <v>94</v>
      </c>
      <c r="E20" s="1" t="s">
        <v>3</v>
      </c>
      <c r="F20" s="6">
        <f t="shared" ref="F20:F24" si="19">K11/K20/(1+I20*(J20-1))</f>
        <v>4.545454545454545</v>
      </c>
      <c r="G20" s="1">
        <v>7.5</v>
      </c>
      <c r="H20" s="6">
        <f t="shared" ref="H20:H24" si="20">L11/(G20/$G$17+1)</f>
        <v>83.327083802048165</v>
      </c>
      <c r="I20" s="20">
        <v>0.4</v>
      </c>
      <c r="J20" s="20">
        <v>1.5</v>
      </c>
      <c r="K20" s="1">
        <v>1.1000000000000001</v>
      </c>
      <c r="L20" s="6">
        <f t="shared" ref="L20:L23" si="21">F20*$L$17*(1+I20*(J20-1))*K20</f>
        <v>150</v>
      </c>
      <c r="M20" s="6">
        <f>H20*$M$17*(1+G20*战斗公式!$E$40)+$M$17*基础模型!$G$17*$L$17</f>
        <v>133.33333333333331</v>
      </c>
      <c r="N20" s="22">
        <f t="shared" ref="N20:N23" si="22">L20+M20</f>
        <v>283.33333333333331</v>
      </c>
      <c r="O20" s="1">
        <v>25</v>
      </c>
      <c r="P20" s="21"/>
      <c r="R20" s="1" t="s">
        <v>273</v>
      </c>
      <c r="S20" s="1" t="s">
        <v>163</v>
      </c>
      <c r="T20" s="1" t="str">
        <f t="shared" si="2"/>
        <v>0.9~1</v>
      </c>
      <c r="U20" s="6">
        <v>0.9</v>
      </c>
      <c r="V20" s="6">
        <f t="shared" si="3"/>
        <v>1.1111111111111112</v>
      </c>
      <c r="W20" s="6">
        <f t="shared" si="4"/>
        <v>3.6</v>
      </c>
      <c r="X20" s="6">
        <f t="shared" si="5"/>
        <v>55.555555555555557</v>
      </c>
      <c r="Y20" s="6" t="str">
        <f t="shared" si="6"/>
        <v>4~15</v>
      </c>
      <c r="Z20" s="6">
        <v>8</v>
      </c>
      <c r="AA20" s="1">
        <f t="shared" si="7"/>
        <v>0.9</v>
      </c>
      <c r="AB20" s="1" t="str">
        <f t="shared" si="8"/>
        <v>饼干11</v>
      </c>
      <c r="AC20" s="1" t="str">
        <f t="shared" si="9"/>
        <v>无</v>
      </c>
      <c r="AD20" s="26">
        <f t="shared" si="10"/>
        <v>0.49090909090909096</v>
      </c>
      <c r="AE20" s="26">
        <f t="shared" si="11"/>
        <v>0.90090090090090091</v>
      </c>
      <c r="AF20" s="26">
        <f t="shared" si="12"/>
        <v>1.4117647058823528</v>
      </c>
      <c r="AG20" s="26">
        <f t="shared" si="13"/>
        <v>1</v>
      </c>
      <c r="AH20" s="26">
        <f t="shared" si="1"/>
        <v>1</v>
      </c>
      <c r="AI20" s="26">
        <f t="shared" si="1"/>
        <v>1</v>
      </c>
      <c r="AJ20" s="1">
        <f t="shared" si="14"/>
        <v>0.9</v>
      </c>
    </row>
    <row r="21" spans="3:36" ht="14.25" customHeight="1" x14ac:dyDescent="0.2">
      <c r="D21" s="1" t="s">
        <v>99</v>
      </c>
      <c r="E21" s="1" t="s">
        <v>4</v>
      </c>
      <c r="F21" s="6">
        <f t="shared" si="19"/>
        <v>10.9375</v>
      </c>
      <c r="G21" s="1">
        <v>2</v>
      </c>
      <c r="H21" s="6">
        <f t="shared" si="20"/>
        <v>38.094476205713981</v>
      </c>
      <c r="I21" s="20">
        <v>0.4</v>
      </c>
      <c r="J21" s="20">
        <v>1.5</v>
      </c>
      <c r="K21" s="1">
        <v>0.8</v>
      </c>
      <c r="L21" s="6">
        <f>F21*$L$17*(1+I21*(J21-1))*K21</f>
        <v>262.5</v>
      </c>
      <c r="M21" s="6">
        <f>H21*$M$17*(1+G21*战斗公式!$E$40)</f>
        <v>38.095238095238095</v>
      </c>
      <c r="N21" s="22">
        <f>L21+M21</f>
        <v>300.59523809523807</v>
      </c>
      <c r="O21" s="1">
        <v>10</v>
      </c>
      <c r="P21" s="21"/>
      <c r="R21" s="1" t="s">
        <v>274</v>
      </c>
      <c r="S21" s="1" t="s">
        <v>163</v>
      </c>
      <c r="T21" s="1" t="str">
        <f t="shared" si="2"/>
        <v>0.9~1</v>
      </c>
      <c r="U21" s="6">
        <v>1</v>
      </c>
      <c r="V21" s="6">
        <f t="shared" si="3"/>
        <v>1</v>
      </c>
      <c r="W21" s="6">
        <f t="shared" si="4"/>
        <v>4</v>
      </c>
      <c r="X21" s="6">
        <f t="shared" si="5"/>
        <v>50</v>
      </c>
      <c r="Y21" s="6" t="str">
        <f t="shared" si="6"/>
        <v>4~15</v>
      </c>
      <c r="Z21" s="6">
        <v>10</v>
      </c>
      <c r="AA21" s="1">
        <f t="shared" si="7"/>
        <v>0.9</v>
      </c>
      <c r="AB21" s="1" t="str">
        <f t="shared" si="8"/>
        <v>饼干12</v>
      </c>
      <c r="AC21" s="1" t="str">
        <f t="shared" si="9"/>
        <v>无</v>
      </c>
      <c r="AD21" s="26">
        <f t="shared" si="10"/>
        <v>0.54545454545454553</v>
      </c>
      <c r="AE21" s="26">
        <f t="shared" si="11"/>
        <v>0.81081081081081086</v>
      </c>
      <c r="AF21" s="26">
        <f t="shared" si="12"/>
        <v>1.7647058823529411</v>
      </c>
      <c r="AG21" s="26">
        <f t="shared" si="13"/>
        <v>1</v>
      </c>
      <c r="AH21" s="26">
        <f t="shared" si="1"/>
        <v>1</v>
      </c>
      <c r="AI21" s="26">
        <f t="shared" si="1"/>
        <v>1</v>
      </c>
      <c r="AJ21" s="1">
        <f t="shared" si="14"/>
        <v>0.9</v>
      </c>
    </row>
    <row r="22" spans="3:36" ht="14.25" customHeight="1" x14ac:dyDescent="0.2">
      <c r="D22" s="1" t="s">
        <v>100</v>
      </c>
      <c r="E22" s="1" t="s">
        <v>4</v>
      </c>
      <c r="F22" s="6">
        <f t="shared" si="19"/>
        <v>8.3333333333333339</v>
      </c>
      <c r="G22" s="1">
        <v>4</v>
      </c>
      <c r="H22" s="6">
        <f t="shared" si="20"/>
        <v>39.998400063997437</v>
      </c>
      <c r="I22" s="20">
        <v>0.4</v>
      </c>
      <c r="J22" s="20">
        <v>1.5</v>
      </c>
      <c r="K22" s="1">
        <v>1</v>
      </c>
      <c r="L22" s="6">
        <f t="shared" si="21"/>
        <v>250</v>
      </c>
      <c r="M22" s="6">
        <f>H22*$M$17*(1+G22*战斗公式!$E$40)</f>
        <v>40</v>
      </c>
      <c r="N22" s="22">
        <f>L22+M22</f>
        <v>290</v>
      </c>
      <c r="O22" s="1">
        <v>7.5</v>
      </c>
      <c r="P22" s="21"/>
    </row>
    <row r="23" spans="3:36" ht="14.25" customHeight="1" x14ac:dyDescent="0.2">
      <c r="D23" s="1" t="s">
        <v>101</v>
      </c>
      <c r="E23" s="1" t="s">
        <v>4</v>
      </c>
      <c r="F23" s="6">
        <f t="shared" si="19"/>
        <v>8.7962962962962958</v>
      </c>
      <c r="G23" s="1">
        <v>5</v>
      </c>
      <c r="H23" s="6">
        <f t="shared" si="20"/>
        <v>42.103157999994735</v>
      </c>
      <c r="I23" s="20">
        <v>0.4</v>
      </c>
      <c r="J23" s="20">
        <v>1.5</v>
      </c>
      <c r="K23" s="1">
        <v>0.9</v>
      </c>
      <c r="L23" s="6">
        <f t="shared" si="21"/>
        <v>237.49999999999997</v>
      </c>
      <c r="M23" s="6">
        <f>H23*$M$17*(1+G23*战斗公式!$E$40)</f>
        <v>42.10526315789474</v>
      </c>
      <c r="N23" s="22">
        <f t="shared" si="22"/>
        <v>279.60526315789468</v>
      </c>
      <c r="O23" s="1">
        <v>15</v>
      </c>
      <c r="P23" s="21"/>
    </row>
    <row r="24" spans="3:36" ht="14.25" customHeight="1" x14ac:dyDescent="0.2">
      <c r="D24" s="1" t="s">
        <v>102</v>
      </c>
      <c r="E24" s="1" t="s">
        <v>5</v>
      </c>
      <c r="F24" s="6">
        <f t="shared" si="19"/>
        <v>3</v>
      </c>
      <c r="G24" s="1">
        <v>4</v>
      </c>
      <c r="H24" s="6">
        <f t="shared" si="20"/>
        <v>55.553333422218664</v>
      </c>
      <c r="I24" s="20">
        <v>0.4</v>
      </c>
      <c r="J24" s="20">
        <v>1.5</v>
      </c>
      <c r="K24" s="1">
        <v>1</v>
      </c>
      <c r="L24" s="6">
        <f>F24*$L$17*(1+I24*(J24-1))*K24</f>
        <v>90</v>
      </c>
      <c r="M24" s="6">
        <f>H24*$M$17*(1+G24*战斗公式!$E$40)+$M$17*基础模型!$G$13*$L$17</f>
        <v>205.55555555555554</v>
      </c>
      <c r="N24" s="22">
        <f>L24+M24</f>
        <v>295.55555555555554</v>
      </c>
      <c r="O24" s="1">
        <v>15</v>
      </c>
      <c r="P24" s="21"/>
    </row>
    <row r="26" spans="3:36" ht="14.25" customHeight="1" x14ac:dyDescent="0.2">
      <c r="C26" s="3" t="s">
        <v>144</v>
      </c>
      <c r="E26" s="20"/>
      <c r="F26" s="1" t="s">
        <v>149</v>
      </c>
      <c r="G26" s="6">
        <f>F16</f>
        <v>7.333333333333333</v>
      </c>
      <c r="H26" s="6">
        <f>G16</f>
        <v>61.666666666666664</v>
      </c>
      <c r="I26" s="6">
        <f>H16</f>
        <v>5.666666666666667</v>
      </c>
      <c r="J26" s="35">
        <v>0.4</v>
      </c>
      <c r="K26" s="35">
        <v>1.5</v>
      </c>
      <c r="L26" s="18">
        <v>1</v>
      </c>
    </row>
    <row r="27" spans="3:36" ht="14.25" customHeight="1" x14ac:dyDescent="0.2">
      <c r="D27" s="3" t="s">
        <v>92</v>
      </c>
      <c r="E27" s="3" t="s">
        <v>93</v>
      </c>
      <c r="F27" s="3" t="s">
        <v>152</v>
      </c>
      <c r="G27" s="3" t="s">
        <v>15</v>
      </c>
      <c r="H27" s="3" t="s">
        <v>16</v>
      </c>
      <c r="I27" s="3" t="s">
        <v>145</v>
      </c>
      <c r="J27" s="3" t="s">
        <v>146</v>
      </c>
      <c r="K27" s="3" t="s">
        <v>147</v>
      </c>
      <c r="L27" s="3" t="s">
        <v>148</v>
      </c>
      <c r="M27" s="25" t="s">
        <v>176</v>
      </c>
      <c r="N27" s="1">
        <v>60</v>
      </c>
      <c r="O27" s="1">
        <f>N27/2.6</f>
        <v>23.076923076923077</v>
      </c>
    </row>
    <row r="28" spans="3:36" ht="14.25" customHeight="1" x14ac:dyDescent="0.2">
      <c r="D28" s="1" t="s">
        <v>71</v>
      </c>
      <c r="E28" s="1" t="s">
        <v>3</v>
      </c>
      <c r="F28" s="1" t="s">
        <v>16</v>
      </c>
      <c r="G28" s="6">
        <f>K10/G$26</f>
        <v>0.61363636363636365</v>
      </c>
      <c r="H28" s="6">
        <f t="shared" ref="G28:H33" si="23">L10/H$26</f>
        <v>1.8018018018018018</v>
      </c>
      <c r="I28" s="6">
        <f>G19/I$26</f>
        <v>2.0294117647058822</v>
      </c>
      <c r="J28" s="6">
        <f>0.05/J$26</f>
        <v>0.125</v>
      </c>
      <c r="K28" s="6">
        <f t="shared" ref="K28:L33" si="24">J19/K$26</f>
        <v>1</v>
      </c>
      <c r="L28" s="6">
        <f t="shared" si="24"/>
        <v>1</v>
      </c>
      <c r="M28" s="1">
        <v>0.9</v>
      </c>
      <c r="N28" s="1">
        <v>40</v>
      </c>
      <c r="O28" s="1">
        <f t="shared" ref="O28:O32" si="25">N28/2.6</f>
        <v>15.384615384615383</v>
      </c>
    </row>
    <row r="29" spans="3:36" ht="14.25" customHeight="1" x14ac:dyDescent="0.2">
      <c r="D29" s="1" t="s">
        <v>94</v>
      </c>
      <c r="E29" s="1" t="s">
        <v>3</v>
      </c>
      <c r="F29" s="1" t="s">
        <v>15</v>
      </c>
      <c r="G29" s="6">
        <f t="shared" si="23"/>
        <v>0.81818181818181823</v>
      </c>
      <c r="H29" s="6">
        <f t="shared" si="23"/>
        <v>1.3513513513513513</v>
      </c>
      <c r="I29" s="6">
        <f t="shared" ref="I29:I33" si="26">G20/I$26</f>
        <v>1.3235294117647058</v>
      </c>
      <c r="J29" s="6">
        <f t="shared" ref="J29:J33" si="27">0.05/J$26</f>
        <v>0.125</v>
      </c>
      <c r="K29" s="6">
        <f t="shared" si="24"/>
        <v>1</v>
      </c>
      <c r="L29" s="6">
        <f t="shared" si="24"/>
        <v>1.1000000000000001</v>
      </c>
      <c r="M29" s="1">
        <v>0.9</v>
      </c>
      <c r="N29" s="1">
        <v>10</v>
      </c>
      <c r="O29" s="1">
        <f t="shared" si="25"/>
        <v>3.8461538461538458</v>
      </c>
    </row>
    <row r="30" spans="3:36" ht="14.25" customHeight="1" x14ac:dyDescent="0.2">
      <c r="D30" s="1" t="s">
        <v>99</v>
      </c>
      <c r="E30" s="1" t="s">
        <v>4</v>
      </c>
      <c r="F30" s="1" t="s">
        <v>15</v>
      </c>
      <c r="G30" s="6">
        <f t="shared" si="23"/>
        <v>1.4318181818181819</v>
      </c>
      <c r="H30" s="6">
        <f t="shared" si="23"/>
        <v>0.61776061776061775</v>
      </c>
      <c r="I30" s="6">
        <f t="shared" si="26"/>
        <v>0.3529411764705882</v>
      </c>
      <c r="J30" s="6">
        <f t="shared" si="27"/>
        <v>0.125</v>
      </c>
      <c r="K30" s="6">
        <f t="shared" si="24"/>
        <v>1</v>
      </c>
      <c r="L30" s="6">
        <f t="shared" si="24"/>
        <v>0.8</v>
      </c>
      <c r="M30" s="1">
        <v>0.8</v>
      </c>
      <c r="N30" s="1">
        <v>20</v>
      </c>
      <c r="O30" s="1">
        <f t="shared" si="25"/>
        <v>7.6923076923076916</v>
      </c>
    </row>
    <row r="31" spans="3:36" ht="14.25" customHeight="1" x14ac:dyDescent="0.2">
      <c r="D31" s="1" t="s">
        <v>100</v>
      </c>
      <c r="E31" s="1" t="s">
        <v>4</v>
      </c>
      <c r="F31" s="1" t="s">
        <v>15</v>
      </c>
      <c r="G31" s="6">
        <f t="shared" si="23"/>
        <v>1.3636363636363638</v>
      </c>
      <c r="H31" s="6">
        <f t="shared" si="23"/>
        <v>0.64864864864864868</v>
      </c>
      <c r="I31" s="6">
        <f t="shared" si="26"/>
        <v>0.70588235294117641</v>
      </c>
      <c r="J31" s="6">
        <f t="shared" si="27"/>
        <v>0.125</v>
      </c>
      <c r="K31" s="6">
        <f t="shared" si="24"/>
        <v>1</v>
      </c>
      <c r="L31" s="6">
        <f t="shared" si="24"/>
        <v>1</v>
      </c>
      <c r="M31" s="1">
        <v>0.8</v>
      </c>
      <c r="N31" s="1">
        <v>25</v>
      </c>
      <c r="O31" s="1">
        <f t="shared" si="25"/>
        <v>9.615384615384615</v>
      </c>
    </row>
    <row r="32" spans="3:36" ht="14.25" customHeight="1" x14ac:dyDescent="0.2">
      <c r="D32" s="1" t="s">
        <v>101</v>
      </c>
      <c r="E32" s="1" t="s">
        <v>4</v>
      </c>
      <c r="F32" s="1" t="s">
        <v>15</v>
      </c>
      <c r="G32" s="6">
        <f t="shared" si="23"/>
        <v>1.2954545454545454</v>
      </c>
      <c r="H32" s="6">
        <f t="shared" si="23"/>
        <v>0.68278805120910391</v>
      </c>
      <c r="I32" s="6">
        <f t="shared" si="26"/>
        <v>0.88235294117647056</v>
      </c>
      <c r="J32" s="6">
        <f t="shared" si="27"/>
        <v>0.125</v>
      </c>
      <c r="K32" s="6">
        <f t="shared" si="24"/>
        <v>1</v>
      </c>
      <c r="L32" s="6">
        <f t="shared" si="24"/>
        <v>0.9</v>
      </c>
      <c r="M32" s="1">
        <v>0.8</v>
      </c>
      <c r="N32" s="1">
        <v>20</v>
      </c>
      <c r="O32" s="1">
        <f t="shared" si="25"/>
        <v>7.6923076923076916</v>
      </c>
    </row>
    <row r="33" spans="4:13" ht="14.25" customHeight="1" x14ac:dyDescent="0.2">
      <c r="D33" s="1" t="s">
        <v>102</v>
      </c>
      <c r="E33" s="1" t="s">
        <v>5</v>
      </c>
      <c r="F33" s="1" t="s">
        <v>155</v>
      </c>
      <c r="G33" s="6">
        <f t="shared" si="23"/>
        <v>0.49090909090909096</v>
      </c>
      <c r="H33" s="6">
        <f t="shared" si="23"/>
        <v>0.90090090090090091</v>
      </c>
      <c r="I33" s="6">
        <f t="shared" si="26"/>
        <v>0.70588235294117641</v>
      </c>
      <c r="J33" s="6">
        <f t="shared" si="27"/>
        <v>0.125</v>
      </c>
      <c r="K33" s="6">
        <f t="shared" si="24"/>
        <v>1</v>
      </c>
      <c r="L33" s="6">
        <f t="shared" si="24"/>
        <v>1</v>
      </c>
      <c r="M33" s="1">
        <v>0.9</v>
      </c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E9" activePane="bottomRight" state="frozen"/>
      <selection pane="topRight" activeCell="D1" sqref="D1"/>
      <selection pane="bottomLeft" activeCell="A10" sqref="A10"/>
      <selection pane="bottomRight" activeCell="S14" sqref="S14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47" t="s">
        <v>116</v>
      </c>
      <c r="B1" s="48"/>
      <c r="AB1" s="1" t="s">
        <v>158</v>
      </c>
      <c r="AC1" s="1">
        <v>1</v>
      </c>
      <c r="AD1" s="9">
        <v>4612980.6323862216</v>
      </c>
    </row>
    <row r="2" spans="1:35" ht="14.25" customHeight="1" x14ac:dyDescent="0.2">
      <c r="A2" s="49"/>
      <c r="B2" s="50"/>
      <c r="AB2" s="1" t="s">
        <v>158</v>
      </c>
      <c r="AC2" s="1">
        <v>2</v>
      </c>
      <c r="AD2" s="9">
        <v>4508614.5547304247</v>
      </c>
    </row>
    <row r="3" spans="1:35" ht="14.25" customHeight="1" x14ac:dyDescent="0.2">
      <c r="C3" s="3" t="s">
        <v>118</v>
      </c>
      <c r="D3" s="2" t="s">
        <v>191</v>
      </c>
      <c r="AB3" s="1" t="s">
        <v>159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69</v>
      </c>
      <c r="E4" s="3" t="s">
        <v>119</v>
      </c>
      <c r="F4" s="3" t="s">
        <v>168</v>
      </c>
      <c r="G4" s="1"/>
      <c r="H4" s="3" t="s">
        <v>169</v>
      </c>
      <c r="I4" s="1"/>
      <c r="J4" s="1"/>
      <c r="K4" s="1"/>
      <c r="L4" s="1"/>
      <c r="M4" s="1"/>
      <c r="N4" s="1"/>
      <c r="O4" s="1"/>
      <c r="AB4" s="1" t="s">
        <v>159</v>
      </c>
      <c r="AC4" s="1">
        <v>4</v>
      </c>
      <c r="AD4" s="9">
        <v>4445994.9081369452</v>
      </c>
    </row>
    <row r="5" spans="1:35" ht="14.25" customHeight="1" x14ac:dyDescent="0.2">
      <c r="D5" s="1" t="s">
        <v>120</v>
      </c>
      <c r="E5" s="1">
        <v>28</v>
      </c>
      <c r="F5" s="24">
        <f>E5/SUM($E$5:$E$8)</f>
        <v>0.28000000000000003</v>
      </c>
      <c r="H5" s="24">
        <f>E5/SUM($E$5:$E$7)</f>
        <v>0.4</v>
      </c>
      <c r="I5" s="20"/>
      <c r="J5" s="20"/>
      <c r="K5" s="20"/>
      <c r="L5" s="20"/>
      <c r="M5" s="20"/>
      <c r="N5" s="20"/>
      <c r="AB5" s="1" t="s">
        <v>160</v>
      </c>
      <c r="AC5" s="1">
        <v>5</v>
      </c>
      <c r="AD5" s="9">
        <v>5449698.3863924081</v>
      </c>
    </row>
    <row r="6" spans="1:35" ht="14.25" customHeight="1" x14ac:dyDescent="0.2">
      <c r="D6" s="1" t="s">
        <v>183</v>
      </c>
      <c r="E6" s="1">
        <v>28</v>
      </c>
      <c r="F6" s="24">
        <f>E6/SUM($E$5:$E$8)</f>
        <v>0.28000000000000003</v>
      </c>
      <c r="G6" s="4">
        <f>F6/F5</f>
        <v>1</v>
      </c>
      <c r="H6" s="24">
        <f t="shared" ref="H6:H7" si="0">E6/SUM($E$5:$E$7)</f>
        <v>0.4</v>
      </c>
      <c r="I6" s="4">
        <f>H6/H5</f>
        <v>1</v>
      </c>
      <c r="J6" s="36"/>
      <c r="K6" s="36"/>
      <c r="AB6" s="1" t="s">
        <v>160</v>
      </c>
      <c r="AC6" s="1">
        <v>6</v>
      </c>
      <c r="AD6" s="9">
        <v>5260050.3138521584</v>
      </c>
    </row>
    <row r="7" spans="1:35" ht="14.25" customHeight="1" x14ac:dyDescent="0.2">
      <c r="D7" s="1" t="s">
        <v>121</v>
      </c>
      <c r="E7" s="1">
        <v>14</v>
      </c>
      <c r="F7" s="24">
        <f>E7/SUM($E$5:$E$8)</f>
        <v>0.14000000000000001</v>
      </c>
      <c r="G7" s="4">
        <f>F7/SUM($F$5:$F$6)</f>
        <v>0.25</v>
      </c>
      <c r="H7" s="24">
        <f t="shared" si="0"/>
        <v>0.2</v>
      </c>
      <c r="I7" s="4">
        <f>H7/SUM($H$5:$H$6)</f>
        <v>0.25</v>
      </c>
      <c r="J7" s="36"/>
      <c r="K7" s="36"/>
      <c r="O7" s="1">
        <v>1.05</v>
      </c>
      <c r="AB7" s="1" t="s">
        <v>161</v>
      </c>
      <c r="AC7" s="1">
        <v>7</v>
      </c>
      <c r="AD7" s="9">
        <v>5111015.5549596818</v>
      </c>
    </row>
    <row r="8" spans="1:35" ht="14.25" customHeight="1" x14ac:dyDescent="0.2">
      <c r="D8" s="1" t="s">
        <v>122</v>
      </c>
      <c r="E8" s="1">
        <v>30</v>
      </c>
      <c r="F8" s="24">
        <f>E8/SUM($E$5:$E$8)</f>
        <v>0.3</v>
      </c>
      <c r="G8" s="4">
        <f>F8/SUM($F$5:$F$6)</f>
        <v>0.5357142857142857</v>
      </c>
      <c r="I8" s="36"/>
      <c r="J8" s="36"/>
      <c r="K8" s="36"/>
      <c r="O8" s="6">
        <f>POWER(O7,99)</f>
        <v>125.23929318695586</v>
      </c>
      <c r="AB8" s="1" t="s">
        <v>161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162</v>
      </c>
      <c r="AC9" s="1">
        <v>9</v>
      </c>
      <c r="AD9" s="9">
        <v>5037497.4251931254</v>
      </c>
    </row>
    <row r="10" spans="1:35" ht="14.25" customHeight="1" x14ac:dyDescent="0.2">
      <c r="E10" s="2" t="s">
        <v>111</v>
      </c>
      <c r="P10" s="26"/>
      <c r="AB10" s="1" t="s">
        <v>162</v>
      </c>
      <c r="AC10" s="1">
        <v>10</v>
      </c>
      <c r="AD10" s="9">
        <v>4892681.7205037549</v>
      </c>
    </row>
    <row r="11" spans="1:35" ht="14.25" customHeight="1" x14ac:dyDescent="0.2">
      <c r="E11" s="2" t="s">
        <v>112</v>
      </c>
      <c r="AB11" s="1" t="s">
        <v>163</v>
      </c>
      <c r="AC11" s="1">
        <v>11</v>
      </c>
      <c r="AD11" s="9">
        <v>3788488.6189054241</v>
      </c>
    </row>
    <row r="12" spans="1:35" ht="14.25" customHeight="1" x14ac:dyDescent="0.2">
      <c r="E12" s="2" t="s">
        <v>113</v>
      </c>
      <c r="K12" s="2" t="s">
        <v>124</v>
      </c>
      <c r="AB12" s="1" t="s">
        <v>163</v>
      </c>
      <c r="AC12" s="1">
        <v>12</v>
      </c>
      <c r="AD12" s="9">
        <v>3945037.7353891199</v>
      </c>
    </row>
    <row r="13" spans="1:35" ht="14.25" customHeight="1" x14ac:dyDescent="0.2">
      <c r="C13" s="3" t="s">
        <v>170</v>
      </c>
      <c r="D13" s="2" t="s">
        <v>199</v>
      </c>
      <c r="E13" s="2"/>
      <c r="L13" s="2"/>
      <c r="R13" s="3" t="s">
        <v>171</v>
      </c>
      <c r="S13" s="1" t="s">
        <v>263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125.23929318695632</v>
      </c>
      <c r="F14" s="6">
        <f t="shared" ref="F14:G14" si="1">MAX(F18:F117)/MIN(F18:F117)</f>
        <v>125.23929318695616</v>
      </c>
      <c r="G14" s="6">
        <f t="shared" si="1"/>
        <v>125.23929318695609</v>
      </c>
      <c r="N14" s="8">
        <f>N16/G18</f>
        <v>17647.058823529413</v>
      </c>
      <c r="O14" s="8">
        <f>N16/O8</f>
        <v>798.47144977671724</v>
      </c>
      <c r="AH14" s="9">
        <f>AH18*0.4</f>
        <v>56.7</v>
      </c>
      <c r="AI14" s="9">
        <f>AI18*1.8</f>
        <v>8096.3855421686767</v>
      </c>
    </row>
    <row r="15" spans="1:35" ht="14.25" customHeight="1" x14ac:dyDescent="0.2">
      <c r="A15" s="1">
        <v>100</v>
      </c>
      <c r="B15" s="1">
        <f t="shared" ref="B15:B16" si="2">VLOOKUP(A15,$D$17:$E$117,2,0)</f>
        <v>918.42148337101298</v>
      </c>
      <c r="C15" s="6">
        <f>B14/B15</f>
        <v>0</v>
      </c>
      <c r="E15" s="6">
        <f>角色设定!F16</f>
        <v>7.333333333333333</v>
      </c>
      <c r="F15" s="6">
        <f>角色设定!G16</f>
        <v>61.666666666666664</v>
      </c>
      <c r="G15" s="6">
        <f>角色设定!H16</f>
        <v>5.666666666666667</v>
      </c>
      <c r="K15" s="1" t="s">
        <v>131</v>
      </c>
      <c r="L15" s="1">
        <v>150</v>
      </c>
      <c r="P15" s="6">
        <f>1-N16/(N16+N117)</f>
        <v>0.51562919097878934</v>
      </c>
      <c r="Q15" s="8">
        <f>L117*(1-P15)</f>
        <v>38924.948730751814</v>
      </c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2"/>
        <v>563.83112097802882</v>
      </c>
      <c r="C16" s="6">
        <f>B15/B16</f>
        <v>1.628894626777442</v>
      </c>
      <c r="E16" s="26">
        <v>1.05</v>
      </c>
      <c r="F16" s="26">
        <v>1.05</v>
      </c>
      <c r="G16" s="26">
        <v>1.05</v>
      </c>
      <c r="L16" s="1">
        <v>0.7</v>
      </c>
      <c r="N16" s="1">
        <v>100000</v>
      </c>
      <c r="T16" s="1">
        <f>T18*H5</f>
        <v>202.5</v>
      </c>
      <c r="U16" s="21">
        <f>U18*F5</f>
        <v>4497.9919678714868</v>
      </c>
      <c r="W16" s="20">
        <f>角色设定!J26</f>
        <v>0.4</v>
      </c>
      <c r="X16" s="20">
        <f>角色设定!K26</f>
        <v>1.5</v>
      </c>
      <c r="AE16" s="22">
        <f>AE117</f>
        <v>3989393.3183928356</v>
      </c>
    </row>
    <row r="17" spans="1:39" ht="14.25" customHeight="1" x14ac:dyDescent="0.2">
      <c r="A17" s="1">
        <v>70</v>
      </c>
      <c r="B17" s="1">
        <f>VLOOKUP(A17,$D$17:$E$117,2,0)</f>
        <v>212.50201961311333</v>
      </c>
      <c r="C17" s="6">
        <f t="shared" ref="C17" si="3">B16/B17</f>
        <v>2.6532977051444231</v>
      </c>
      <c r="D17" s="1" t="s">
        <v>172</v>
      </c>
      <c r="E17" s="1" t="s">
        <v>15</v>
      </c>
      <c r="F17" s="1" t="s">
        <v>16</v>
      </c>
      <c r="G17" s="1" t="s">
        <v>35</v>
      </c>
      <c r="H17" s="1" t="s">
        <v>37</v>
      </c>
      <c r="I17" s="1" t="s">
        <v>89</v>
      </c>
      <c r="J17" s="1" t="s">
        <v>13</v>
      </c>
      <c r="L17" s="1" t="s">
        <v>34</v>
      </c>
      <c r="M17" s="1" t="s">
        <v>36</v>
      </c>
      <c r="N17" s="1" t="s">
        <v>35</v>
      </c>
      <c r="O17" s="1" t="s">
        <v>37</v>
      </c>
      <c r="P17" s="1" t="s">
        <v>89</v>
      </c>
      <c r="Q17" s="1" t="s">
        <v>13</v>
      </c>
      <c r="S17" s="1" t="s">
        <v>172</v>
      </c>
      <c r="T17" s="1" t="s">
        <v>173</v>
      </c>
      <c r="U17" s="1" t="s">
        <v>174</v>
      </c>
      <c r="V17" s="1" t="s">
        <v>145</v>
      </c>
      <c r="W17" s="1" t="s">
        <v>146</v>
      </c>
      <c r="X17" s="1" t="s">
        <v>147</v>
      </c>
      <c r="Y17" s="1" t="s">
        <v>148</v>
      </c>
      <c r="Z17" s="1" t="s">
        <v>176</v>
      </c>
      <c r="AE17" s="1" t="s">
        <v>177</v>
      </c>
      <c r="AF17" s="1" t="s">
        <v>178</v>
      </c>
      <c r="AH17" s="1" t="s">
        <v>179</v>
      </c>
      <c r="AI17" s="1" t="s">
        <v>180</v>
      </c>
      <c r="AJ17" s="1" t="s">
        <v>181</v>
      </c>
    </row>
    <row r="18" spans="1:39" ht="14.25" customHeight="1" x14ac:dyDescent="0.2">
      <c r="A18" s="1">
        <v>50</v>
      </c>
      <c r="B18" s="1">
        <f>VLOOKUP(A18,$D$17:$E$117,2,0)</f>
        <v>80.089776281454434</v>
      </c>
      <c r="C18" s="6">
        <f>B17/B18</f>
        <v>2.6532977051444235</v>
      </c>
      <c r="D18" s="1">
        <v>1</v>
      </c>
      <c r="E18" s="6">
        <f>E15</f>
        <v>7.333333333333333</v>
      </c>
      <c r="F18" s="6">
        <f>F15</f>
        <v>61.666666666666664</v>
      </c>
      <c r="G18" s="6">
        <f>G15</f>
        <v>5.666666666666667</v>
      </c>
      <c r="H18" s="6">
        <v>0.4</v>
      </c>
      <c r="I18" s="6">
        <v>1.5</v>
      </c>
      <c r="J18" s="6">
        <v>1</v>
      </c>
      <c r="K18" s="26">
        <f>M19/M18</f>
        <v>1.0495576975493717</v>
      </c>
      <c r="L18" s="6">
        <f>E18*$L$16/J18/(1+H18*(I18-1))*$L$15</f>
        <v>641.66666666666663</v>
      </c>
      <c r="M18" s="6">
        <f>F18/(1+N18/$N$16)*$L$15</f>
        <v>9172.0376797223598</v>
      </c>
      <c r="N18" s="6">
        <f t="shared" ref="N18:N49" si="4">G18*$L$15</f>
        <v>850</v>
      </c>
      <c r="O18" s="6">
        <f t="shared" ref="O18:O49" si="5">H18</f>
        <v>0.4</v>
      </c>
      <c r="P18" s="6">
        <f t="shared" ref="P18:P49" si="6">I18</f>
        <v>1.5</v>
      </c>
      <c r="Q18" s="6">
        <f t="shared" ref="Q18:Q49" si="7">J18</f>
        <v>1</v>
      </c>
      <c r="R18" s="6"/>
      <c r="S18" s="38">
        <v>1</v>
      </c>
      <c r="T18" s="6">
        <f>VLOOKUP($S$13,角色设定!$AB$9:$AJ$21,MATCH(E$17,角色设定!$AB$9:$AJ$9,0),0)*Z18*$L$15*E18/Y18/(1+W18*(X18-1))</f>
        <v>506.25</v>
      </c>
      <c r="U18" s="6">
        <f>VLOOKUP($S$13,角色设定!$AB$9:$AJ$21,MATCH(F$17,角色设定!$AB$9:$AJ$9,0),0)*F18*$L$15/(1+V18/$N$16)</f>
        <v>16064.25702811245</v>
      </c>
      <c r="V18" s="6">
        <f>VLOOKUP($S$13,角色设定!$AB$9:$AJ$21,MATCH(V$17,角色设定!$AB$9:$AJ$9,0),0)*G18*$L$15</f>
        <v>3749.9999999999995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1</v>
      </c>
      <c r="Z18" s="6">
        <f>VLOOKUP($S$13,角色设定!$AB$9:$AJ$21,MATCH(Z$17,角色设定!$AB$9:$AJ$9,0),0)</f>
        <v>0.9</v>
      </c>
      <c r="AA18" s="6"/>
      <c r="AB18" s="6"/>
      <c r="AC18" s="6">
        <f>T18*战斗公式!$E$39*(1+W18*(X18-1))*Y18</f>
        <v>15187.5</v>
      </c>
      <c r="AD18" s="6">
        <f>U18*战斗公式!$E$41*(1+V18*战斗公式!$E$40)</f>
        <v>16666.666666666668</v>
      </c>
      <c r="AE18" s="22">
        <f>AC18+AD18</f>
        <v>31854.166666666668</v>
      </c>
      <c r="AH18" s="9">
        <f>T18*$F$5</f>
        <v>141.75</v>
      </c>
      <c r="AI18" s="9">
        <f>U18*$F$5</f>
        <v>4497.9919678714868</v>
      </c>
      <c r="AJ18" s="9">
        <f>V18*$F$5</f>
        <v>1050</v>
      </c>
    </row>
    <row r="19" spans="1:39" ht="14.25" customHeight="1" x14ac:dyDescent="0.2">
      <c r="A19" s="1">
        <v>30</v>
      </c>
      <c r="B19" s="1">
        <f>VLOOKUP(A19,$D$17:$E$117,2,0)</f>
        <v>30.184994366131647</v>
      </c>
      <c r="C19" s="6">
        <f>B18/B19</f>
        <v>2.6532977051444231</v>
      </c>
      <c r="D19" s="1">
        <v>2</v>
      </c>
      <c r="E19" s="6">
        <f>E18*E$16</f>
        <v>7.7</v>
      </c>
      <c r="F19" s="6">
        <f t="shared" ref="F19:G19" si="8">F18*F$16</f>
        <v>64.75</v>
      </c>
      <c r="G19" s="6">
        <f t="shared" si="8"/>
        <v>5.95</v>
      </c>
      <c r="H19" s="6">
        <v>0.4</v>
      </c>
      <c r="I19" s="6">
        <v>1.5</v>
      </c>
      <c r="J19" s="6">
        <v>1</v>
      </c>
      <c r="K19" s="26">
        <f t="shared" ref="K19:K82" si="9">M20/M19</f>
        <v>1.0495357877490565</v>
      </c>
      <c r="L19" s="6">
        <f t="shared" ref="L19:L49" si="10">E19*$L$16/J19/(1+H19*(I19-1))*$L$15</f>
        <v>673.74999999999989</v>
      </c>
      <c r="M19" s="6">
        <f t="shared" ref="M19:M49" si="11">F19/(1+N19/$N$16)*$L$15</f>
        <v>9626.5827489654821</v>
      </c>
      <c r="N19" s="6">
        <f t="shared" si="4"/>
        <v>892.5</v>
      </c>
      <c r="O19" s="6">
        <f t="shared" si="5"/>
        <v>0.4</v>
      </c>
      <c r="P19" s="6">
        <f t="shared" si="6"/>
        <v>1.5</v>
      </c>
      <c r="Q19" s="6">
        <f t="shared" si="7"/>
        <v>1</v>
      </c>
      <c r="R19" s="6"/>
      <c r="S19" s="38">
        <v>2</v>
      </c>
      <c r="T19" s="6">
        <f>VLOOKUP($S$13,角色设定!$AB$9:$AJ$21,MATCH(E$17,角色设定!$AB$9:$AJ$9,0),0)*Z19*$L$15*E19/Y19/(1+W19*(X19-1))</f>
        <v>531.5625</v>
      </c>
      <c r="U19" s="6">
        <f>VLOOKUP($S$13,角色设定!$AB$9:$AJ$21,MATCH(F$17,角色设定!$AB$9:$AJ$9,0),0)*F19*$L$15/(1+V19/$N$16)</f>
        <v>16837.041491280819</v>
      </c>
      <c r="V19" s="6">
        <f>VLOOKUP($S$13,角色设定!$AB$9:$AJ$21,MATCH(V$17,角色设定!$AB$9:$AJ$9,0),0)*G19*$L$15</f>
        <v>3937.4999999999995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1</v>
      </c>
      <c r="Z19" s="6">
        <f>VLOOKUP($S$13,角色设定!$AB$9:$AJ$21,MATCH(Z$17,角色设定!$AB$9:$AJ$9,0),0)</f>
        <v>0.9</v>
      </c>
      <c r="AA19" s="6"/>
      <c r="AB19" s="6"/>
      <c r="AC19" s="6">
        <f>T19*战斗公式!$E$39*(1+W19*(X19-1))*Y19</f>
        <v>15946.875</v>
      </c>
      <c r="AD19" s="6">
        <f>U19*战斗公式!$E$41*(1+V19*战斗公式!$E$40)</f>
        <v>17500</v>
      </c>
      <c r="AE19" s="22">
        <f t="shared" ref="AE19:AE82" si="12">AC19+AD19</f>
        <v>33446.875</v>
      </c>
      <c r="AF19" s="22">
        <f>AE19-AE18</f>
        <v>1592.7083333333321</v>
      </c>
      <c r="AG19" s="22"/>
      <c r="AH19" s="9">
        <f t="shared" ref="AH19:AH82" si="13">T19*$F$5</f>
        <v>148.83750000000001</v>
      </c>
      <c r="AI19" s="9">
        <f t="shared" ref="AI19:AI82" si="14">U19*$F$5</f>
        <v>4714.3716175586296</v>
      </c>
      <c r="AJ19" s="9">
        <f t="shared" ref="AJ19:AJ82" si="15">V19*$F$5</f>
        <v>1102.5</v>
      </c>
      <c r="AK19" s="9">
        <f>AH19-AH18</f>
        <v>7.0875000000000057</v>
      </c>
      <c r="AL19" s="9">
        <f>AI19-AI18</f>
        <v>216.37964968714277</v>
      </c>
      <c r="AM19" s="9">
        <f>AJ19-AJ18</f>
        <v>52.5</v>
      </c>
    </row>
    <row r="20" spans="1:39" ht="14.25" customHeight="1" x14ac:dyDescent="0.2">
      <c r="A20" s="1">
        <v>1</v>
      </c>
      <c r="B20" s="1">
        <f>VLOOKUP(A20,$D$17:$E$117,2,0)</f>
        <v>7.333333333333333</v>
      </c>
      <c r="C20" s="6">
        <f>B19/B20</f>
        <v>4.1161355953815884</v>
      </c>
      <c r="D20" s="1">
        <v>3</v>
      </c>
      <c r="E20" s="6">
        <f t="shared" ref="E20:E83" si="16">E19*E$16</f>
        <v>8.0850000000000009</v>
      </c>
      <c r="F20" s="6">
        <f t="shared" ref="F20:F83" si="17">F19*F$16</f>
        <v>67.987499999999997</v>
      </c>
      <c r="G20" s="6">
        <f t="shared" ref="G20:G83" si="18">G19*G$16</f>
        <v>6.2475000000000005</v>
      </c>
      <c r="H20" s="6">
        <v>0.4</v>
      </c>
      <c r="I20" s="6">
        <v>1.5</v>
      </c>
      <c r="J20" s="6">
        <v>1</v>
      </c>
      <c r="K20" s="26">
        <f t="shared" si="9"/>
        <v>1.0495128032991867</v>
      </c>
      <c r="L20" s="6">
        <f t="shared" si="10"/>
        <v>707.43750000000011</v>
      </c>
      <c r="M20" s="6">
        <f t="shared" si="11"/>
        <v>10103.443108766965</v>
      </c>
      <c r="N20" s="6">
        <f t="shared" si="4"/>
        <v>937.12500000000011</v>
      </c>
      <c r="O20" s="6">
        <f t="shared" si="5"/>
        <v>0.4</v>
      </c>
      <c r="P20" s="6">
        <f t="shared" si="6"/>
        <v>1.5</v>
      </c>
      <c r="Q20" s="6">
        <f t="shared" si="7"/>
        <v>1</v>
      </c>
      <c r="R20" s="6"/>
      <c r="S20" s="38">
        <v>3</v>
      </c>
      <c r="T20" s="6">
        <f>VLOOKUP($S$13,角色设定!$AB$9:$AJ$21,MATCH(E$17,角色设定!$AB$9:$AJ$9,0),0)*Z20*$L$15*E20/Y20/(1+W20*(X20-1))</f>
        <v>558.14062500000011</v>
      </c>
      <c r="U20" s="6">
        <f>VLOOKUP($S$13,角色设定!$AB$9:$AJ$21,MATCH(F$17,角色设定!$AB$9:$AJ$9,0),0)*F20*$L$15/(1+V20/$N$16)</f>
        <v>17645.470095729677</v>
      </c>
      <c r="V20" s="6">
        <f>VLOOKUP($S$13,角色设定!$AB$9:$AJ$21,MATCH(V$17,角色设定!$AB$9:$AJ$9,0),0)*G20*$L$15</f>
        <v>4134.375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1</v>
      </c>
      <c r="Z20" s="6">
        <f>VLOOKUP($S$13,角色设定!$AB$9:$AJ$21,MATCH(Z$17,角色设定!$AB$9:$AJ$9,0),0)</f>
        <v>0.9</v>
      </c>
      <c r="AA20" s="6"/>
      <c r="AB20" s="6"/>
      <c r="AC20" s="6">
        <f>T20*战斗公式!$E$39*(1+W20*(X20-1))*Y20</f>
        <v>16744.218750000004</v>
      </c>
      <c r="AD20" s="6">
        <f>U20*战斗公式!$E$41*(1+V20*战斗公式!$E$40)</f>
        <v>18375</v>
      </c>
      <c r="AE20" s="22">
        <f t="shared" si="12"/>
        <v>35119.21875</v>
      </c>
      <c r="AF20" s="22">
        <f t="shared" ref="AF20:AF83" si="19">AE20-AE19</f>
        <v>1672.34375</v>
      </c>
      <c r="AG20" s="22"/>
      <c r="AH20" s="9">
        <f t="shared" si="13"/>
        <v>156.27937500000004</v>
      </c>
      <c r="AI20" s="9">
        <f t="shared" si="14"/>
        <v>4940.7316268043105</v>
      </c>
      <c r="AJ20" s="9">
        <f t="shared" si="15"/>
        <v>1157.625</v>
      </c>
      <c r="AK20" s="9">
        <f t="shared" ref="AK20:AK83" si="20">AH20-AH19</f>
        <v>7.4418750000000387</v>
      </c>
      <c r="AL20" s="9">
        <f t="shared" ref="AL20:AL83" si="21">AI20-AI19</f>
        <v>226.36000924568089</v>
      </c>
      <c r="AM20" s="9">
        <f t="shared" ref="AM20:AM83" si="22">AJ20-AJ19</f>
        <v>55.125</v>
      </c>
    </row>
    <row r="21" spans="1:39" ht="14.25" customHeight="1" x14ac:dyDescent="0.2">
      <c r="B21" s="6">
        <f>B18/B19</f>
        <v>2.6532977051444231</v>
      </c>
      <c r="D21" s="1">
        <v>4</v>
      </c>
      <c r="E21" s="6">
        <f t="shared" si="16"/>
        <v>8.489250000000002</v>
      </c>
      <c r="F21" s="6">
        <f t="shared" si="17"/>
        <v>71.386875000000003</v>
      </c>
      <c r="G21" s="6">
        <f t="shared" si="18"/>
        <v>6.5598750000000008</v>
      </c>
      <c r="H21" s="6">
        <v>0.4</v>
      </c>
      <c r="I21" s="6">
        <v>1.5</v>
      </c>
      <c r="J21" s="6">
        <v>1</v>
      </c>
      <c r="K21" s="26">
        <f t="shared" si="9"/>
        <v>1.0494886925714384</v>
      </c>
      <c r="L21" s="6">
        <f t="shared" si="10"/>
        <v>742.80937500000016</v>
      </c>
      <c r="M21" s="6">
        <f t="shared" si="11"/>
        <v>10603.692900055868</v>
      </c>
      <c r="N21" s="6">
        <f t="shared" si="4"/>
        <v>983.98125000000016</v>
      </c>
      <c r="O21" s="6">
        <f t="shared" si="5"/>
        <v>0.4</v>
      </c>
      <c r="P21" s="6">
        <f t="shared" si="6"/>
        <v>1.5</v>
      </c>
      <c r="Q21" s="6">
        <f t="shared" si="7"/>
        <v>1</v>
      </c>
      <c r="R21" s="6"/>
      <c r="S21" s="38">
        <v>4</v>
      </c>
      <c r="T21" s="6">
        <f>VLOOKUP($S$13,角色设定!$AB$9:$AJ$21,MATCH(E$17,角色设定!$AB$9:$AJ$9,0),0)*Z21*$L$15*E21/Y21/(1+W21*(X21-1))</f>
        <v>586.04765625000016</v>
      </c>
      <c r="U21" s="6">
        <f>VLOOKUP($S$13,角色设定!$AB$9:$AJ$21,MATCH(F$17,角色设定!$AB$9:$AJ$9,0),0)*F21*$L$15/(1+V21/$N$16)</f>
        <v>18491.036758947143</v>
      </c>
      <c r="V21" s="6">
        <f>VLOOKUP($S$13,角色设定!$AB$9:$AJ$21,MATCH(V$17,角色设定!$AB$9:$AJ$9,0),0)*G21*$L$15</f>
        <v>4341.09375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1</v>
      </c>
      <c r="Z21" s="6">
        <f>VLOOKUP($S$13,角色设定!$AB$9:$AJ$21,MATCH(Z$17,角色设定!$AB$9:$AJ$9,0),0)</f>
        <v>0.9</v>
      </c>
      <c r="AA21" s="6"/>
      <c r="AB21" s="6"/>
      <c r="AC21" s="6">
        <f>T21*战斗公式!$E$39*(1+W21*(X21-1))*Y21</f>
        <v>17581.429687500004</v>
      </c>
      <c r="AD21" s="6">
        <f>U21*战斗公式!$E$41*(1+V21*战斗公式!$E$40)</f>
        <v>19293.75</v>
      </c>
      <c r="AE21" s="22">
        <f t="shared" si="12"/>
        <v>36875.1796875</v>
      </c>
      <c r="AF21" s="22">
        <f t="shared" si="19"/>
        <v>1755.9609375</v>
      </c>
      <c r="AG21" s="22"/>
      <c r="AH21" s="9">
        <f t="shared" si="13"/>
        <v>164.09334375000006</v>
      </c>
      <c r="AI21" s="9">
        <f t="shared" si="14"/>
        <v>5177.4902925052002</v>
      </c>
      <c r="AJ21" s="9">
        <f t="shared" si="15"/>
        <v>1215.5062500000001</v>
      </c>
      <c r="AK21" s="9">
        <f t="shared" si="20"/>
        <v>7.813968750000015</v>
      </c>
      <c r="AL21" s="9">
        <f t="shared" si="21"/>
        <v>236.75866570088965</v>
      </c>
      <c r="AM21" s="9">
        <f t="shared" si="22"/>
        <v>57.881250000000136</v>
      </c>
    </row>
    <row r="22" spans="1:39" ht="14.25" customHeight="1" x14ac:dyDescent="0.2">
      <c r="B22" s="6">
        <f>B18/B20</f>
        <v>10.921333129289241</v>
      </c>
      <c r="C22" s="6">
        <f>B17/B20</f>
        <v>28.97754812906091</v>
      </c>
      <c r="D22" s="1">
        <v>5</v>
      </c>
      <c r="E22" s="6">
        <f t="shared" si="16"/>
        <v>8.9137125000000026</v>
      </c>
      <c r="F22" s="6">
        <f t="shared" si="17"/>
        <v>74.956218750000005</v>
      </c>
      <c r="G22" s="6">
        <f t="shared" si="18"/>
        <v>6.8878687500000009</v>
      </c>
      <c r="H22" s="6">
        <v>0.4</v>
      </c>
      <c r="I22" s="6">
        <v>1.5</v>
      </c>
      <c r="J22" s="6">
        <v>1</v>
      </c>
      <c r="K22" s="26">
        <f t="shared" si="9"/>
        <v>1.0494634015667754</v>
      </c>
      <c r="L22" s="6">
        <f t="shared" si="10"/>
        <v>779.94984375000024</v>
      </c>
      <c r="M22" s="6">
        <f t="shared" si="11"/>
        <v>11128.455798108676</v>
      </c>
      <c r="N22" s="6">
        <f t="shared" si="4"/>
        <v>1033.1803125000001</v>
      </c>
      <c r="O22" s="6">
        <f t="shared" si="5"/>
        <v>0.4</v>
      </c>
      <c r="P22" s="6">
        <f t="shared" si="6"/>
        <v>1.5</v>
      </c>
      <c r="Q22" s="6">
        <f t="shared" si="7"/>
        <v>1</v>
      </c>
      <c r="R22" s="6"/>
      <c r="S22" s="38">
        <v>5</v>
      </c>
      <c r="T22" s="6">
        <f>VLOOKUP($S$13,角色设定!$AB$9:$AJ$21,MATCH(E$17,角色设定!$AB$9:$AJ$9,0),0)*Z22*$L$15*E22/Y22/(1+W22*(X22-1))</f>
        <v>615.35003906250029</v>
      </c>
      <c r="U22" s="6">
        <f>VLOOKUP($S$13,角色设定!$AB$9:$AJ$21,MATCH(F$17,角色设定!$AB$9:$AJ$9,0),0)*F22*$L$15/(1+V22/$N$16)</f>
        <v>19375.283325822809</v>
      </c>
      <c r="V22" s="6">
        <f>VLOOKUP($S$13,角色设定!$AB$9:$AJ$21,MATCH(V$17,角色设定!$AB$9:$AJ$9,0),0)*G22*$L$15</f>
        <v>4558.1484375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1</v>
      </c>
      <c r="Z22" s="6">
        <f>VLOOKUP($S$13,角色设定!$AB$9:$AJ$21,MATCH(Z$17,角色设定!$AB$9:$AJ$9,0),0)</f>
        <v>0.9</v>
      </c>
      <c r="AA22" s="6"/>
      <c r="AB22" s="6"/>
      <c r="AC22" s="6">
        <f>T22*战斗公式!$E$39*(1+W22*(X22-1))*Y22</f>
        <v>18460.501171875007</v>
      </c>
      <c r="AD22" s="6">
        <f>U22*战斗公式!$E$41*(1+V22*战斗公式!$E$40)</f>
        <v>20258.4375</v>
      </c>
      <c r="AE22" s="22">
        <f t="shared" si="12"/>
        <v>38718.938671875003</v>
      </c>
      <c r="AF22" s="22">
        <f t="shared" si="19"/>
        <v>1843.7589843750029</v>
      </c>
      <c r="AG22" s="22"/>
      <c r="AH22" s="9">
        <f t="shared" si="13"/>
        <v>172.29801093750009</v>
      </c>
      <c r="AI22" s="9">
        <f t="shared" si="14"/>
        <v>5425.0793312303867</v>
      </c>
      <c r="AJ22" s="9">
        <f t="shared" si="15"/>
        <v>1276.2815625000001</v>
      </c>
      <c r="AK22" s="9">
        <f t="shared" si="20"/>
        <v>8.2046671875000357</v>
      </c>
      <c r="AL22" s="9">
        <f t="shared" si="21"/>
        <v>247.58903872518658</v>
      </c>
      <c r="AM22" s="9">
        <f t="shared" si="22"/>
        <v>60.775312499999927</v>
      </c>
    </row>
    <row r="23" spans="1:39" ht="14.25" customHeight="1" x14ac:dyDescent="0.2">
      <c r="C23" s="6"/>
      <c r="D23" s="1">
        <v>6</v>
      </c>
      <c r="E23" s="6">
        <f t="shared" si="16"/>
        <v>9.3593981250000038</v>
      </c>
      <c r="F23" s="6">
        <f t="shared" si="17"/>
        <v>78.704029687500011</v>
      </c>
      <c r="G23" s="6">
        <f t="shared" si="18"/>
        <v>7.2322621875000008</v>
      </c>
      <c r="H23" s="6">
        <v>0.4</v>
      </c>
      <c r="I23" s="6">
        <v>1.5</v>
      </c>
      <c r="J23" s="6">
        <v>1</v>
      </c>
      <c r="K23" s="26">
        <f t="shared" si="9"/>
        <v>1.0494368738177411</v>
      </c>
      <c r="L23" s="6">
        <f t="shared" si="10"/>
        <v>818.94733593750027</v>
      </c>
      <c r="M23" s="6">
        <f t="shared" si="11"/>
        <v>11678.907076068637</v>
      </c>
      <c r="N23" s="6">
        <f t="shared" si="4"/>
        <v>1084.8393281250001</v>
      </c>
      <c r="O23" s="6">
        <f t="shared" si="5"/>
        <v>0.4</v>
      </c>
      <c r="P23" s="6">
        <f t="shared" si="6"/>
        <v>1.5</v>
      </c>
      <c r="Q23" s="6">
        <f t="shared" si="7"/>
        <v>1</v>
      </c>
      <c r="R23" s="6"/>
      <c r="S23" s="38">
        <v>6</v>
      </c>
      <c r="T23" s="6">
        <f>VLOOKUP($S$13,角色设定!$AB$9:$AJ$21,MATCH(E$17,角色设定!$AB$9:$AJ$9,0),0)*Z23*$L$15*E23/Y23/(1+W23*(X23-1))</f>
        <v>646.11754101562531</v>
      </c>
      <c r="U23" s="6">
        <f>VLOOKUP($S$13,角色设定!$AB$9:$AJ$21,MATCH(F$17,角色设定!$AB$9:$AJ$9,0),0)*F23*$L$15/(1+V23/$N$16)</f>
        <v>20299.799625578613</v>
      </c>
      <c r="V23" s="6">
        <f>VLOOKUP($S$13,角色设定!$AB$9:$AJ$21,MATCH(V$17,角色设定!$AB$9:$AJ$9,0),0)*G23*$L$15</f>
        <v>4786.0558593750002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1</v>
      </c>
      <c r="Z23" s="6">
        <f>VLOOKUP($S$13,角色设定!$AB$9:$AJ$21,MATCH(Z$17,角色设定!$AB$9:$AJ$9,0),0)</f>
        <v>0.9</v>
      </c>
      <c r="AA23" s="6"/>
      <c r="AB23" s="6"/>
      <c r="AC23" s="6">
        <f>T23*战斗公式!$E$39*(1+W23*(X23-1))*Y23</f>
        <v>19383.52623046876</v>
      </c>
      <c r="AD23" s="6">
        <f>U23*战斗公式!$E$41*(1+V23*战斗公式!$E$40)</f>
        <v>21271.359375</v>
      </c>
      <c r="AE23" s="22">
        <f t="shared" si="12"/>
        <v>40654.885605468764</v>
      </c>
      <c r="AF23" s="22">
        <f t="shared" si="19"/>
        <v>1935.9469335937611</v>
      </c>
      <c r="AG23" s="22"/>
      <c r="AH23" s="9">
        <f t="shared" si="13"/>
        <v>180.91291148437512</v>
      </c>
      <c r="AI23" s="9">
        <f t="shared" si="14"/>
        <v>5683.9438951620123</v>
      </c>
      <c r="AJ23" s="9">
        <f t="shared" si="15"/>
        <v>1340.0956406250002</v>
      </c>
      <c r="AK23" s="9">
        <f t="shared" si="20"/>
        <v>8.6149005468750204</v>
      </c>
      <c r="AL23" s="9">
        <f t="shared" si="21"/>
        <v>258.86456393162553</v>
      </c>
      <c r="AM23" s="9">
        <f t="shared" si="22"/>
        <v>63.814078125000151</v>
      </c>
    </row>
    <row r="24" spans="1:39" ht="14.25" customHeight="1" x14ac:dyDescent="0.2">
      <c r="D24" s="1">
        <v>7</v>
      </c>
      <c r="E24" s="6">
        <f t="shared" si="16"/>
        <v>9.8273680312500051</v>
      </c>
      <c r="F24" s="6">
        <f t="shared" si="17"/>
        <v>82.639231171875011</v>
      </c>
      <c r="G24" s="6">
        <f t="shared" si="18"/>
        <v>7.5938752968750016</v>
      </c>
      <c r="H24" s="6">
        <v>0.4</v>
      </c>
      <c r="I24" s="6">
        <v>1.5</v>
      </c>
      <c r="J24" s="6">
        <v>1</v>
      </c>
      <c r="K24" s="26">
        <f t="shared" si="9"/>
        <v>1.0494090502878834</v>
      </c>
      <c r="L24" s="6">
        <f t="shared" si="10"/>
        <v>859.89470273437541</v>
      </c>
      <c r="M24" s="6">
        <f t="shared" si="11"/>
        <v>12256.275731517366</v>
      </c>
      <c r="N24" s="6">
        <f t="shared" si="4"/>
        <v>1139.0812945312503</v>
      </c>
      <c r="O24" s="6">
        <f t="shared" si="5"/>
        <v>0.4</v>
      </c>
      <c r="P24" s="6">
        <f t="shared" si="6"/>
        <v>1.5</v>
      </c>
      <c r="Q24" s="6">
        <f t="shared" si="7"/>
        <v>1</v>
      </c>
      <c r="R24" s="6"/>
      <c r="S24" s="38">
        <v>7</v>
      </c>
      <c r="T24" s="6">
        <f>VLOOKUP($S$13,角色设定!$AB$9:$AJ$21,MATCH(E$17,角色设定!$AB$9:$AJ$9,0),0)*Z24*$L$15*E24/Y24/(1+W24*(X24-1))</f>
        <v>678.42341806640661</v>
      </c>
      <c r="U24" s="6">
        <f>VLOOKUP($S$13,角色设定!$AB$9:$AJ$21,MATCH(F$17,角色设定!$AB$9:$AJ$9,0),0)*F24*$L$15/(1+V24/$N$16)</f>
        <v>21266.223348670825</v>
      </c>
      <c r="V24" s="6">
        <f>VLOOKUP($S$13,角色设定!$AB$9:$AJ$21,MATCH(V$17,角色设定!$AB$9:$AJ$9,0),0)*G24*$L$15</f>
        <v>5025.3586523437498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1</v>
      </c>
      <c r="Z24" s="6">
        <f>VLOOKUP($S$13,角色设定!$AB$9:$AJ$21,MATCH(Z$17,角色设定!$AB$9:$AJ$9,0),0)</f>
        <v>0.9</v>
      </c>
      <c r="AA24" s="6"/>
      <c r="AB24" s="6"/>
      <c r="AC24" s="6">
        <f>T24*战斗公式!$E$39*(1+W24*(X24-1))*Y24</f>
        <v>20352.702541992196</v>
      </c>
      <c r="AD24" s="6">
        <f>U24*战斗公式!$E$41*(1+V24*战斗公式!$E$40)</f>
        <v>22334.927343750001</v>
      </c>
      <c r="AE24" s="22">
        <f t="shared" si="12"/>
        <v>42687.629885742193</v>
      </c>
      <c r="AF24" s="22">
        <f t="shared" si="19"/>
        <v>2032.7442802734295</v>
      </c>
      <c r="AG24" s="22"/>
      <c r="AH24" s="9">
        <f t="shared" si="13"/>
        <v>189.95855705859387</v>
      </c>
      <c r="AI24" s="9">
        <f t="shared" si="14"/>
        <v>5954.5425376278317</v>
      </c>
      <c r="AJ24" s="9">
        <f t="shared" si="15"/>
        <v>1407.10042265625</v>
      </c>
      <c r="AK24" s="9">
        <f t="shared" si="20"/>
        <v>9.0456455742187529</v>
      </c>
      <c r="AL24" s="9">
        <f t="shared" si="21"/>
        <v>270.59864246581947</v>
      </c>
      <c r="AM24" s="9">
        <f t="shared" si="22"/>
        <v>67.004782031249761</v>
      </c>
    </row>
    <row r="25" spans="1:39" ht="14.25" customHeight="1" x14ac:dyDescent="0.2">
      <c r="B25" s="33"/>
      <c r="C25" s="6"/>
      <c r="D25" s="1">
        <v>8</v>
      </c>
      <c r="E25" s="6">
        <f t="shared" si="16"/>
        <v>10.318736432812505</v>
      </c>
      <c r="F25" s="6">
        <f t="shared" si="17"/>
        <v>86.771192730468769</v>
      </c>
      <c r="G25" s="6">
        <f t="shared" si="18"/>
        <v>7.9735690617187522</v>
      </c>
      <c r="H25" s="6">
        <v>0.4</v>
      </c>
      <c r="I25" s="6">
        <v>1.5</v>
      </c>
      <c r="J25" s="6">
        <v>1</v>
      </c>
      <c r="K25" s="26">
        <f t="shared" si="9"/>
        <v>1.0493798692683549</v>
      </c>
      <c r="L25" s="6">
        <f t="shared" si="10"/>
        <v>902.88943787109417</v>
      </c>
      <c r="M25" s="6">
        <f t="shared" si="11"/>
        <v>12861.846675478073</v>
      </c>
      <c r="N25" s="6">
        <f t="shared" si="4"/>
        <v>1196.0353592578128</v>
      </c>
      <c r="O25" s="6">
        <f t="shared" si="5"/>
        <v>0.4</v>
      </c>
      <c r="P25" s="6">
        <f t="shared" si="6"/>
        <v>1.5</v>
      </c>
      <c r="Q25" s="6">
        <f t="shared" si="7"/>
        <v>1</v>
      </c>
      <c r="R25" s="6"/>
      <c r="S25" s="38">
        <v>8</v>
      </c>
      <c r="T25" s="6">
        <f>VLOOKUP($S$13,角色设定!$AB$9:$AJ$21,MATCH(E$17,角色设定!$AB$9:$AJ$9,0),0)*Z25*$L$15*E25/Y25/(1+W25*(X25-1))</f>
        <v>712.34458896972694</v>
      </c>
      <c r="U25" s="6">
        <f>VLOOKUP($S$13,角色设定!$AB$9:$AJ$21,MATCH(F$17,角色设定!$AB$9:$AJ$9,0),0)*F25*$L$15/(1+V25/$N$16)</f>
        <v>22276.239723554783</v>
      </c>
      <c r="V25" s="6">
        <f>VLOOKUP($S$13,角色设定!$AB$9:$AJ$21,MATCH(V$17,角色设定!$AB$9:$AJ$9,0),0)*G25*$L$15</f>
        <v>5276.6265849609381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1</v>
      </c>
      <c r="Z25" s="6">
        <f>VLOOKUP($S$13,角色设定!$AB$9:$AJ$21,MATCH(Z$17,角色设定!$AB$9:$AJ$9,0),0)</f>
        <v>0.9</v>
      </c>
      <c r="AA25" s="6"/>
      <c r="AB25" s="6"/>
      <c r="AC25" s="6">
        <f>T25*战斗公式!$E$39*(1+W25*(X25-1))*Y25</f>
        <v>21370.337669091805</v>
      </c>
      <c r="AD25" s="6">
        <f>U25*战斗公式!$E$41*(1+V25*战斗公式!$E$40)</f>
        <v>23451.673710937503</v>
      </c>
      <c r="AE25" s="22">
        <f t="shared" si="12"/>
        <v>44822.011380029304</v>
      </c>
      <c r="AF25" s="22">
        <f t="shared" si="19"/>
        <v>2134.3814942871104</v>
      </c>
      <c r="AG25" s="22"/>
      <c r="AH25" s="9">
        <f t="shared" si="13"/>
        <v>199.45648491152357</v>
      </c>
      <c r="AI25" s="9">
        <f t="shared" si="14"/>
        <v>6237.3471225953399</v>
      </c>
      <c r="AJ25" s="9">
        <f t="shared" si="15"/>
        <v>1477.4554437890629</v>
      </c>
      <c r="AK25" s="9">
        <f t="shared" si="20"/>
        <v>9.4979278529297062</v>
      </c>
      <c r="AL25" s="9">
        <f t="shared" si="21"/>
        <v>282.80458496750816</v>
      </c>
      <c r="AM25" s="9">
        <f t="shared" si="22"/>
        <v>70.355021132812908</v>
      </c>
    </row>
    <row r="26" spans="1:39" ht="14.25" customHeight="1" x14ac:dyDescent="0.2">
      <c r="B26" s="33"/>
      <c r="C26" s="6"/>
      <c r="D26" s="1">
        <v>9</v>
      </c>
      <c r="E26" s="6">
        <f t="shared" si="16"/>
        <v>10.834673254453131</v>
      </c>
      <c r="F26" s="6">
        <f t="shared" si="17"/>
        <v>91.109752366992211</v>
      </c>
      <c r="G26" s="6">
        <f t="shared" si="18"/>
        <v>8.3722475148046893</v>
      </c>
      <c r="H26" s="6">
        <v>0.4</v>
      </c>
      <c r="I26" s="6">
        <v>1.5</v>
      </c>
      <c r="J26" s="6">
        <v>1</v>
      </c>
      <c r="K26" s="26">
        <f t="shared" si="9"/>
        <v>1.0493492662717556</v>
      </c>
      <c r="L26" s="6">
        <f t="shared" si="10"/>
        <v>948.03390976464891</v>
      </c>
      <c r="M26" s="6">
        <f t="shared" si="11"/>
        <v>13496.962982862806</v>
      </c>
      <c r="N26" s="6">
        <f t="shared" si="4"/>
        <v>1255.8371272207035</v>
      </c>
      <c r="O26" s="6">
        <f t="shared" si="5"/>
        <v>0.4</v>
      </c>
      <c r="P26" s="6">
        <f t="shared" si="6"/>
        <v>1.5</v>
      </c>
      <c r="Q26" s="6">
        <f t="shared" si="7"/>
        <v>1</v>
      </c>
      <c r="R26" s="6"/>
      <c r="S26" s="38">
        <v>9</v>
      </c>
      <c r="T26" s="6">
        <f>VLOOKUP($S$13,角色设定!$AB$9:$AJ$21,MATCH(E$17,角色设定!$AB$9:$AJ$9,0),0)*Z26*$L$15*E26/Y26/(1+W26*(X26-1))</f>
        <v>747.9618184182134</v>
      </c>
      <c r="U26" s="6">
        <f>VLOOKUP($S$13,角色设定!$AB$9:$AJ$21,MATCH(F$17,角色设定!$AB$9:$AJ$9,0),0)*F26*$L$15/(1+V26/$N$16)</f>
        <v>23331.580972010543</v>
      </c>
      <c r="V26" s="6">
        <f>VLOOKUP($S$13,角色设定!$AB$9:$AJ$21,MATCH(V$17,角色设定!$AB$9:$AJ$9,0),0)*G26*$L$15</f>
        <v>5540.4579142089851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1</v>
      </c>
      <c r="Z26" s="6">
        <f>VLOOKUP($S$13,角色设定!$AB$9:$AJ$21,MATCH(Z$17,角色设定!$AB$9:$AJ$9,0),0)</f>
        <v>0.9</v>
      </c>
      <c r="AA26" s="6"/>
      <c r="AB26" s="6"/>
      <c r="AC26" s="6">
        <f>T26*战斗公式!$E$39*(1+W26*(X26-1))*Y26</f>
        <v>22438.8545525464</v>
      </c>
      <c r="AD26" s="6">
        <f>U26*战斗公式!$E$41*(1+V26*战斗公式!$E$40)</f>
        <v>24624.25739648438</v>
      </c>
      <c r="AE26" s="22">
        <f t="shared" si="12"/>
        <v>47063.111949030776</v>
      </c>
      <c r="AF26" s="22">
        <f t="shared" si="19"/>
        <v>2241.1005690014717</v>
      </c>
      <c r="AG26" s="22"/>
      <c r="AH26" s="9">
        <f t="shared" si="13"/>
        <v>209.42930915709977</v>
      </c>
      <c r="AI26" s="9">
        <f t="shared" si="14"/>
        <v>6532.8426721629521</v>
      </c>
      <c r="AJ26" s="9">
        <f t="shared" si="15"/>
        <v>1551.328215978516</v>
      </c>
      <c r="AK26" s="9">
        <f t="shared" si="20"/>
        <v>9.9728242455761915</v>
      </c>
      <c r="AL26" s="9">
        <f t="shared" si="21"/>
        <v>295.49554956761222</v>
      </c>
      <c r="AM26" s="9">
        <f t="shared" si="22"/>
        <v>73.872772189453144</v>
      </c>
    </row>
    <row r="27" spans="1:39" ht="14.25" customHeight="1" x14ac:dyDescent="0.2">
      <c r="B27" s="33"/>
      <c r="C27" s="6"/>
      <c r="D27" s="1">
        <v>10</v>
      </c>
      <c r="E27" s="6">
        <f t="shared" si="16"/>
        <v>11.376406917175789</v>
      </c>
      <c r="F27" s="6">
        <f t="shared" si="17"/>
        <v>95.665239985341827</v>
      </c>
      <c r="G27" s="6">
        <f t="shared" si="18"/>
        <v>8.7908598905449242</v>
      </c>
      <c r="H27" s="6">
        <v>0.4</v>
      </c>
      <c r="I27" s="6">
        <v>1.5</v>
      </c>
      <c r="J27" s="6">
        <v>1</v>
      </c>
      <c r="K27" s="26">
        <f t="shared" si="9"/>
        <v>1.0493171739233023</v>
      </c>
      <c r="L27" s="6">
        <f t="shared" si="10"/>
        <v>995.43560525288149</v>
      </c>
      <c r="M27" s="6">
        <f t="shared" si="11"/>
        <v>14163.028202964131</v>
      </c>
      <c r="N27" s="6">
        <f t="shared" si="4"/>
        <v>1318.6289835817386</v>
      </c>
      <c r="O27" s="6">
        <f t="shared" si="5"/>
        <v>0.4</v>
      </c>
      <c r="P27" s="6">
        <f t="shared" si="6"/>
        <v>1.5</v>
      </c>
      <c r="Q27" s="6">
        <f t="shared" si="7"/>
        <v>1</v>
      </c>
      <c r="R27" s="6"/>
      <c r="S27" s="38">
        <v>10</v>
      </c>
      <c r="T27" s="6">
        <f>VLOOKUP($S$13,角色设定!$AB$9:$AJ$21,MATCH(E$17,角色设定!$AB$9:$AJ$9,0),0)*Z27*$L$15*E27/Y27/(1+W27*(X27-1))</f>
        <v>785.3599093391241</v>
      </c>
      <c r="U27" s="6">
        <f>VLOOKUP($S$13,角色设定!$AB$9:$AJ$21,MATCH(F$17,角色设定!$AB$9:$AJ$9,0),0)*F27*$L$15/(1+V27/$N$16)</f>
        <v>24434.025520559248</v>
      </c>
      <c r="V27" s="6">
        <f>VLOOKUP($S$13,角色设定!$AB$9:$AJ$21,MATCH(V$17,角色设定!$AB$9:$AJ$9,0),0)*G27*$L$15</f>
        <v>5817.4808099194343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1</v>
      </c>
      <c r="Z27" s="6">
        <f>VLOOKUP($S$13,角色设定!$AB$9:$AJ$21,MATCH(Z$17,角色设定!$AB$9:$AJ$9,0),0)</f>
        <v>0.9</v>
      </c>
      <c r="AA27" s="6"/>
      <c r="AB27" s="6"/>
      <c r="AC27" s="6">
        <f>T27*战斗公式!$E$39*(1+W27*(X27-1))*Y27</f>
        <v>23560.797280173723</v>
      </c>
      <c r="AD27" s="6">
        <f>U27*战斗公式!$E$41*(1+V27*战斗公式!$E$40)</f>
        <v>25855.470266308599</v>
      </c>
      <c r="AE27" s="22">
        <f t="shared" si="12"/>
        <v>49416.267546482326</v>
      </c>
      <c r="AF27" s="22">
        <f t="shared" si="19"/>
        <v>2353.1555974515504</v>
      </c>
      <c r="AG27" s="22"/>
      <c r="AH27" s="9">
        <f t="shared" si="13"/>
        <v>219.90077461495477</v>
      </c>
      <c r="AI27" s="9">
        <f t="shared" si="14"/>
        <v>6841.5271457565896</v>
      </c>
      <c r="AJ27" s="9">
        <f t="shared" si="15"/>
        <v>1628.8946267774418</v>
      </c>
      <c r="AK27" s="9">
        <f t="shared" si="20"/>
        <v>10.471465457855004</v>
      </c>
      <c r="AL27" s="9">
        <f t="shared" si="21"/>
        <v>308.68447359363745</v>
      </c>
      <c r="AM27" s="9">
        <f t="shared" si="22"/>
        <v>77.566410798925745</v>
      </c>
    </row>
    <row r="28" spans="1:39" ht="14.25" customHeight="1" x14ac:dyDescent="0.2">
      <c r="B28" s="33"/>
      <c r="C28" s="6"/>
      <c r="D28" s="1">
        <v>11</v>
      </c>
      <c r="E28" s="6">
        <f t="shared" si="16"/>
        <v>11.945227263034578</v>
      </c>
      <c r="F28" s="6">
        <f t="shared" si="17"/>
        <v>100.44850198460892</v>
      </c>
      <c r="G28" s="6">
        <f t="shared" si="18"/>
        <v>9.23040288507217</v>
      </c>
      <c r="H28" s="6">
        <v>0.4</v>
      </c>
      <c r="I28" s="6">
        <v>1.5</v>
      </c>
      <c r="J28" s="6">
        <v>1</v>
      </c>
      <c r="K28" s="26">
        <f t="shared" si="9"/>
        <v>1.0492835218494316</v>
      </c>
      <c r="L28" s="6">
        <f t="shared" si="10"/>
        <v>1045.2073855155256</v>
      </c>
      <c r="M28" s="6">
        <f t="shared" si="11"/>
        <v>14861.508728130349</v>
      </c>
      <c r="N28" s="6">
        <f t="shared" si="4"/>
        <v>1384.5604327608255</v>
      </c>
      <c r="O28" s="6">
        <f t="shared" si="5"/>
        <v>0.4</v>
      </c>
      <c r="P28" s="6">
        <f t="shared" si="6"/>
        <v>1.5</v>
      </c>
      <c r="Q28" s="6">
        <f t="shared" si="7"/>
        <v>1</v>
      </c>
      <c r="R28" s="6"/>
      <c r="S28" s="38">
        <v>11</v>
      </c>
      <c r="T28" s="6">
        <f>VLOOKUP($S$13,角色设定!$AB$9:$AJ$21,MATCH(E$17,角色设定!$AB$9:$AJ$9,0),0)*Z28*$L$15*E28/Y28/(1+W28*(X28-1))</f>
        <v>824.62790480608032</v>
      </c>
      <c r="U28" s="6">
        <f>VLOOKUP($S$13,角色设定!$AB$9:$AJ$21,MATCH(F$17,角色设定!$AB$9:$AJ$9,0),0)*F28*$L$15/(1+V28/$N$16)</f>
        <v>25585.396944374308</v>
      </c>
      <c r="V28" s="6">
        <f>VLOOKUP($S$13,角色设定!$AB$9:$AJ$21,MATCH(V$17,角色设定!$AB$9:$AJ$9,0),0)*G28*$L$15</f>
        <v>6108.354850415406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1</v>
      </c>
      <c r="Z28" s="6">
        <f>VLOOKUP($S$13,角色设定!$AB$9:$AJ$21,MATCH(Z$17,角色设定!$AB$9:$AJ$9,0),0)</f>
        <v>0.9</v>
      </c>
      <c r="AA28" s="6"/>
      <c r="AB28" s="6"/>
      <c r="AC28" s="6">
        <f>T28*战斗公式!$E$39*(1+W28*(X28-1))*Y28</f>
        <v>24738.837144182409</v>
      </c>
      <c r="AD28" s="6">
        <f>U28*战斗公式!$E$41*(1+V28*战斗公式!$E$40)</f>
        <v>27148.243779624034</v>
      </c>
      <c r="AE28" s="22">
        <f t="shared" si="12"/>
        <v>51887.080923806439</v>
      </c>
      <c r="AF28" s="22">
        <f t="shared" si="19"/>
        <v>2470.8133773241134</v>
      </c>
      <c r="AG28" s="22"/>
      <c r="AH28" s="9">
        <f t="shared" si="13"/>
        <v>230.89581334570252</v>
      </c>
      <c r="AI28" s="9">
        <f t="shared" si="14"/>
        <v>7163.9111444248074</v>
      </c>
      <c r="AJ28" s="9">
        <f t="shared" si="15"/>
        <v>1710.3393581163139</v>
      </c>
      <c r="AK28" s="9">
        <f t="shared" si="20"/>
        <v>10.995038730747751</v>
      </c>
      <c r="AL28" s="9">
        <f t="shared" si="21"/>
        <v>322.38399866821783</v>
      </c>
      <c r="AM28" s="9">
        <f t="shared" si="22"/>
        <v>81.444731338872089</v>
      </c>
    </row>
    <row r="29" spans="1:39" ht="14.25" customHeight="1" x14ac:dyDescent="0.2">
      <c r="B29" s="33"/>
      <c r="C29" s="6"/>
      <c r="D29" s="1">
        <v>12</v>
      </c>
      <c r="E29" s="6">
        <f t="shared" si="16"/>
        <v>12.542488626186307</v>
      </c>
      <c r="F29" s="6">
        <f t="shared" si="17"/>
        <v>105.47092708383937</v>
      </c>
      <c r="G29" s="6">
        <f t="shared" si="18"/>
        <v>9.6919230293257783</v>
      </c>
      <c r="H29" s="6">
        <v>0.4</v>
      </c>
      <c r="I29" s="6">
        <v>1.5</v>
      </c>
      <c r="J29" s="6">
        <v>1</v>
      </c>
      <c r="K29" s="26">
        <f t="shared" si="9"/>
        <v>1.0492482365639797</v>
      </c>
      <c r="L29" s="6">
        <f t="shared" si="10"/>
        <v>1097.4677547913018</v>
      </c>
      <c r="M29" s="6">
        <f t="shared" si="11"/>
        <v>15593.936218248682</v>
      </c>
      <c r="N29" s="6">
        <f t="shared" si="4"/>
        <v>1453.7884543988666</v>
      </c>
      <c r="O29" s="6">
        <f t="shared" si="5"/>
        <v>0.4</v>
      </c>
      <c r="P29" s="6">
        <f t="shared" si="6"/>
        <v>1.5</v>
      </c>
      <c r="Q29" s="6">
        <f t="shared" si="7"/>
        <v>1</v>
      </c>
      <c r="R29" s="6"/>
      <c r="S29" s="38">
        <v>12</v>
      </c>
      <c r="T29" s="6">
        <f>VLOOKUP($S$13,角色设定!$AB$9:$AJ$21,MATCH(E$17,角色设定!$AB$9:$AJ$9,0),0)*Z29*$L$15*E29/Y29/(1+W29*(X29-1))</f>
        <v>865.85930004638431</v>
      </c>
      <c r="U29" s="6">
        <f>VLOOKUP($S$13,角色设定!$AB$9:$AJ$21,MATCH(F$17,角色设定!$AB$9:$AJ$9,0),0)*F29*$L$15/(1+V29/$N$16)</f>
        <v>26787.562619030254</v>
      </c>
      <c r="V29" s="6">
        <f>VLOOKUP($S$13,角色设定!$AB$9:$AJ$21,MATCH(V$17,角色设定!$AB$9:$AJ$9,0),0)*G29*$L$15</f>
        <v>6413.7725929361759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1</v>
      </c>
      <c r="Z29" s="6">
        <f>VLOOKUP($S$13,角色设定!$AB$9:$AJ$21,MATCH(Z$17,角色设定!$AB$9:$AJ$9,0),0)</f>
        <v>0.9</v>
      </c>
      <c r="AA29" s="6"/>
      <c r="AB29" s="6"/>
      <c r="AC29" s="6">
        <f>T29*战斗公式!$E$39*(1+W29*(X29-1))*Y29</f>
        <v>25975.779001391529</v>
      </c>
      <c r="AD29" s="6">
        <f>U29*战斗公式!$E$41*(1+V29*战斗公式!$E$40)</f>
        <v>28505.655968605235</v>
      </c>
      <c r="AE29" s="22">
        <f t="shared" si="12"/>
        <v>54481.434969996764</v>
      </c>
      <c r="AF29" s="22">
        <f t="shared" si="19"/>
        <v>2594.3540461903249</v>
      </c>
      <c r="AG29" s="22"/>
      <c r="AH29" s="9">
        <f t="shared" si="13"/>
        <v>242.44060401298762</v>
      </c>
      <c r="AI29" s="9">
        <f t="shared" si="14"/>
        <v>7500.5175333284715</v>
      </c>
      <c r="AJ29" s="9">
        <f t="shared" si="15"/>
        <v>1795.8563260221295</v>
      </c>
      <c r="AK29" s="9">
        <f t="shared" si="20"/>
        <v>11.544790667285099</v>
      </c>
      <c r="AL29" s="9">
        <f t="shared" si="21"/>
        <v>336.60638890366408</v>
      </c>
      <c r="AM29" s="9">
        <f t="shared" si="22"/>
        <v>85.516967905815591</v>
      </c>
    </row>
    <row r="30" spans="1:39" ht="14.25" customHeight="1" x14ac:dyDescent="0.2">
      <c r="B30" s="33"/>
      <c r="C30" s="6"/>
      <c r="D30" s="1">
        <v>13</v>
      </c>
      <c r="E30" s="6">
        <f t="shared" si="16"/>
        <v>13.169613057495622</v>
      </c>
      <c r="F30" s="6">
        <f t="shared" si="17"/>
        <v>110.74447343803135</v>
      </c>
      <c r="G30" s="6">
        <f t="shared" si="18"/>
        <v>10.176519180792068</v>
      </c>
      <c r="H30" s="6">
        <v>0.4</v>
      </c>
      <c r="I30" s="6">
        <v>1.5</v>
      </c>
      <c r="J30" s="6">
        <v>1</v>
      </c>
      <c r="K30" s="26">
        <f t="shared" si="9"/>
        <v>1.04921124135209</v>
      </c>
      <c r="L30" s="6">
        <f t="shared" si="10"/>
        <v>1152.341142530867</v>
      </c>
      <c r="M30" s="6">
        <f t="shared" si="11"/>
        <v>16361.910078088606</v>
      </c>
      <c r="N30" s="6">
        <f t="shared" si="4"/>
        <v>1526.4778771188103</v>
      </c>
      <c r="O30" s="6">
        <f t="shared" si="5"/>
        <v>0.4</v>
      </c>
      <c r="P30" s="6">
        <f t="shared" si="6"/>
        <v>1.5</v>
      </c>
      <c r="Q30" s="6">
        <f t="shared" si="7"/>
        <v>1</v>
      </c>
      <c r="R30" s="6"/>
      <c r="S30" s="38">
        <v>13</v>
      </c>
      <c r="T30" s="6">
        <f>VLOOKUP($S$13,角色设定!$AB$9:$AJ$21,MATCH(E$17,角色设定!$AB$9:$AJ$9,0),0)*Z30*$L$15*E30/Y30/(1+W30*(X30-1))</f>
        <v>909.1522650487035</v>
      </c>
      <c r="U30" s="6">
        <f>VLOOKUP($S$13,角色设定!$AB$9:$AJ$21,MATCH(F$17,角色设定!$AB$9:$AJ$9,0),0)*F30*$L$15/(1+V30/$N$16)</f>
        <v>28042.43205445879</v>
      </c>
      <c r="V30" s="6">
        <f>VLOOKUP($S$13,角色设定!$AB$9:$AJ$21,MATCH(V$17,角色设定!$AB$9:$AJ$9,0),0)*G30*$L$15</f>
        <v>6734.4612225829851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1</v>
      </c>
      <c r="Z30" s="6">
        <f>VLOOKUP($S$13,角色设定!$AB$9:$AJ$21,MATCH(Z$17,角色设定!$AB$9:$AJ$9,0),0)</f>
        <v>0.9</v>
      </c>
      <c r="AA30" s="6"/>
      <c r="AB30" s="6"/>
      <c r="AC30" s="6">
        <f>T30*战斗公式!$E$39*(1+W30*(X30-1))*Y30</f>
        <v>27274.567951461107</v>
      </c>
      <c r="AD30" s="6">
        <f>U30*战斗公式!$E$41*(1+V30*战斗公式!$E$40)</f>
        <v>29930.938767035499</v>
      </c>
      <c r="AE30" s="22">
        <f t="shared" si="12"/>
        <v>57205.506718496603</v>
      </c>
      <c r="AF30" s="22">
        <f t="shared" si="19"/>
        <v>2724.0717484998386</v>
      </c>
      <c r="AG30" s="22"/>
      <c r="AH30" s="9">
        <f t="shared" si="13"/>
        <v>254.56263421363701</v>
      </c>
      <c r="AI30" s="9">
        <f t="shared" si="14"/>
        <v>7851.8809752484622</v>
      </c>
      <c r="AJ30" s="9">
        <f t="shared" si="15"/>
        <v>1885.649142323236</v>
      </c>
      <c r="AK30" s="9">
        <f t="shared" si="20"/>
        <v>12.122030200649391</v>
      </c>
      <c r="AL30" s="9">
        <f t="shared" si="21"/>
        <v>351.36344191999069</v>
      </c>
      <c r="AM30" s="9">
        <f t="shared" si="22"/>
        <v>89.792816301106541</v>
      </c>
    </row>
    <row r="31" spans="1:39" ht="14.25" customHeight="1" x14ac:dyDescent="0.2">
      <c r="B31" s="6"/>
      <c r="D31" s="1">
        <v>14</v>
      </c>
      <c r="E31" s="6">
        <f t="shared" si="16"/>
        <v>13.828093710370403</v>
      </c>
      <c r="F31" s="6">
        <f t="shared" si="17"/>
        <v>116.28169710993292</v>
      </c>
      <c r="G31" s="6">
        <f t="shared" si="18"/>
        <v>10.685345139831671</v>
      </c>
      <c r="H31" s="6">
        <v>0.4</v>
      </c>
      <c r="I31" s="6">
        <v>1.5</v>
      </c>
      <c r="J31" s="6">
        <v>1</v>
      </c>
      <c r="K31" s="26">
        <f t="shared" si="9"/>
        <v>1.0491724561520612</v>
      </c>
      <c r="L31" s="6">
        <f t="shared" si="10"/>
        <v>1209.9581996574102</v>
      </c>
      <c r="M31" s="6">
        <f t="shared" si="11"/>
        <v>17167.099983922617</v>
      </c>
      <c r="N31" s="6">
        <f t="shared" si="4"/>
        <v>1602.8017709747508</v>
      </c>
      <c r="O31" s="6">
        <f t="shared" si="5"/>
        <v>0.4</v>
      </c>
      <c r="P31" s="6">
        <f t="shared" si="6"/>
        <v>1.5</v>
      </c>
      <c r="Q31" s="6">
        <f t="shared" si="7"/>
        <v>1</v>
      </c>
      <c r="R31" s="6"/>
      <c r="S31" s="38">
        <v>14</v>
      </c>
      <c r="T31" s="6">
        <f>VLOOKUP($S$13,角色设定!$AB$9:$AJ$21,MATCH(E$17,角色设定!$AB$9:$AJ$9,0),0)*Z31*$L$15*E31/Y31/(1+W31*(X31-1))</f>
        <v>954.60987830113868</v>
      </c>
      <c r="U31" s="6">
        <f>VLOOKUP($S$13,角色设定!$AB$9:$AJ$21,MATCH(F$17,角色设定!$AB$9:$AJ$9,0),0)*F31*$L$15/(1+V31/$N$16)</f>
        <v>29351.954884623501</v>
      </c>
      <c r="V31" s="6">
        <f>VLOOKUP($S$13,角色设定!$AB$9:$AJ$21,MATCH(V$17,角色设定!$AB$9:$AJ$9,0),0)*G31*$L$15</f>
        <v>7071.1842837121349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1</v>
      </c>
      <c r="Z31" s="6">
        <f>VLOOKUP($S$13,角色设定!$AB$9:$AJ$21,MATCH(Z$17,角色设定!$AB$9:$AJ$9,0),0)</f>
        <v>0.9</v>
      </c>
      <c r="AA31" s="6"/>
      <c r="AB31" s="6"/>
      <c r="AC31" s="6">
        <f>T31*战斗公式!$E$39*(1+W31*(X31-1))*Y31</f>
        <v>28638.296349034161</v>
      </c>
      <c r="AD31" s="6">
        <f>U31*战斗公式!$E$41*(1+V31*战斗公式!$E$40)</f>
        <v>31427.485705387277</v>
      </c>
      <c r="AE31" s="22">
        <f t="shared" si="12"/>
        <v>60065.782054421434</v>
      </c>
      <c r="AF31" s="22">
        <f t="shared" si="19"/>
        <v>2860.2753359248309</v>
      </c>
      <c r="AG31" s="22"/>
      <c r="AH31" s="9">
        <f t="shared" si="13"/>
        <v>267.29076592431886</v>
      </c>
      <c r="AI31" s="9">
        <f t="shared" si="14"/>
        <v>8218.5473676945803</v>
      </c>
      <c r="AJ31" s="9">
        <f t="shared" si="15"/>
        <v>1979.931599439398</v>
      </c>
      <c r="AK31" s="9">
        <f t="shared" si="20"/>
        <v>12.728131710681851</v>
      </c>
      <c r="AL31" s="9">
        <f t="shared" si="21"/>
        <v>366.66639244611815</v>
      </c>
      <c r="AM31" s="9">
        <f t="shared" si="22"/>
        <v>94.28245711616205</v>
      </c>
    </row>
    <row r="32" spans="1:39" ht="14.25" customHeight="1" x14ac:dyDescent="0.2">
      <c r="B32" s="6"/>
      <c r="D32" s="1">
        <v>15</v>
      </c>
      <c r="E32" s="6">
        <f t="shared" si="16"/>
        <v>14.519498395888924</v>
      </c>
      <c r="F32" s="6">
        <f t="shared" si="17"/>
        <v>122.09578196542957</v>
      </c>
      <c r="G32" s="6">
        <f t="shared" si="18"/>
        <v>11.219612396823255</v>
      </c>
      <c r="H32" s="6">
        <v>0.4</v>
      </c>
      <c r="I32" s="6">
        <v>1.5</v>
      </c>
      <c r="J32" s="6">
        <v>1</v>
      </c>
      <c r="K32" s="26">
        <f t="shared" si="9"/>
        <v>1.0491317974353556</v>
      </c>
      <c r="L32" s="6">
        <f t="shared" si="10"/>
        <v>1270.4561096402806</v>
      </c>
      <c r="M32" s="6">
        <f t="shared" si="11"/>
        <v>18011.248455140103</v>
      </c>
      <c r="N32" s="6">
        <f t="shared" si="4"/>
        <v>1682.9418595234881</v>
      </c>
      <c r="O32" s="6">
        <f t="shared" si="5"/>
        <v>0.4</v>
      </c>
      <c r="P32" s="6">
        <f t="shared" si="6"/>
        <v>1.5</v>
      </c>
      <c r="Q32" s="6">
        <f t="shared" si="7"/>
        <v>1</v>
      </c>
      <c r="R32" s="6"/>
      <c r="S32" s="38">
        <v>15</v>
      </c>
      <c r="T32" s="6">
        <f>VLOOKUP($S$13,角色设定!$AB$9:$AJ$21,MATCH(E$17,角色设定!$AB$9:$AJ$9,0),0)*Z32*$L$15*E32/Y32/(1+W32*(X32-1))</f>
        <v>1002.3403722161958</v>
      </c>
      <c r="U32" s="6">
        <f>VLOOKUP($S$13,角色设定!$AB$9:$AJ$21,MATCH(F$17,角色设定!$AB$9:$AJ$9,0),0)*F32*$L$15/(1+V32/$N$16)</f>
        <v>30718.118485712195</v>
      </c>
      <c r="V32" s="6">
        <f>VLOOKUP($S$13,角色设定!$AB$9:$AJ$21,MATCH(V$17,角色设定!$AB$9:$AJ$9,0),0)*G32*$L$15</f>
        <v>7424.7434978977408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1</v>
      </c>
      <c r="Z32" s="6">
        <f>VLOOKUP($S$13,角色设定!$AB$9:$AJ$21,MATCH(Z$17,角色设定!$AB$9:$AJ$9,0),0)</f>
        <v>0.9</v>
      </c>
      <c r="AA32" s="6"/>
      <c r="AB32" s="6"/>
      <c r="AC32" s="6">
        <f>T32*战斗公式!$E$39*(1+W32*(X32-1))*Y32</f>
        <v>30070.211166485875</v>
      </c>
      <c r="AD32" s="6">
        <f>U32*战斗公式!$E$41*(1+V32*战斗公式!$E$40)</f>
        <v>32998.859990656638</v>
      </c>
      <c r="AE32" s="22">
        <f t="shared" si="12"/>
        <v>63069.071157142513</v>
      </c>
      <c r="AF32" s="22">
        <f t="shared" si="19"/>
        <v>3003.289102721079</v>
      </c>
      <c r="AG32" s="22"/>
      <c r="AH32" s="9">
        <f t="shared" si="13"/>
        <v>280.65530422053484</v>
      </c>
      <c r="AI32" s="9">
        <f t="shared" si="14"/>
        <v>8601.073175999416</v>
      </c>
      <c r="AJ32" s="9">
        <f t="shared" si="15"/>
        <v>2078.9281794113676</v>
      </c>
      <c r="AK32" s="9">
        <f t="shared" si="20"/>
        <v>13.364538296215983</v>
      </c>
      <c r="AL32" s="9">
        <f t="shared" si="21"/>
        <v>382.52580830483566</v>
      </c>
      <c r="AM32" s="9">
        <f t="shared" si="22"/>
        <v>98.996579971969595</v>
      </c>
    </row>
    <row r="33" spans="4:39" ht="14.25" customHeight="1" x14ac:dyDescent="0.2">
      <c r="D33" s="1">
        <v>16</v>
      </c>
      <c r="E33" s="6">
        <f t="shared" si="16"/>
        <v>15.245473315683371</v>
      </c>
      <c r="F33" s="6">
        <f t="shared" si="17"/>
        <v>128.20057106370106</v>
      </c>
      <c r="G33" s="6">
        <f t="shared" si="18"/>
        <v>11.780593016664419</v>
      </c>
      <c r="H33" s="6">
        <v>0.4</v>
      </c>
      <c r="I33" s="6">
        <v>1.5</v>
      </c>
      <c r="J33" s="6">
        <v>1</v>
      </c>
      <c r="K33" s="26">
        <f t="shared" si="9"/>
        <v>1.049089178085046</v>
      </c>
      <c r="L33" s="6">
        <f t="shared" si="10"/>
        <v>1333.9789151222951</v>
      </c>
      <c r="M33" s="6">
        <f t="shared" si="11"/>
        <v>18896.173465795906</v>
      </c>
      <c r="N33" s="6">
        <f t="shared" si="4"/>
        <v>1767.0889524996628</v>
      </c>
      <c r="O33" s="6">
        <f t="shared" si="5"/>
        <v>0.4</v>
      </c>
      <c r="P33" s="6">
        <f t="shared" si="6"/>
        <v>1.5</v>
      </c>
      <c r="Q33" s="6">
        <f t="shared" si="7"/>
        <v>1</v>
      </c>
      <c r="R33" s="6"/>
      <c r="S33" s="38">
        <v>16</v>
      </c>
      <c r="T33" s="6">
        <f>VLOOKUP($S$13,角色设定!$AB$9:$AJ$21,MATCH(E$17,角色设定!$AB$9:$AJ$9,0),0)*Z33*$L$15*E33/Y33/(1+W33*(X33-1))</f>
        <v>1052.4573908270056</v>
      </c>
      <c r="U33" s="6">
        <f>VLOOKUP($S$13,角色设定!$AB$9:$AJ$21,MATCH(F$17,角色设定!$AB$9:$AJ$9,0),0)*F33*$L$15/(1+V33/$N$16)</f>
        <v>32142.945195112199</v>
      </c>
      <c r="V33" s="6">
        <f>VLOOKUP($S$13,角色设定!$AB$9:$AJ$21,MATCH(V$17,角色设定!$AB$9:$AJ$9,0),0)*G33*$L$15</f>
        <v>7795.9806727926289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1</v>
      </c>
      <c r="Z33" s="6">
        <f>VLOOKUP($S$13,角色设定!$AB$9:$AJ$21,MATCH(Z$17,角色设定!$AB$9:$AJ$9,0),0)</f>
        <v>0.9</v>
      </c>
      <c r="AA33" s="6"/>
      <c r="AB33" s="6"/>
      <c r="AC33" s="6">
        <f>T33*战斗公式!$E$39*(1+W33*(X33-1))*Y33</f>
        <v>31573.721724810166</v>
      </c>
      <c r="AD33" s="6">
        <f>U33*战斗公式!$E$41*(1+V33*战斗公式!$E$40)</f>
        <v>34648.802990189477</v>
      </c>
      <c r="AE33" s="22">
        <f t="shared" si="12"/>
        <v>66222.524714999643</v>
      </c>
      <c r="AF33" s="22">
        <f t="shared" si="19"/>
        <v>3153.4535578571304</v>
      </c>
      <c r="AG33" s="22"/>
      <c r="AH33" s="9">
        <f t="shared" si="13"/>
        <v>294.68806943156159</v>
      </c>
      <c r="AI33" s="9">
        <f t="shared" si="14"/>
        <v>9000.0246546314174</v>
      </c>
      <c r="AJ33" s="9">
        <f t="shared" si="15"/>
        <v>2182.8745883819361</v>
      </c>
      <c r="AK33" s="9">
        <f t="shared" si="20"/>
        <v>14.032765211026742</v>
      </c>
      <c r="AL33" s="9">
        <f t="shared" si="21"/>
        <v>398.95147863200145</v>
      </c>
      <c r="AM33" s="9">
        <f t="shared" si="22"/>
        <v>103.94640897056843</v>
      </c>
    </row>
    <row r="34" spans="4:39" ht="14.25" customHeight="1" x14ac:dyDescent="0.2">
      <c r="D34" s="1">
        <v>17</v>
      </c>
      <c r="E34" s="6">
        <f t="shared" si="16"/>
        <v>16.007746981467541</v>
      </c>
      <c r="F34" s="6">
        <f t="shared" si="17"/>
        <v>134.61059961688613</v>
      </c>
      <c r="G34" s="6">
        <f t="shared" si="18"/>
        <v>12.369622667497641</v>
      </c>
      <c r="H34" s="6">
        <v>0.4</v>
      </c>
      <c r="I34" s="6">
        <v>1.5</v>
      </c>
      <c r="J34" s="6">
        <v>1</v>
      </c>
      <c r="K34" s="26">
        <f t="shared" si="9"/>
        <v>1.0490445072730132</v>
      </c>
      <c r="L34" s="6">
        <f t="shared" si="10"/>
        <v>1400.67786087841</v>
      </c>
      <c r="M34" s="6">
        <f t="shared" si="11"/>
        <v>19823.77109018428</v>
      </c>
      <c r="N34" s="6">
        <f t="shared" si="4"/>
        <v>1855.4434001246461</v>
      </c>
      <c r="O34" s="6">
        <f t="shared" si="5"/>
        <v>0.4</v>
      </c>
      <c r="P34" s="6">
        <f t="shared" si="6"/>
        <v>1.5</v>
      </c>
      <c r="Q34" s="6">
        <f t="shared" si="7"/>
        <v>1</v>
      </c>
      <c r="R34" s="6"/>
      <c r="S34" s="38">
        <v>17</v>
      </c>
      <c r="T34" s="6">
        <f>VLOOKUP($S$13,角色设定!$AB$9:$AJ$21,MATCH(E$17,角色设定!$AB$9:$AJ$9,0),0)*Z34*$L$15*E34/Y34/(1+W34*(X34-1))</f>
        <v>1105.080260368356</v>
      </c>
      <c r="U34" s="6">
        <f>VLOOKUP($S$13,角色设定!$AB$9:$AJ$21,MATCH(F$17,角色设定!$AB$9:$AJ$9,0),0)*F34*$L$15/(1+V34/$N$16)</f>
        <v>33628.489103116277</v>
      </c>
      <c r="V34" s="6">
        <f>VLOOKUP($S$13,角色设定!$AB$9:$AJ$21,MATCH(V$17,角色设定!$AB$9:$AJ$9,0),0)*G34*$L$15</f>
        <v>8185.7797064322613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1</v>
      </c>
      <c r="Z34" s="6">
        <f>VLOOKUP($S$13,角色设定!$AB$9:$AJ$21,MATCH(Z$17,角色设定!$AB$9:$AJ$9,0),0)</f>
        <v>0.9</v>
      </c>
      <c r="AA34" s="6"/>
      <c r="AB34" s="6"/>
      <c r="AC34" s="6">
        <f>T34*战斗公式!$E$39*(1+W34*(X34-1))*Y34</f>
        <v>33152.407811050674</v>
      </c>
      <c r="AD34" s="6">
        <f>U34*战斗公式!$E$41*(1+V34*战斗公式!$E$40)</f>
        <v>36381.243139698956</v>
      </c>
      <c r="AE34" s="22">
        <f t="shared" si="12"/>
        <v>69533.650950749638</v>
      </c>
      <c r="AF34" s="22">
        <f t="shared" si="19"/>
        <v>3311.1262357499945</v>
      </c>
      <c r="AG34" s="22"/>
      <c r="AH34" s="9">
        <f t="shared" si="13"/>
        <v>309.42247290313969</v>
      </c>
      <c r="AI34" s="9">
        <f t="shared" si="14"/>
        <v>9415.9769488725578</v>
      </c>
      <c r="AJ34" s="9">
        <f t="shared" si="15"/>
        <v>2292.0183178010334</v>
      </c>
      <c r="AK34" s="9">
        <f t="shared" si="20"/>
        <v>14.734403471578105</v>
      </c>
      <c r="AL34" s="9">
        <f t="shared" si="21"/>
        <v>415.95229424114041</v>
      </c>
      <c r="AM34" s="9">
        <f t="shared" si="22"/>
        <v>109.14372941909733</v>
      </c>
    </row>
    <row r="35" spans="4:39" ht="14.25" customHeight="1" x14ac:dyDescent="0.2">
      <c r="D35" s="1">
        <v>18</v>
      </c>
      <c r="E35" s="6">
        <f t="shared" si="16"/>
        <v>16.80813433054092</v>
      </c>
      <c r="F35" s="6">
        <f t="shared" si="17"/>
        <v>141.34112959773046</v>
      </c>
      <c r="G35" s="6">
        <f t="shared" si="18"/>
        <v>12.988103800872523</v>
      </c>
      <c r="H35" s="6">
        <v>0.4</v>
      </c>
      <c r="I35" s="6">
        <v>1.5</v>
      </c>
      <c r="J35" s="6">
        <v>1</v>
      </c>
      <c r="K35" s="26">
        <f t="shared" si="9"/>
        <v>1.0489976903362577</v>
      </c>
      <c r="L35" s="6">
        <f t="shared" si="10"/>
        <v>1470.7117539223304</v>
      </c>
      <c r="M35" s="6">
        <f t="shared" si="11"/>
        <v>20796.018175595371</v>
      </c>
      <c r="N35" s="6">
        <f t="shared" si="4"/>
        <v>1948.2155701308784</v>
      </c>
      <c r="O35" s="6">
        <f t="shared" si="5"/>
        <v>0.4</v>
      </c>
      <c r="P35" s="6">
        <f t="shared" si="6"/>
        <v>1.5</v>
      </c>
      <c r="Q35" s="6">
        <f t="shared" si="7"/>
        <v>1</v>
      </c>
      <c r="R35" s="6"/>
      <c r="S35" s="38">
        <v>18</v>
      </c>
      <c r="T35" s="6">
        <f>VLOOKUP($S$13,角色设定!$AB$9:$AJ$21,MATCH(E$17,角色设定!$AB$9:$AJ$9,0),0)*Z35*$L$15*E35/Y35/(1+W35*(X35-1))</f>
        <v>1160.3342733867737</v>
      </c>
      <c r="U35" s="6">
        <f>VLOOKUP($S$13,角色设定!$AB$9:$AJ$21,MATCH(F$17,角色设定!$AB$9:$AJ$9,0),0)*F35*$L$15/(1+V35/$N$16)</f>
        <v>35176.832389245159</v>
      </c>
      <c r="V35" s="6">
        <f>VLOOKUP($S$13,角色设定!$AB$9:$AJ$21,MATCH(V$17,角色设定!$AB$9:$AJ$9,0),0)*G35*$L$15</f>
        <v>8595.0686917538733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1</v>
      </c>
      <c r="Z35" s="6">
        <f>VLOOKUP($S$13,角色设定!$AB$9:$AJ$21,MATCH(Z$17,角色设定!$AB$9:$AJ$9,0),0)</f>
        <v>0.9</v>
      </c>
      <c r="AA35" s="6"/>
      <c r="AB35" s="6"/>
      <c r="AC35" s="6">
        <f>T35*战斗公式!$E$39*(1+W35*(X35-1))*Y35</f>
        <v>34810.028201603207</v>
      </c>
      <c r="AD35" s="6">
        <f>U35*战斗公式!$E$41*(1+V35*战斗公式!$E$40)</f>
        <v>38200.30529668391</v>
      </c>
      <c r="AE35" s="22">
        <f t="shared" si="12"/>
        <v>73010.333498287117</v>
      </c>
      <c r="AF35" s="22">
        <f t="shared" si="19"/>
        <v>3476.682547537479</v>
      </c>
      <c r="AG35" s="22"/>
      <c r="AH35" s="9">
        <f t="shared" si="13"/>
        <v>324.89359654829667</v>
      </c>
      <c r="AI35" s="9">
        <f t="shared" si="14"/>
        <v>9849.5130689886446</v>
      </c>
      <c r="AJ35" s="9">
        <f t="shared" si="15"/>
        <v>2406.6192336910849</v>
      </c>
      <c r="AK35" s="9">
        <f t="shared" si="20"/>
        <v>15.471123645156979</v>
      </c>
      <c r="AL35" s="9">
        <f t="shared" si="21"/>
        <v>433.53612011608675</v>
      </c>
      <c r="AM35" s="9">
        <f t="shared" si="22"/>
        <v>114.60091589005151</v>
      </c>
    </row>
    <row r="36" spans="4:39" ht="14.25" customHeight="1" x14ac:dyDescent="0.2">
      <c r="D36" s="1">
        <v>19</v>
      </c>
      <c r="E36" s="6">
        <f t="shared" si="16"/>
        <v>17.648541047067965</v>
      </c>
      <c r="F36" s="6">
        <f t="shared" si="17"/>
        <v>148.40818607761699</v>
      </c>
      <c r="G36" s="6">
        <f t="shared" si="18"/>
        <v>13.63750899091615</v>
      </c>
      <c r="H36" s="6">
        <v>0.4</v>
      </c>
      <c r="I36" s="6">
        <v>1.5</v>
      </c>
      <c r="J36" s="6">
        <v>1</v>
      </c>
      <c r="K36" s="26">
        <f t="shared" si="9"/>
        <v>1.0489486286527325</v>
      </c>
      <c r="L36" s="6">
        <f t="shared" si="10"/>
        <v>1544.2473416184471</v>
      </c>
      <c r="M36" s="6">
        <f t="shared" si="11"/>
        <v>21814.97503439038</v>
      </c>
      <c r="N36" s="6">
        <f t="shared" si="4"/>
        <v>2045.6263486374223</v>
      </c>
      <c r="O36" s="6">
        <f t="shared" si="5"/>
        <v>0.4</v>
      </c>
      <c r="P36" s="6">
        <f t="shared" si="6"/>
        <v>1.5</v>
      </c>
      <c r="Q36" s="6">
        <f t="shared" si="7"/>
        <v>1</v>
      </c>
      <c r="R36" s="6"/>
      <c r="S36" s="38">
        <v>19</v>
      </c>
      <c r="T36" s="6">
        <f>VLOOKUP($S$13,角色设定!$AB$9:$AJ$21,MATCH(E$17,角色设定!$AB$9:$AJ$9,0),0)*Z36*$L$15*E36/Y36/(1+W36*(X36-1))</f>
        <v>1218.3509870561124</v>
      </c>
      <c r="U36" s="6">
        <f>VLOOKUP($S$13,角色设定!$AB$9:$AJ$21,MATCH(F$17,角色设定!$AB$9:$AJ$9,0),0)*F36*$L$15/(1+V36/$N$16)</f>
        <v>36790.08117530973</v>
      </c>
      <c r="V36" s="6">
        <f>VLOOKUP($S$13,角色设定!$AB$9:$AJ$21,MATCH(V$17,角色设定!$AB$9:$AJ$9,0),0)*G36*$L$15</f>
        <v>9024.8221263415671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1</v>
      </c>
      <c r="Z36" s="6">
        <f>VLOOKUP($S$13,角色设定!$AB$9:$AJ$21,MATCH(Z$17,角色设定!$AB$9:$AJ$9,0),0)</f>
        <v>0.9</v>
      </c>
      <c r="AA36" s="6"/>
      <c r="AB36" s="6"/>
      <c r="AC36" s="6">
        <f>T36*战斗公式!$E$39*(1+W36*(X36-1))*Y36</f>
        <v>36550.529611683371</v>
      </c>
      <c r="AD36" s="6">
        <f>U36*战斗公式!$E$41*(1+V36*战斗公式!$E$40)</f>
        <v>40110.320561518107</v>
      </c>
      <c r="AE36" s="22">
        <f t="shared" si="12"/>
        <v>76660.85017320147</v>
      </c>
      <c r="AF36" s="22">
        <f t="shared" si="19"/>
        <v>3650.5166749143536</v>
      </c>
      <c r="AG36" s="22"/>
      <c r="AH36" s="9">
        <f t="shared" si="13"/>
        <v>341.13827637571154</v>
      </c>
      <c r="AI36" s="9">
        <f t="shared" si="14"/>
        <v>10301.222729086725</v>
      </c>
      <c r="AJ36" s="9">
        <f t="shared" si="15"/>
        <v>2526.9501953756389</v>
      </c>
      <c r="AK36" s="9">
        <f t="shared" si="20"/>
        <v>16.24467982741487</v>
      </c>
      <c r="AL36" s="9">
        <f t="shared" si="21"/>
        <v>451.70966009808035</v>
      </c>
      <c r="AM36" s="9">
        <f t="shared" si="22"/>
        <v>120.33096168455404</v>
      </c>
    </row>
    <row r="37" spans="4:39" ht="14.25" customHeight="1" x14ac:dyDescent="0.2">
      <c r="D37" s="1">
        <v>20</v>
      </c>
      <c r="E37" s="6">
        <f t="shared" si="16"/>
        <v>18.530968099421365</v>
      </c>
      <c r="F37" s="6">
        <f t="shared" si="17"/>
        <v>155.82859538149785</v>
      </c>
      <c r="G37" s="6">
        <f t="shared" si="18"/>
        <v>14.319384440461958</v>
      </c>
      <c r="H37" s="6">
        <v>0.4</v>
      </c>
      <c r="I37" s="6">
        <v>1.5</v>
      </c>
      <c r="J37" s="6">
        <v>1</v>
      </c>
      <c r="K37" s="26">
        <f t="shared" si="9"/>
        <v>1.0488972195171706</v>
      </c>
      <c r="L37" s="6">
        <f t="shared" si="10"/>
        <v>1621.4597086993695</v>
      </c>
      <c r="M37" s="6">
        <f t="shared" si="11"/>
        <v>22882.788146417384</v>
      </c>
      <c r="N37" s="6">
        <f t="shared" si="4"/>
        <v>2147.9076660692936</v>
      </c>
      <c r="O37" s="6">
        <f t="shared" si="5"/>
        <v>0.4</v>
      </c>
      <c r="P37" s="6">
        <f t="shared" si="6"/>
        <v>1.5</v>
      </c>
      <c r="Q37" s="6">
        <f t="shared" si="7"/>
        <v>1</v>
      </c>
      <c r="R37" s="6"/>
      <c r="S37" s="38">
        <v>20</v>
      </c>
      <c r="T37" s="6">
        <f>VLOOKUP($S$13,角色设定!$AB$9:$AJ$21,MATCH(E$17,角色设定!$AB$9:$AJ$9,0),0)*Z37*$L$15*E37/Y37/(1+W37*(X37-1))</f>
        <v>1279.2685364089182</v>
      </c>
      <c r="U37" s="6">
        <f>VLOOKUP($S$13,角色设定!$AB$9:$AJ$21,MATCH(F$17,角色设定!$AB$9:$AJ$9,0),0)*F37*$L$15/(1+V37/$N$16)</f>
        <v>38470.360867918127</v>
      </c>
      <c r="V37" s="6">
        <f>VLOOKUP($S$13,角色设定!$AB$9:$AJ$21,MATCH(V$17,角色设定!$AB$9:$AJ$9,0),0)*G37*$L$15</f>
        <v>9476.0632326586474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1</v>
      </c>
      <c r="Z37" s="6">
        <f>VLOOKUP($S$13,角色设定!$AB$9:$AJ$21,MATCH(Z$17,角色设定!$AB$9:$AJ$9,0),0)</f>
        <v>0.9</v>
      </c>
      <c r="AA37" s="6"/>
      <c r="AB37" s="6"/>
      <c r="AC37" s="6">
        <f>T37*战斗公式!$E$39*(1+W37*(X37-1))*Y37</f>
        <v>38378.056092267543</v>
      </c>
      <c r="AD37" s="6">
        <f>U37*战斗公式!$E$41*(1+V37*战斗公式!$E$40)</f>
        <v>42115.836589594015</v>
      </c>
      <c r="AE37" s="22">
        <f t="shared" si="12"/>
        <v>80493.892681861558</v>
      </c>
      <c r="AF37" s="22">
        <f t="shared" si="19"/>
        <v>3833.0425086600881</v>
      </c>
      <c r="AG37" s="22"/>
      <c r="AH37" s="9">
        <f t="shared" si="13"/>
        <v>358.19519019449712</v>
      </c>
      <c r="AI37" s="9">
        <f t="shared" si="14"/>
        <v>10771.701043017076</v>
      </c>
      <c r="AJ37" s="9">
        <f t="shared" si="15"/>
        <v>2653.2977051444213</v>
      </c>
      <c r="AK37" s="9">
        <f t="shared" si="20"/>
        <v>17.056913818785574</v>
      </c>
      <c r="AL37" s="9">
        <f t="shared" si="21"/>
        <v>470.47831393035085</v>
      </c>
      <c r="AM37" s="9">
        <f t="shared" si="22"/>
        <v>126.3475097687824</v>
      </c>
    </row>
    <row r="38" spans="4:39" ht="14.25" customHeight="1" x14ac:dyDescent="0.2">
      <c r="D38" s="1">
        <v>21</v>
      </c>
      <c r="E38" s="6">
        <f t="shared" si="16"/>
        <v>19.457516504392434</v>
      </c>
      <c r="F38" s="6">
        <f t="shared" si="17"/>
        <v>163.62002515057276</v>
      </c>
      <c r="G38" s="6">
        <f t="shared" si="18"/>
        <v>15.035353662485056</v>
      </c>
      <c r="H38" s="6">
        <v>0.4</v>
      </c>
      <c r="I38" s="6">
        <v>1.5</v>
      </c>
      <c r="J38" s="6">
        <v>1</v>
      </c>
      <c r="K38" s="26">
        <f t="shared" si="9"/>
        <v>1.0488433560174391</v>
      </c>
      <c r="L38" s="6">
        <f t="shared" si="10"/>
        <v>1702.5326941343378</v>
      </c>
      <c r="M38" s="6">
        <f t="shared" si="11"/>
        <v>24001.692861577667</v>
      </c>
      <c r="N38" s="6">
        <f t="shared" si="4"/>
        <v>2255.3030493727583</v>
      </c>
      <c r="O38" s="6">
        <f t="shared" si="5"/>
        <v>0.4</v>
      </c>
      <c r="P38" s="6">
        <f t="shared" si="6"/>
        <v>1.5</v>
      </c>
      <c r="Q38" s="6">
        <f t="shared" si="7"/>
        <v>1</v>
      </c>
      <c r="R38" s="6"/>
      <c r="S38" s="38">
        <v>21</v>
      </c>
      <c r="T38" s="6">
        <f>VLOOKUP($S$13,角色设定!$AB$9:$AJ$21,MATCH(E$17,角色设定!$AB$9:$AJ$9,0),0)*Z38*$L$15*E38/Y38/(1+W38*(X38-1))</f>
        <v>1343.2319632293641</v>
      </c>
      <c r="U38" s="6">
        <f>VLOOKUP($S$13,角色设定!$AB$9:$AJ$21,MATCH(F$17,角色设定!$AB$9:$AJ$9,0),0)*F38*$L$15/(1+V38/$N$16)</f>
        <v>40219.810964108299</v>
      </c>
      <c r="V38" s="6">
        <f>VLOOKUP($S$13,角色设定!$AB$9:$AJ$21,MATCH(V$17,角色设定!$AB$9:$AJ$9,0),0)*G38*$L$15</f>
        <v>9949.8663942915809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1</v>
      </c>
      <c r="Z38" s="6">
        <f>VLOOKUP($S$13,角色设定!$AB$9:$AJ$21,MATCH(Z$17,角色设定!$AB$9:$AJ$9,0),0)</f>
        <v>0.9</v>
      </c>
      <c r="AA38" s="6"/>
      <c r="AB38" s="6"/>
      <c r="AC38" s="6">
        <f>T38*战斗公式!$E$39*(1+W38*(X38-1))*Y38</f>
        <v>40296.958896880926</v>
      </c>
      <c r="AD38" s="6">
        <f>U38*战斗公式!$E$41*(1+V38*战斗公式!$E$40)</f>
        <v>44221.628419073713</v>
      </c>
      <c r="AE38" s="22">
        <f t="shared" si="12"/>
        <v>84518.587315954646</v>
      </c>
      <c r="AF38" s="22">
        <f t="shared" si="19"/>
        <v>4024.6946340930881</v>
      </c>
      <c r="AG38" s="22"/>
      <c r="AH38" s="9">
        <f t="shared" si="13"/>
        <v>376.10494970422195</v>
      </c>
      <c r="AI38" s="9">
        <f t="shared" si="14"/>
        <v>11261.547069950326</v>
      </c>
      <c r="AJ38" s="9">
        <f t="shared" si="15"/>
        <v>2785.962590401643</v>
      </c>
      <c r="AK38" s="9">
        <f t="shared" si="20"/>
        <v>17.909759509724836</v>
      </c>
      <c r="AL38" s="9">
        <f t="shared" si="21"/>
        <v>489.84602693324996</v>
      </c>
      <c r="AM38" s="9">
        <f t="shared" si="22"/>
        <v>132.66488525722161</v>
      </c>
    </row>
    <row r="39" spans="4:39" ht="14.25" customHeight="1" x14ac:dyDescent="0.2">
      <c r="D39" s="1">
        <v>22</v>
      </c>
      <c r="E39" s="6">
        <f t="shared" si="16"/>
        <v>20.430392329612054</v>
      </c>
      <c r="F39" s="6">
        <f t="shared" si="17"/>
        <v>171.80102640810139</v>
      </c>
      <c r="G39" s="6">
        <f t="shared" si="18"/>
        <v>15.787121345609309</v>
      </c>
      <c r="H39" s="6">
        <v>0.4</v>
      </c>
      <c r="I39" s="6">
        <v>1.5</v>
      </c>
      <c r="J39" s="6">
        <v>1</v>
      </c>
      <c r="K39" s="26">
        <f t="shared" si="9"/>
        <v>1.0487869269119983</v>
      </c>
      <c r="L39" s="6">
        <f t="shared" si="10"/>
        <v>1787.6593288410547</v>
      </c>
      <c r="M39" s="6">
        <f t="shared" si="11"/>
        <v>25174.01609103693</v>
      </c>
      <c r="N39" s="6">
        <f t="shared" si="4"/>
        <v>2368.0682018413963</v>
      </c>
      <c r="O39" s="6">
        <f t="shared" si="5"/>
        <v>0.4</v>
      </c>
      <c r="P39" s="6">
        <f t="shared" si="6"/>
        <v>1.5</v>
      </c>
      <c r="Q39" s="6">
        <f t="shared" si="7"/>
        <v>1</v>
      </c>
      <c r="R39" s="6"/>
      <c r="S39" s="38">
        <v>22</v>
      </c>
      <c r="T39" s="6">
        <f>VLOOKUP($S$13,角色设定!$AB$9:$AJ$21,MATCH(E$17,角色设定!$AB$9:$AJ$9,0),0)*Z39*$L$15*E39/Y39/(1+W39*(X39-1))</f>
        <v>1410.3935613908322</v>
      </c>
      <c r="U39" s="6">
        <f>VLOOKUP($S$13,角色设定!$AB$9:$AJ$21,MATCH(F$17,角色设定!$AB$9:$AJ$9,0),0)*F39*$L$15/(1+V39/$N$16)</f>
        <v>42040.579295205316</v>
      </c>
      <c r="V39" s="6">
        <f>VLOOKUP($S$13,角色设定!$AB$9:$AJ$21,MATCH(V$17,角色设定!$AB$9:$AJ$9,0),0)*G39*$L$15</f>
        <v>10447.359714006159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1</v>
      </c>
      <c r="Z39" s="6">
        <f>VLOOKUP($S$13,角色设定!$AB$9:$AJ$21,MATCH(Z$17,角色设定!$AB$9:$AJ$9,0),0)</f>
        <v>0.9</v>
      </c>
      <c r="AA39" s="6"/>
      <c r="AB39" s="6"/>
      <c r="AC39" s="6">
        <f>T39*战斗公式!$E$39*(1+W39*(X39-1))*Y39</f>
        <v>42311.806841724967</v>
      </c>
      <c r="AD39" s="6">
        <f>U39*战斗公式!$E$41*(1+V39*战斗公式!$E$40)</f>
        <v>46432.709840027412</v>
      </c>
      <c r="AE39" s="22">
        <f t="shared" si="12"/>
        <v>88744.516681752371</v>
      </c>
      <c r="AF39" s="22">
        <f t="shared" si="19"/>
        <v>4225.929365797725</v>
      </c>
      <c r="AG39" s="22"/>
      <c r="AH39" s="9">
        <f t="shared" si="13"/>
        <v>394.91019718943306</v>
      </c>
      <c r="AI39" s="9">
        <f t="shared" si="14"/>
        <v>11771.36220265749</v>
      </c>
      <c r="AJ39" s="9">
        <f t="shared" si="15"/>
        <v>2925.260719921725</v>
      </c>
      <c r="AK39" s="9">
        <f t="shared" si="20"/>
        <v>18.805247485211112</v>
      </c>
      <c r="AL39" s="9">
        <f t="shared" si="21"/>
        <v>509.81513270716459</v>
      </c>
      <c r="AM39" s="9">
        <f t="shared" si="22"/>
        <v>139.29812952008206</v>
      </c>
    </row>
    <row r="40" spans="4:39" ht="14.25" customHeight="1" x14ac:dyDescent="0.2">
      <c r="D40" s="1">
        <v>23</v>
      </c>
      <c r="E40" s="6">
        <f t="shared" si="16"/>
        <v>21.451911946092658</v>
      </c>
      <c r="F40" s="6">
        <f t="shared" si="17"/>
        <v>180.39107772850647</v>
      </c>
      <c r="G40" s="6">
        <f t="shared" si="18"/>
        <v>16.576477412889776</v>
      </c>
      <c r="H40" s="6">
        <v>0.4</v>
      </c>
      <c r="I40" s="6">
        <v>1.5</v>
      </c>
      <c r="J40" s="6">
        <v>1</v>
      </c>
      <c r="K40" s="26">
        <f t="shared" si="9"/>
        <v>1.0487278165091543</v>
      </c>
      <c r="L40" s="6">
        <f t="shared" si="10"/>
        <v>1877.0422952831073</v>
      </c>
      <c r="M40" s="6">
        <f t="shared" si="11"/>
        <v>26402.178974151819</v>
      </c>
      <c r="N40" s="6">
        <f t="shared" si="4"/>
        <v>2486.4716119334666</v>
      </c>
      <c r="O40" s="6">
        <f t="shared" si="5"/>
        <v>0.4</v>
      </c>
      <c r="P40" s="6">
        <f t="shared" si="6"/>
        <v>1.5</v>
      </c>
      <c r="Q40" s="6">
        <f t="shared" si="7"/>
        <v>1</v>
      </c>
      <c r="R40" s="6"/>
      <c r="S40" s="38">
        <v>23</v>
      </c>
      <c r="T40" s="6">
        <f>VLOOKUP($S$13,角色设定!$AB$9:$AJ$21,MATCH(E$17,角色设定!$AB$9:$AJ$9,0),0)*Z40*$L$15*E40/Y40/(1+W40*(X40-1))</f>
        <v>1480.9132394603739</v>
      </c>
      <c r="U40" s="6">
        <f>VLOOKUP($S$13,角色设定!$AB$9:$AJ$21,MATCH(F$17,角色设定!$AB$9:$AJ$9,0),0)*F40*$L$15/(1+V40/$N$16)</f>
        <v>43934.815685915877</v>
      </c>
      <c r="V40" s="6">
        <f>VLOOKUP($S$13,角色设定!$AB$9:$AJ$21,MATCH(V$17,角色设定!$AB$9:$AJ$9,0),0)*G40*$L$15</f>
        <v>10969.727699706469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1</v>
      </c>
      <c r="Z40" s="6">
        <f>VLOOKUP($S$13,角色设定!$AB$9:$AJ$21,MATCH(Z$17,角色设定!$AB$9:$AJ$9,0),0)</f>
        <v>0.9</v>
      </c>
      <c r="AA40" s="6"/>
      <c r="AB40" s="6"/>
      <c r="AC40" s="6">
        <f>T40*战斗公式!$E$39*(1+W40*(X40-1))*Y40</f>
        <v>44427.397183811212</v>
      </c>
      <c r="AD40" s="6">
        <f>U40*战斗公式!$E$41*(1+V40*战斗公式!$E$40)</f>
        <v>48754.345332028781</v>
      </c>
      <c r="AE40" s="22">
        <f t="shared" si="12"/>
        <v>93181.742515839986</v>
      </c>
      <c r="AF40" s="22">
        <f t="shared" si="19"/>
        <v>4437.2258340876142</v>
      </c>
      <c r="AG40" s="22"/>
      <c r="AH40" s="9">
        <f t="shared" si="13"/>
        <v>414.65570704890473</v>
      </c>
      <c r="AI40" s="9">
        <f t="shared" si="14"/>
        <v>12301.748392056446</v>
      </c>
      <c r="AJ40" s="9">
        <f t="shared" si="15"/>
        <v>3071.5237559178117</v>
      </c>
      <c r="AK40" s="9">
        <f t="shared" si="20"/>
        <v>19.745509859471667</v>
      </c>
      <c r="AL40" s="9">
        <f t="shared" si="21"/>
        <v>530.38618939895605</v>
      </c>
      <c r="AM40" s="9">
        <f t="shared" si="22"/>
        <v>146.26303599608673</v>
      </c>
    </row>
    <row r="41" spans="4:39" ht="14.25" customHeight="1" x14ac:dyDescent="0.2">
      <c r="D41" s="1">
        <v>24</v>
      </c>
      <c r="E41" s="6">
        <f t="shared" si="16"/>
        <v>22.524507543397291</v>
      </c>
      <c r="F41" s="6">
        <f t="shared" si="17"/>
        <v>189.41063161493182</v>
      </c>
      <c r="G41" s="6">
        <f t="shared" si="18"/>
        <v>17.405301283534264</v>
      </c>
      <c r="H41" s="6">
        <v>0.4</v>
      </c>
      <c r="I41" s="6">
        <v>1.5</v>
      </c>
      <c r="J41" s="6">
        <v>1</v>
      </c>
      <c r="K41" s="26">
        <f t="shared" si="9"/>
        <v>1.0486659045488202</v>
      </c>
      <c r="L41" s="6">
        <f t="shared" si="10"/>
        <v>1970.8944100472629</v>
      </c>
      <c r="M41" s="6">
        <f t="shared" si="11"/>
        <v>27688.699506646139</v>
      </c>
      <c r="N41" s="6">
        <f t="shared" si="4"/>
        <v>2610.7951925301395</v>
      </c>
      <c r="O41" s="6">
        <f t="shared" si="5"/>
        <v>0.4</v>
      </c>
      <c r="P41" s="6">
        <f t="shared" si="6"/>
        <v>1.5</v>
      </c>
      <c r="Q41" s="6">
        <f t="shared" si="7"/>
        <v>1</v>
      </c>
      <c r="R41" s="6"/>
      <c r="S41" s="38">
        <v>24</v>
      </c>
      <c r="T41" s="6">
        <f>VLOOKUP($S$13,角色设定!$AB$9:$AJ$21,MATCH(E$17,角色设定!$AB$9:$AJ$9,0),0)*Z41*$L$15*E41/Y41/(1+W41*(X41-1))</f>
        <v>1554.9589014333926</v>
      </c>
      <c r="U41" s="6">
        <f>VLOOKUP($S$13,角色设定!$AB$9:$AJ$21,MATCH(F$17,角色设定!$AB$9:$AJ$9,0),0)*F41*$L$15/(1+V41/$N$16)</f>
        <v>45904.665008132877</v>
      </c>
      <c r="V41" s="6">
        <f>VLOOKUP($S$13,角色设定!$AB$9:$AJ$21,MATCH(V$17,角色设定!$AB$9:$AJ$9,0),0)*G41*$L$15</f>
        <v>11518.214084691792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1</v>
      </c>
      <c r="Z41" s="6">
        <f>VLOOKUP($S$13,角色设定!$AB$9:$AJ$21,MATCH(Z$17,角色设定!$AB$9:$AJ$9,0),0)</f>
        <v>0.9</v>
      </c>
      <c r="AA41" s="6"/>
      <c r="AB41" s="6"/>
      <c r="AC41" s="6">
        <f>T41*战斗公式!$E$39*(1+W41*(X41-1))*Y41</f>
        <v>46648.767043001775</v>
      </c>
      <c r="AD41" s="6">
        <f>U41*战斗公式!$E$41*(1+V41*战斗公式!$E$40)</f>
        <v>51192.062598630226</v>
      </c>
      <c r="AE41" s="22">
        <f t="shared" si="12"/>
        <v>97840.829641632008</v>
      </c>
      <c r="AF41" s="22">
        <f t="shared" si="19"/>
        <v>4659.0871257920226</v>
      </c>
      <c r="AG41" s="22"/>
      <c r="AH41" s="9">
        <f t="shared" si="13"/>
        <v>435.38849240134999</v>
      </c>
      <c r="AI41" s="9">
        <f t="shared" si="14"/>
        <v>12853.306202277206</v>
      </c>
      <c r="AJ41" s="9">
        <f t="shared" si="15"/>
        <v>3225.099943713702</v>
      </c>
      <c r="AK41" s="9">
        <f t="shared" si="20"/>
        <v>20.732785352445262</v>
      </c>
      <c r="AL41" s="9">
        <f t="shared" si="21"/>
        <v>551.55781022076008</v>
      </c>
      <c r="AM41" s="9">
        <f t="shared" si="22"/>
        <v>153.57618779589029</v>
      </c>
    </row>
    <row r="42" spans="4:39" ht="14.25" customHeight="1" x14ac:dyDescent="0.2">
      <c r="D42" s="1">
        <v>25</v>
      </c>
      <c r="E42" s="6">
        <f t="shared" si="16"/>
        <v>23.650732920567158</v>
      </c>
      <c r="F42" s="6">
        <f t="shared" si="17"/>
        <v>198.88116319567843</v>
      </c>
      <c r="G42" s="6">
        <f t="shared" si="18"/>
        <v>18.275566347710978</v>
      </c>
      <c r="H42" s="6">
        <v>0.4</v>
      </c>
      <c r="I42" s="6">
        <v>1.5</v>
      </c>
      <c r="J42" s="6">
        <v>1</v>
      </c>
      <c r="K42" s="26">
        <f t="shared" si="9"/>
        <v>1.0486010660876299</v>
      </c>
      <c r="L42" s="6">
        <f t="shared" si="10"/>
        <v>2069.4391305496265</v>
      </c>
      <c r="M42" s="6">
        <f t="shared" si="11"/>
        <v>29036.195113917543</v>
      </c>
      <c r="N42" s="6">
        <f t="shared" si="4"/>
        <v>2741.3349521566465</v>
      </c>
      <c r="O42" s="6">
        <f t="shared" si="5"/>
        <v>0.4</v>
      </c>
      <c r="P42" s="6">
        <f t="shared" si="6"/>
        <v>1.5</v>
      </c>
      <c r="Q42" s="6">
        <f t="shared" si="7"/>
        <v>1</v>
      </c>
      <c r="R42" s="6"/>
      <c r="S42" s="38">
        <v>25</v>
      </c>
      <c r="T42" s="6">
        <f>VLOOKUP($S$13,角色设定!$AB$9:$AJ$21,MATCH(E$17,角色设定!$AB$9:$AJ$9,0),0)*Z42*$L$15*E42/Y42/(1+W42*(X42-1))</f>
        <v>1632.7068465050625</v>
      </c>
      <c r="U42" s="6">
        <f>VLOOKUP($S$13,角色设定!$AB$9:$AJ$21,MATCH(F$17,角色设定!$AB$9:$AJ$9,0),0)*F42*$L$15/(1+V42/$N$16)</f>
        <v>47952.259611979054</v>
      </c>
      <c r="V42" s="6">
        <f>VLOOKUP($S$13,角色设定!$AB$9:$AJ$21,MATCH(V$17,角色设定!$AB$9:$AJ$9,0),0)*G42*$L$15</f>
        <v>12094.124788926381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1</v>
      </c>
      <c r="Z42" s="6">
        <f>VLOOKUP($S$13,角色设定!$AB$9:$AJ$21,MATCH(Z$17,角色设定!$AB$9:$AJ$9,0),0)</f>
        <v>0.9</v>
      </c>
      <c r="AA42" s="6"/>
      <c r="AB42" s="6"/>
      <c r="AC42" s="6">
        <f>T42*战斗公式!$E$39*(1+W42*(X42-1))*Y42</f>
        <v>48981.205395151868</v>
      </c>
      <c r="AD42" s="6">
        <f>U42*战斗公式!$E$41*(1+V42*战斗公式!$E$40)</f>
        <v>53751.66572856174</v>
      </c>
      <c r="AE42" s="22">
        <f t="shared" si="12"/>
        <v>102732.87112371362</v>
      </c>
      <c r="AF42" s="22">
        <f t="shared" si="19"/>
        <v>4892.0414820816077</v>
      </c>
      <c r="AG42" s="22"/>
      <c r="AH42" s="9">
        <f t="shared" si="13"/>
        <v>457.15791702141752</v>
      </c>
      <c r="AI42" s="9">
        <f t="shared" si="14"/>
        <v>13426.632691354136</v>
      </c>
      <c r="AJ42" s="9">
        <f t="shared" si="15"/>
        <v>3386.3549408993872</v>
      </c>
      <c r="AK42" s="9">
        <f t="shared" si="20"/>
        <v>21.769424620067525</v>
      </c>
      <c r="AL42" s="9">
        <f t="shared" si="21"/>
        <v>573.32648907692965</v>
      </c>
      <c r="AM42" s="9">
        <f t="shared" si="22"/>
        <v>161.25499718568517</v>
      </c>
    </row>
    <row r="43" spans="4:39" ht="14.25" customHeight="1" x14ac:dyDescent="0.2">
      <c r="D43" s="1">
        <v>26</v>
      </c>
      <c r="E43" s="6">
        <f t="shared" si="16"/>
        <v>24.833269566595519</v>
      </c>
      <c r="F43" s="6">
        <f t="shared" si="17"/>
        <v>208.82522135546236</v>
      </c>
      <c r="G43" s="6">
        <f t="shared" si="18"/>
        <v>19.189344665096527</v>
      </c>
      <c r="H43" s="6">
        <v>0.4</v>
      </c>
      <c r="I43" s="6">
        <v>1.5</v>
      </c>
      <c r="J43" s="6">
        <v>1</v>
      </c>
      <c r="K43" s="26">
        <f t="shared" si="9"/>
        <v>1.0485331713883002</v>
      </c>
      <c r="L43" s="6">
        <f t="shared" si="10"/>
        <v>2172.9110870771078</v>
      </c>
      <c r="M43" s="6">
        <f t="shared" si="11"/>
        <v>30447.38515158237</v>
      </c>
      <c r="N43" s="6">
        <f t="shared" si="4"/>
        <v>2878.401699764479</v>
      </c>
      <c r="O43" s="6">
        <f t="shared" si="5"/>
        <v>0.4</v>
      </c>
      <c r="P43" s="6">
        <f t="shared" si="6"/>
        <v>1.5</v>
      </c>
      <c r="Q43" s="6">
        <f t="shared" si="7"/>
        <v>1</v>
      </c>
      <c r="R43" s="6"/>
      <c r="S43" s="38">
        <v>26</v>
      </c>
      <c r="T43" s="6">
        <f>VLOOKUP($S$13,角色设定!$AB$9:$AJ$21,MATCH(E$17,角色设定!$AB$9:$AJ$9,0),0)*Z43*$L$15*E43/Y43/(1+W43*(X43-1))</f>
        <v>1714.3421888303158</v>
      </c>
      <c r="U43" s="6">
        <f>VLOOKUP($S$13,角色设定!$AB$9:$AJ$21,MATCH(F$17,角色设定!$AB$9:$AJ$9,0),0)*F43*$L$15/(1+V43/$N$16)</f>
        <v>50079.711120322856</v>
      </c>
      <c r="V43" s="6">
        <f>VLOOKUP($S$13,角色设定!$AB$9:$AJ$21,MATCH(V$17,角色设定!$AB$9:$AJ$9,0),0)*G43*$L$15</f>
        <v>12698.831028372701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1</v>
      </c>
      <c r="Z43" s="6">
        <f>VLOOKUP($S$13,角色设定!$AB$9:$AJ$21,MATCH(Z$17,角色设定!$AB$9:$AJ$9,0),0)</f>
        <v>0.9</v>
      </c>
      <c r="AA43" s="6"/>
      <c r="AB43" s="6"/>
      <c r="AC43" s="6">
        <f>T43*战斗公式!$E$39*(1+W43*(X43-1))*Y43</f>
        <v>51430.265664909472</v>
      </c>
      <c r="AD43" s="6">
        <f>U43*战斗公式!$E$41*(1+V43*战斗公式!$E$40)</f>
        <v>56439.249014989829</v>
      </c>
      <c r="AE43" s="22">
        <f t="shared" si="12"/>
        <v>107869.51467989929</v>
      </c>
      <c r="AF43" s="22">
        <f t="shared" si="19"/>
        <v>5136.6435561856779</v>
      </c>
      <c r="AG43" s="22"/>
      <c r="AH43" s="9">
        <f t="shared" si="13"/>
        <v>480.01581287248848</v>
      </c>
      <c r="AI43" s="9">
        <f t="shared" si="14"/>
        <v>14022.319113690401</v>
      </c>
      <c r="AJ43" s="9">
        <f t="shared" si="15"/>
        <v>3555.6726879443563</v>
      </c>
      <c r="AK43" s="9">
        <f t="shared" si="20"/>
        <v>22.857895851070964</v>
      </c>
      <c r="AL43" s="9">
        <f t="shared" si="21"/>
        <v>595.68642233626451</v>
      </c>
      <c r="AM43" s="9">
        <f t="shared" si="22"/>
        <v>169.31774704496911</v>
      </c>
    </row>
    <row r="44" spans="4:39" ht="14.25" customHeight="1" x14ac:dyDescent="0.2">
      <c r="D44" s="1">
        <v>27</v>
      </c>
      <c r="E44" s="6">
        <f t="shared" si="16"/>
        <v>26.074933044925295</v>
      </c>
      <c r="F44" s="6">
        <f t="shared" si="17"/>
        <v>219.26648242323549</v>
      </c>
      <c r="G44" s="6">
        <f t="shared" si="18"/>
        <v>20.148811898351354</v>
      </c>
      <c r="H44" s="6">
        <v>0.4</v>
      </c>
      <c r="I44" s="6">
        <v>1.5</v>
      </c>
      <c r="J44" s="6">
        <v>1</v>
      </c>
      <c r="K44" s="26">
        <f t="shared" si="9"/>
        <v>1.048462085814245</v>
      </c>
      <c r="L44" s="6">
        <f t="shared" si="10"/>
        <v>2281.5566414309633</v>
      </c>
      <c r="M44" s="6">
        <f t="shared" si="11"/>
        <v>31925.093313469701</v>
      </c>
      <c r="N44" s="6">
        <f t="shared" si="4"/>
        <v>3022.321784752703</v>
      </c>
      <c r="O44" s="6">
        <f t="shared" si="5"/>
        <v>0.4</v>
      </c>
      <c r="P44" s="6">
        <f t="shared" si="6"/>
        <v>1.5</v>
      </c>
      <c r="Q44" s="6">
        <f t="shared" si="7"/>
        <v>1</v>
      </c>
      <c r="R44" s="6"/>
      <c r="S44" s="38">
        <v>27</v>
      </c>
      <c r="T44" s="6">
        <f>VLOOKUP($S$13,角色设定!$AB$9:$AJ$21,MATCH(E$17,角色设定!$AB$9:$AJ$9,0),0)*Z44*$L$15*E44/Y44/(1+W44*(X44-1))</f>
        <v>1800.0592982718317</v>
      </c>
      <c r="U44" s="6">
        <f>VLOOKUP($S$13,角色设定!$AB$9:$AJ$21,MATCH(F$17,角色设定!$AB$9:$AJ$9,0),0)*F44*$L$15/(1+V44/$N$16)</f>
        <v>52289.10157739358</v>
      </c>
      <c r="V44" s="6">
        <f>VLOOKUP($S$13,角色设定!$AB$9:$AJ$21,MATCH(V$17,角色设定!$AB$9:$AJ$9,0),0)*G44*$L$15</f>
        <v>13333.772579791335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1</v>
      </c>
      <c r="Z44" s="6">
        <f>VLOOKUP($S$13,角色设定!$AB$9:$AJ$21,MATCH(Z$17,角色设定!$AB$9:$AJ$9,0),0)</f>
        <v>0.9</v>
      </c>
      <c r="AA44" s="6"/>
      <c r="AB44" s="6"/>
      <c r="AC44" s="6">
        <f>T44*战斗公式!$E$39*(1+W44*(X44-1))*Y44</f>
        <v>54001.778948154948</v>
      </c>
      <c r="AD44" s="6">
        <f>U44*战斗公式!$E$41*(1+V44*战斗公式!$E$40)</f>
        <v>59261.211465739325</v>
      </c>
      <c r="AE44" s="22">
        <f t="shared" si="12"/>
        <v>113262.99041389427</v>
      </c>
      <c r="AF44" s="22">
        <f t="shared" si="19"/>
        <v>5393.475733994972</v>
      </c>
      <c r="AG44" s="22"/>
      <c r="AH44" s="9">
        <f t="shared" si="13"/>
        <v>504.01660351611292</v>
      </c>
      <c r="AI44" s="9">
        <f t="shared" si="14"/>
        <v>14640.948441670203</v>
      </c>
      <c r="AJ44" s="9">
        <f t="shared" si="15"/>
        <v>3733.4563223415744</v>
      </c>
      <c r="AK44" s="9">
        <f t="shared" si="20"/>
        <v>24.000790643624441</v>
      </c>
      <c r="AL44" s="9">
        <f t="shared" si="21"/>
        <v>618.62932797980284</v>
      </c>
      <c r="AM44" s="9">
        <f t="shared" si="22"/>
        <v>177.78363439721807</v>
      </c>
    </row>
    <row r="45" spans="4:39" ht="14.25" customHeight="1" x14ac:dyDescent="0.2">
      <c r="D45" s="1">
        <v>28</v>
      </c>
      <c r="E45" s="6">
        <f t="shared" si="16"/>
        <v>27.37867969717156</v>
      </c>
      <c r="F45" s="6">
        <f t="shared" si="17"/>
        <v>230.22980654439726</v>
      </c>
      <c r="G45" s="6">
        <f t="shared" si="18"/>
        <v>21.156252493268923</v>
      </c>
      <c r="H45" s="6">
        <v>0.4</v>
      </c>
      <c r="I45" s="6">
        <v>1.5</v>
      </c>
      <c r="J45" s="6">
        <v>1</v>
      </c>
      <c r="K45" s="26">
        <f t="shared" si="9"/>
        <v>1.0483876697305505</v>
      </c>
      <c r="L45" s="6">
        <f t="shared" si="10"/>
        <v>2395.6344735025114</v>
      </c>
      <c r="M45" s="6">
        <f t="shared" si="11"/>
        <v>33472.249925254851</v>
      </c>
      <c r="N45" s="6">
        <f t="shared" si="4"/>
        <v>3173.4378739903386</v>
      </c>
      <c r="O45" s="6">
        <f t="shared" si="5"/>
        <v>0.4</v>
      </c>
      <c r="P45" s="6">
        <f t="shared" si="6"/>
        <v>1.5</v>
      </c>
      <c r="Q45" s="6">
        <f t="shared" si="7"/>
        <v>1</v>
      </c>
      <c r="R45" s="6"/>
      <c r="S45" s="38">
        <v>28</v>
      </c>
      <c r="T45" s="6">
        <f>VLOOKUP($S$13,角色设定!$AB$9:$AJ$21,MATCH(E$17,角色设定!$AB$9:$AJ$9,0),0)*Z45*$L$15*E45/Y45/(1+W45*(X45-1))</f>
        <v>1890.062263185423</v>
      </c>
      <c r="U45" s="6">
        <f>VLOOKUP($S$13,角色设定!$AB$9:$AJ$21,MATCH(F$17,角色设定!$AB$9:$AJ$9,0),0)*F45*$L$15/(1+V45/$N$16)</f>
        <v>54582.473947248771</v>
      </c>
      <c r="V45" s="6">
        <f>VLOOKUP($S$13,角色设定!$AB$9:$AJ$21,MATCH(V$17,角色设定!$AB$9:$AJ$9,0),0)*G45*$L$15</f>
        <v>14000.461208780902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1</v>
      </c>
      <c r="Z45" s="6">
        <f>VLOOKUP($S$13,角色设定!$AB$9:$AJ$21,MATCH(Z$17,角色设定!$AB$9:$AJ$9,0),0)</f>
        <v>0.9</v>
      </c>
      <c r="AA45" s="6"/>
      <c r="AB45" s="6"/>
      <c r="AC45" s="6">
        <f>T45*战斗公式!$E$39*(1+W45*(X45-1))*Y45</f>
        <v>56701.867895562689</v>
      </c>
      <c r="AD45" s="6">
        <f>U45*战斗公式!$E$41*(1+V45*战斗公式!$E$40)</f>
        <v>62224.272039026284</v>
      </c>
      <c r="AE45" s="22">
        <f t="shared" si="12"/>
        <v>118926.13993458898</v>
      </c>
      <c r="AF45" s="22">
        <f t="shared" si="19"/>
        <v>5663.1495206947147</v>
      </c>
      <c r="AG45" s="22"/>
      <c r="AH45" s="9">
        <f t="shared" si="13"/>
        <v>529.21743369191847</v>
      </c>
      <c r="AI45" s="9">
        <f t="shared" si="14"/>
        <v>15283.092705229657</v>
      </c>
      <c r="AJ45" s="9">
        <f t="shared" si="15"/>
        <v>3920.129138458653</v>
      </c>
      <c r="AK45" s="9">
        <f t="shared" si="20"/>
        <v>25.20083017580555</v>
      </c>
      <c r="AL45" s="9">
        <f t="shared" si="21"/>
        <v>642.14426355945398</v>
      </c>
      <c r="AM45" s="9">
        <f t="shared" si="22"/>
        <v>186.67281611707858</v>
      </c>
    </row>
    <row r="46" spans="4:39" ht="14.25" customHeight="1" x14ac:dyDescent="0.2">
      <c r="D46" s="1">
        <v>29</v>
      </c>
      <c r="E46" s="6">
        <f t="shared" si="16"/>
        <v>28.747613682030138</v>
      </c>
      <c r="F46" s="6">
        <f t="shared" si="17"/>
        <v>241.74129687161712</v>
      </c>
      <c r="G46" s="6">
        <f t="shared" si="18"/>
        <v>22.214065117932371</v>
      </c>
      <c r="H46" s="6">
        <v>0.4</v>
      </c>
      <c r="I46" s="6">
        <v>1.5</v>
      </c>
      <c r="J46" s="6">
        <v>1</v>
      </c>
      <c r="K46" s="26">
        <f t="shared" si="9"/>
        <v>1.0483097784125062</v>
      </c>
      <c r="L46" s="6">
        <f t="shared" si="10"/>
        <v>2515.4161971776375</v>
      </c>
      <c r="M46" s="6">
        <f t="shared" si="11"/>
        <v>35091.894099776531</v>
      </c>
      <c r="N46" s="6">
        <f t="shared" si="4"/>
        <v>3332.1097676898557</v>
      </c>
      <c r="O46" s="6">
        <f t="shared" si="5"/>
        <v>0.4</v>
      </c>
      <c r="P46" s="6">
        <f t="shared" si="6"/>
        <v>1.5</v>
      </c>
      <c r="Q46" s="6">
        <f t="shared" si="7"/>
        <v>1</v>
      </c>
      <c r="R46" s="6"/>
      <c r="S46" s="38">
        <v>29</v>
      </c>
      <c r="T46" s="6">
        <f>VLOOKUP($S$13,角色设定!$AB$9:$AJ$21,MATCH(E$17,角色设定!$AB$9:$AJ$9,0),0)*Z46*$L$15*E46/Y46/(1+W46*(X46-1))</f>
        <v>1984.5653763446944</v>
      </c>
      <c r="U46" s="6">
        <f>VLOOKUP($S$13,角色设定!$AB$9:$AJ$21,MATCH(F$17,角色设定!$AB$9:$AJ$9,0),0)*F46*$L$15/(1+V46/$N$16)</f>
        <v>56961.821963737326</v>
      </c>
      <c r="V46" s="6">
        <f>VLOOKUP($S$13,角色设定!$AB$9:$AJ$21,MATCH(V$17,角色设定!$AB$9:$AJ$9,0),0)*G46*$L$15</f>
        <v>14700.484269219951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1</v>
      </c>
      <c r="Z46" s="6">
        <f>VLOOKUP($S$13,角色设定!$AB$9:$AJ$21,MATCH(Z$17,角色设定!$AB$9:$AJ$9,0),0)</f>
        <v>0.9</v>
      </c>
      <c r="AA46" s="6"/>
      <c r="AB46" s="6"/>
      <c r="AC46" s="6">
        <f>T46*战斗公式!$E$39*(1+W46*(X46-1))*Y46</f>
        <v>59536.961290340834</v>
      </c>
      <c r="AD46" s="6">
        <f>U46*战斗公式!$E$41*(1+V46*战斗公式!$E$40)</f>
        <v>65335.485640977604</v>
      </c>
      <c r="AE46" s="22">
        <f t="shared" si="12"/>
        <v>124872.44693131844</v>
      </c>
      <c r="AF46" s="22">
        <f t="shared" si="19"/>
        <v>5946.3069967294578</v>
      </c>
      <c r="AG46" s="22"/>
      <c r="AH46" s="9">
        <f t="shared" si="13"/>
        <v>555.67830537651446</v>
      </c>
      <c r="AI46" s="9">
        <f t="shared" si="14"/>
        <v>15949.310149846453</v>
      </c>
      <c r="AJ46" s="9">
        <f t="shared" si="15"/>
        <v>4116.1355953815864</v>
      </c>
      <c r="AK46" s="9">
        <f t="shared" si="20"/>
        <v>26.460871684595986</v>
      </c>
      <c r="AL46" s="9">
        <f t="shared" si="21"/>
        <v>666.21744461679555</v>
      </c>
      <c r="AM46" s="9">
        <f t="shared" si="22"/>
        <v>196.00645692293347</v>
      </c>
    </row>
    <row r="47" spans="4:39" ht="14.25" customHeight="1" x14ac:dyDescent="0.2">
      <c r="D47" s="1">
        <v>30</v>
      </c>
      <c r="E47" s="6">
        <f t="shared" si="16"/>
        <v>30.184994366131647</v>
      </c>
      <c r="F47" s="6">
        <f t="shared" si="17"/>
        <v>253.82836171519799</v>
      </c>
      <c r="G47" s="6">
        <f t="shared" si="18"/>
        <v>23.324768373828991</v>
      </c>
      <c r="H47" s="6">
        <v>0.4</v>
      </c>
      <c r="I47" s="6">
        <v>1.5</v>
      </c>
      <c r="J47" s="6">
        <v>1</v>
      </c>
      <c r="K47" s="26">
        <f t="shared" si="9"/>
        <v>1.0482282619630086</v>
      </c>
      <c r="L47" s="6">
        <f t="shared" si="10"/>
        <v>2641.1870070365189</v>
      </c>
      <c r="M47" s="6">
        <f t="shared" si="11"/>
        <v>36787.175727811868</v>
      </c>
      <c r="N47" s="6">
        <f t="shared" si="4"/>
        <v>3498.7152560743489</v>
      </c>
      <c r="O47" s="6">
        <f t="shared" si="5"/>
        <v>0.4</v>
      </c>
      <c r="P47" s="6">
        <f t="shared" si="6"/>
        <v>1.5</v>
      </c>
      <c r="Q47" s="6">
        <f t="shared" si="7"/>
        <v>1</v>
      </c>
      <c r="R47" s="6"/>
      <c r="S47" s="38">
        <v>30</v>
      </c>
      <c r="T47" s="6">
        <f>VLOOKUP($S$13,角色设定!$AB$9:$AJ$21,MATCH(E$17,角色设定!$AB$9:$AJ$9,0),0)*Z47*$L$15*E47/Y47/(1+W47*(X47-1))</f>
        <v>2083.7936451619289</v>
      </c>
      <c r="U47" s="6">
        <f>VLOOKUP($S$13,角色设定!$AB$9:$AJ$21,MATCH(F$17,角色设定!$AB$9:$AJ$9,0),0)*F47*$L$15/(1+V47/$N$16)</f>
        <v>59429.0793402786</v>
      </c>
      <c r="V47" s="6">
        <f>VLOOKUP($S$13,角色设定!$AB$9:$AJ$21,MATCH(V$17,角色设定!$AB$9:$AJ$9,0),0)*G47*$L$15</f>
        <v>15435.508482680947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1</v>
      </c>
      <c r="Z47" s="6">
        <f>VLOOKUP($S$13,角色设定!$AB$9:$AJ$21,MATCH(Z$17,角色设定!$AB$9:$AJ$9,0),0)</f>
        <v>0.9</v>
      </c>
      <c r="AA47" s="6"/>
      <c r="AB47" s="6"/>
      <c r="AC47" s="6">
        <f>T47*战斗公式!$E$39*(1+W47*(X47-1))*Y47</f>
        <v>62513.809354857869</v>
      </c>
      <c r="AD47" s="6">
        <f>U47*战斗公式!$E$41*(1+V47*战斗公式!$E$40)</f>
        <v>68602.25992302649</v>
      </c>
      <c r="AE47" s="22">
        <f t="shared" si="12"/>
        <v>131116.06927788435</v>
      </c>
      <c r="AF47" s="22">
        <f t="shared" si="19"/>
        <v>6243.6223465659132</v>
      </c>
      <c r="AG47" s="22"/>
      <c r="AH47" s="9">
        <f t="shared" si="13"/>
        <v>583.46222064534015</v>
      </c>
      <c r="AI47" s="9">
        <f t="shared" si="14"/>
        <v>16640.142215278011</v>
      </c>
      <c r="AJ47" s="9">
        <f t="shared" si="15"/>
        <v>4321.9423751506656</v>
      </c>
      <c r="AK47" s="9">
        <f t="shared" si="20"/>
        <v>27.783915268825695</v>
      </c>
      <c r="AL47" s="9">
        <f t="shared" si="21"/>
        <v>690.83206543155757</v>
      </c>
      <c r="AM47" s="9">
        <f t="shared" si="22"/>
        <v>205.80677976907918</v>
      </c>
    </row>
    <row r="48" spans="4:39" ht="14.25" customHeight="1" x14ac:dyDescent="0.2">
      <c r="D48" s="1">
        <v>31</v>
      </c>
      <c r="E48" s="6">
        <f t="shared" si="16"/>
        <v>31.694244084438232</v>
      </c>
      <c r="F48" s="6">
        <f t="shared" si="17"/>
        <v>266.51977980095791</v>
      </c>
      <c r="G48" s="6">
        <f t="shared" si="18"/>
        <v>24.491006792520441</v>
      </c>
      <c r="H48" s="6">
        <v>0.4</v>
      </c>
      <c r="I48" s="6">
        <v>1.5</v>
      </c>
      <c r="J48" s="6">
        <v>1</v>
      </c>
      <c r="K48" s="26">
        <f t="shared" si="9"/>
        <v>1.0481429652402792</v>
      </c>
      <c r="L48" s="6">
        <f t="shared" si="10"/>
        <v>2773.2463573883451</v>
      </c>
      <c r="M48" s="6">
        <f t="shared" si="11"/>
        <v>38561.357275692011</v>
      </c>
      <c r="N48" s="6">
        <f t="shared" si="4"/>
        <v>3673.6510188780662</v>
      </c>
      <c r="O48" s="6">
        <f t="shared" si="5"/>
        <v>0.4</v>
      </c>
      <c r="P48" s="6">
        <f t="shared" si="6"/>
        <v>1.5</v>
      </c>
      <c r="Q48" s="6">
        <f t="shared" si="7"/>
        <v>1</v>
      </c>
      <c r="R48" s="6"/>
      <c r="S48" s="38">
        <v>31</v>
      </c>
      <c r="T48" s="6">
        <f>VLOOKUP($S$13,角色设定!$AB$9:$AJ$21,MATCH(E$17,角色设定!$AB$9:$AJ$9,0),0)*Z48*$L$15*E48/Y48/(1+W48*(X48-1))</f>
        <v>2187.9833274200259</v>
      </c>
      <c r="U48" s="6">
        <f>VLOOKUP($S$13,角色设定!$AB$9:$AJ$21,MATCH(F$17,角色设定!$AB$9:$AJ$9,0),0)*F48*$L$15/(1+V48/$N$16)</f>
        <v>61986.108355255579</v>
      </c>
      <c r="V48" s="6">
        <f>VLOOKUP($S$13,角色设定!$AB$9:$AJ$21,MATCH(V$17,角色设定!$AB$9:$AJ$9,0),0)*G48*$L$15</f>
        <v>16207.283906814995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1</v>
      </c>
      <c r="Z48" s="6">
        <f>VLOOKUP($S$13,角色设定!$AB$9:$AJ$21,MATCH(Z$17,角色设定!$AB$9:$AJ$9,0),0)</f>
        <v>0.9</v>
      </c>
      <c r="AA48" s="6"/>
      <c r="AB48" s="6"/>
      <c r="AC48" s="6">
        <f>T48*战斗公式!$E$39*(1+W48*(X48-1))*Y48</f>
        <v>65639.499822600774</v>
      </c>
      <c r="AD48" s="6">
        <f>U48*战斗公式!$E$41*(1+V48*战斗公式!$E$40)</f>
        <v>72032.372919177811</v>
      </c>
      <c r="AE48" s="22">
        <f t="shared" si="12"/>
        <v>137671.87274177858</v>
      </c>
      <c r="AF48" s="22">
        <f t="shared" si="19"/>
        <v>6555.8034638942336</v>
      </c>
      <c r="AG48" s="22"/>
      <c r="AH48" s="9">
        <f t="shared" si="13"/>
        <v>612.63533167760727</v>
      </c>
      <c r="AI48" s="9">
        <f t="shared" si="14"/>
        <v>17356.110339471565</v>
      </c>
      <c r="AJ48" s="9">
        <f t="shared" si="15"/>
        <v>4538.0394939081989</v>
      </c>
      <c r="AK48" s="9">
        <f t="shared" si="20"/>
        <v>29.173111032267116</v>
      </c>
      <c r="AL48" s="9">
        <f t="shared" si="21"/>
        <v>715.9681241935541</v>
      </c>
      <c r="AM48" s="9">
        <f t="shared" si="22"/>
        <v>216.09711875753328</v>
      </c>
    </row>
    <row r="49" spans="4:39" ht="14.25" customHeight="1" x14ac:dyDescent="0.2">
      <c r="D49" s="1">
        <v>32</v>
      </c>
      <c r="E49" s="6">
        <f t="shared" si="16"/>
        <v>33.278956288660147</v>
      </c>
      <c r="F49" s="6">
        <f t="shared" si="17"/>
        <v>279.84576879100581</v>
      </c>
      <c r="G49" s="6">
        <f t="shared" si="18"/>
        <v>25.715557132146465</v>
      </c>
      <c r="H49" s="6">
        <v>0.4</v>
      </c>
      <c r="I49" s="6">
        <v>1.5</v>
      </c>
      <c r="J49" s="6">
        <v>1</v>
      </c>
      <c r="K49" s="26">
        <f t="shared" si="9"/>
        <v>1.0480537277974251</v>
      </c>
      <c r="L49" s="6">
        <f t="shared" si="10"/>
        <v>2911.9086752577628</v>
      </c>
      <c r="M49" s="6">
        <f t="shared" si="11"/>
        <v>40417.815358633634</v>
      </c>
      <c r="N49" s="6">
        <f t="shared" si="4"/>
        <v>3857.3335698219698</v>
      </c>
      <c r="O49" s="6">
        <f t="shared" si="5"/>
        <v>0.4</v>
      </c>
      <c r="P49" s="6">
        <f t="shared" si="6"/>
        <v>1.5</v>
      </c>
      <c r="Q49" s="6">
        <f t="shared" si="7"/>
        <v>1</v>
      </c>
      <c r="R49" s="6"/>
      <c r="S49" s="38">
        <v>32</v>
      </c>
      <c r="T49" s="6">
        <f>VLOOKUP($S$13,角色设定!$AB$9:$AJ$21,MATCH(E$17,角色设定!$AB$9:$AJ$9,0),0)*Z49*$L$15*E49/Y49/(1+W49*(X49-1))</f>
        <v>2297.3824937910276</v>
      </c>
      <c r="U49" s="6">
        <f>VLOOKUP($S$13,角色设定!$AB$9:$AJ$21,MATCH(F$17,角色设定!$AB$9:$AJ$9,0),0)*F49*$L$15/(1+V49/$N$16)</f>
        <v>64634.687837093297</v>
      </c>
      <c r="V49" s="6">
        <f>VLOOKUP($S$13,角色设定!$AB$9:$AJ$21,MATCH(V$17,角色设定!$AB$9:$AJ$9,0),0)*G49*$L$15</f>
        <v>17017.648102155748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1</v>
      </c>
      <c r="Z49" s="6">
        <f>VLOOKUP($S$13,角色设定!$AB$9:$AJ$21,MATCH(Z$17,角色设定!$AB$9:$AJ$9,0),0)</f>
        <v>0.9</v>
      </c>
      <c r="AA49" s="6"/>
      <c r="AB49" s="6"/>
      <c r="AC49" s="6">
        <f>T49*战斗公式!$E$39*(1+W49*(X49-1))*Y49</f>
        <v>68921.47481373082</v>
      </c>
      <c r="AD49" s="6">
        <f>U49*战斗公式!$E$41*(1+V49*战斗公式!$E$40)</f>
        <v>75633.991565136705</v>
      </c>
      <c r="AE49" s="22">
        <f t="shared" si="12"/>
        <v>144555.46637886751</v>
      </c>
      <c r="AF49" s="22">
        <f t="shared" si="19"/>
        <v>6883.5936370889249</v>
      </c>
      <c r="AG49" s="22"/>
      <c r="AH49" s="9">
        <f t="shared" si="13"/>
        <v>643.26709826148783</v>
      </c>
      <c r="AI49" s="9">
        <f t="shared" si="14"/>
        <v>18097.712594386125</v>
      </c>
      <c r="AJ49" s="9">
        <f t="shared" si="15"/>
        <v>4764.9414686036098</v>
      </c>
      <c r="AK49" s="9">
        <f t="shared" si="20"/>
        <v>30.631766583880562</v>
      </c>
      <c r="AL49" s="9">
        <f t="shared" si="21"/>
        <v>741.60225491456004</v>
      </c>
      <c r="AM49" s="9">
        <f t="shared" si="22"/>
        <v>226.9019746954109</v>
      </c>
    </row>
    <row r="50" spans="4:39" ht="14.25" customHeight="1" x14ac:dyDescent="0.2">
      <c r="D50" s="1">
        <v>33</v>
      </c>
      <c r="E50" s="6">
        <f t="shared" si="16"/>
        <v>34.942904103093156</v>
      </c>
      <c r="F50" s="6">
        <f t="shared" si="17"/>
        <v>293.8380572305561</v>
      </c>
      <c r="G50" s="6">
        <f t="shared" si="18"/>
        <v>27.00133498875379</v>
      </c>
      <c r="H50" s="6">
        <v>0.4</v>
      </c>
      <c r="I50" s="6">
        <v>1.5</v>
      </c>
      <c r="J50" s="6">
        <v>1</v>
      </c>
      <c r="K50" s="26">
        <f t="shared" si="9"/>
        <v>1.0479603838355409</v>
      </c>
      <c r="L50" s="6">
        <f t="shared" ref="L50:L81" si="23">E50*$L$16/J50/(1+H50*(I50-1))*$L$15</f>
        <v>3057.504109020651</v>
      </c>
      <c r="M50" s="6">
        <f t="shared" ref="M50:M81" si="24">F50/(1+N50/$N$16)*$L$15</f>
        <v>42360.042056044003</v>
      </c>
      <c r="N50" s="6">
        <f t="shared" ref="N50:N81" si="25">G50*$L$15</f>
        <v>4050.2002483130686</v>
      </c>
      <c r="O50" s="6">
        <f t="shared" ref="O50:O81" si="26">H50</f>
        <v>0.4</v>
      </c>
      <c r="P50" s="6">
        <f t="shared" ref="P50:P81" si="27">I50</f>
        <v>1.5</v>
      </c>
      <c r="Q50" s="6">
        <f t="shared" ref="Q50:Q81" si="28">J50</f>
        <v>1</v>
      </c>
      <c r="R50" s="6"/>
      <c r="S50" s="38">
        <v>33</v>
      </c>
      <c r="T50" s="6">
        <f>VLOOKUP($S$13,角色设定!$AB$9:$AJ$21,MATCH(E$17,角色设定!$AB$9:$AJ$9,0),0)*Z50*$L$15*E50/Y50/(1+W50*(X50-1))</f>
        <v>2412.2516184805791</v>
      </c>
      <c r="U50" s="6">
        <f>VLOOKUP($S$13,角色设定!$AB$9:$AJ$21,MATCH(F$17,角色设定!$AB$9:$AJ$9,0),0)*F50*$L$15/(1+V50/$N$16)</f>
        <v>67376.500582146167</v>
      </c>
      <c r="V50" s="6">
        <f>VLOOKUP($S$13,角色设定!$AB$9:$AJ$21,MATCH(V$17,角色设定!$AB$9:$AJ$9,0),0)*G50*$L$15</f>
        <v>17868.530507263535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1</v>
      </c>
      <c r="Z50" s="6">
        <f>VLOOKUP($S$13,角色设定!$AB$9:$AJ$21,MATCH(Z$17,角色设定!$AB$9:$AJ$9,0),0)</f>
        <v>0.9</v>
      </c>
      <c r="AA50" s="6"/>
      <c r="AB50" s="6"/>
      <c r="AC50" s="6">
        <f>T50*战斗公式!$E$39*(1+W50*(X50-1))*Y50</f>
        <v>72367.548554417372</v>
      </c>
      <c r="AD50" s="6">
        <f>U50*战斗公式!$E$41*(1+V50*战斗公式!$E$40)</f>
        <v>79415.691143393546</v>
      </c>
      <c r="AE50" s="22">
        <f t="shared" si="12"/>
        <v>151783.2396978109</v>
      </c>
      <c r="AF50" s="22">
        <f t="shared" si="19"/>
        <v>7227.773318943393</v>
      </c>
      <c r="AG50" s="22"/>
      <c r="AH50" s="9">
        <f t="shared" si="13"/>
        <v>675.43045317456222</v>
      </c>
      <c r="AI50" s="9">
        <f t="shared" si="14"/>
        <v>18865.42016300093</v>
      </c>
      <c r="AJ50" s="9">
        <f t="shared" si="15"/>
        <v>5003.1885420337903</v>
      </c>
      <c r="AK50" s="9">
        <f t="shared" si="20"/>
        <v>32.163354913074386</v>
      </c>
      <c r="AL50" s="9">
        <f t="shared" si="21"/>
        <v>767.7075686148055</v>
      </c>
      <c r="AM50" s="9">
        <f t="shared" si="22"/>
        <v>238.24707343018054</v>
      </c>
    </row>
    <row r="51" spans="4:39" ht="14.25" customHeight="1" x14ac:dyDescent="0.2">
      <c r="D51" s="1">
        <v>34</v>
      </c>
      <c r="E51" s="6">
        <f t="shared" si="16"/>
        <v>36.690049308247815</v>
      </c>
      <c r="F51" s="6">
        <f t="shared" si="17"/>
        <v>308.52996009208391</v>
      </c>
      <c r="G51" s="6">
        <f t="shared" si="18"/>
        <v>28.35140173819148</v>
      </c>
      <c r="H51" s="6">
        <v>0.4</v>
      </c>
      <c r="I51" s="6">
        <v>1.5</v>
      </c>
      <c r="J51" s="6">
        <v>1</v>
      </c>
      <c r="K51" s="26">
        <f t="shared" si="9"/>
        <v>1.0478627621721393</v>
      </c>
      <c r="L51" s="6">
        <f t="shared" si="23"/>
        <v>3210.3793144716833</v>
      </c>
      <c r="M51" s="6">
        <f t="shared" si="24"/>
        <v>44391.645932341533</v>
      </c>
      <c r="N51" s="6">
        <f t="shared" si="25"/>
        <v>4252.7102607287225</v>
      </c>
      <c r="O51" s="6">
        <f t="shared" si="26"/>
        <v>0.4</v>
      </c>
      <c r="P51" s="6">
        <f t="shared" si="27"/>
        <v>1.5</v>
      </c>
      <c r="Q51" s="6">
        <f t="shared" si="28"/>
        <v>1</v>
      </c>
      <c r="R51" s="6"/>
      <c r="S51" s="38">
        <v>34</v>
      </c>
      <c r="T51" s="6">
        <f>VLOOKUP($S$13,角色设定!$AB$9:$AJ$21,MATCH(E$17,角色设定!$AB$9:$AJ$9,0),0)*Z51*$L$15*E51/Y51/(1+W51*(X51-1))</f>
        <v>2532.8641994046079</v>
      </c>
      <c r="U51" s="6">
        <f>VLOOKUP($S$13,角色设定!$AB$9:$AJ$21,MATCH(F$17,角色设定!$AB$9:$AJ$9,0),0)*F51*$L$15/(1+V51/$N$16)</f>
        <v>70213.120248308958</v>
      </c>
      <c r="V51" s="6">
        <f>VLOOKUP($S$13,角色设定!$AB$9:$AJ$21,MATCH(V$17,角色设定!$AB$9:$AJ$9,0),0)*G51*$L$15</f>
        <v>18761.957032626713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1</v>
      </c>
      <c r="Z51" s="6">
        <f>VLOOKUP($S$13,角色设定!$AB$9:$AJ$21,MATCH(Z$17,角色设定!$AB$9:$AJ$9,0),0)</f>
        <v>0.9</v>
      </c>
      <c r="AA51" s="6"/>
      <c r="AB51" s="6"/>
      <c r="AC51" s="6">
        <f>T51*战斗公式!$E$39*(1+W51*(X51-1))*Y51</f>
        <v>75985.925982138229</v>
      </c>
      <c r="AD51" s="6">
        <f>U51*战斗公式!$E$41*(1+V51*战斗公式!$E$40)</f>
        <v>83386.475700563213</v>
      </c>
      <c r="AE51" s="22">
        <f t="shared" si="12"/>
        <v>159372.40168270143</v>
      </c>
      <c r="AF51" s="22">
        <f t="shared" si="19"/>
        <v>7589.1619848905248</v>
      </c>
      <c r="AG51" s="22"/>
      <c r="AH51" s="9">
        <f t="shared" si="13"/>
        <v>709.20197583329025</v>
      </c>
      <c r="AI51" s="9">
        <f t="shared" si="14"/>
        <v>19659.67366952651</v>
      </c>
      <c r="AJ51" s="9">
        <f t="shared" si="15"/>
        <v>5253.3479691354805</v>
      </c>
      <c r="AK51" s="9">
        <f t="shared" si="20"/>
        <v>33.771522658728031</v>
      </c>
      <c r="AL51" s="9">
        <f t="shared" si="21"/>
        <v>794.25350652557972</v>
      </c>
      <c r="AM51" s="9">
        <f t="shared" si="22"/>
        <v>250.1594271016902</v>
      </c>
    </row>
    <row r="52" spans="4:39" ht="14.25" customHeight="1" x14ac:dyDescent="0.2">
      <c r="D52" s="1">
        <v>35</v>
      </c>
      <c r="E52" s="6">
        <f t="shared" si="16"/>
        <v>38.524551773660207</v>
      </c>
      <c r="F52" s="6">
        <f t="shared" si="17"/>
        <v>323.9564580966881</v>
      </c>
      <c r="G52" s="6">
        <f t="shared" si="18"/>
        <v>29.768971825101055</v>
      </c>
      <c r="H52" s="6">
        <v>0.4</v>
      </c>
      <c r="I52" s="6">
        <v>1.5</v>
      </c>
      <c r="J52" s="6">
        <v>1</v>
      </c>
      <c r="K52" s="26">
        <f t="shared" si="9"/>
        <v>1.0477606862268507</v>
      </c>
      <c r="L52" s="6">
        <f t="shared" si="23"/>
        <v>3370.8982801952679</v>
      </c>
      <c r="M52" s="6">
        <f t="shared" si="24"/>
        <v>46516.352724031007</v>
      </c>
      <c r="N52" s="6">
        <f t="shared" si="25"/>
        <v>4465.3457737651579</v>
      </c>
      <c r="O52" s="6">
        <f t="shared" si="26"/>
        <v>0.4</v>
      </c>
      <c r="P52" s="6">
        <f t="shared" si="27"/>
        <v>1.5</v>
      </c>
      <c r="Q52" s="6">
        <f t="shared" si="28"/>
        <v>1</v>
      </c>
      <c r="R52" s="6"/>
      <c r="S52" s="38">
        <v>35</v>
      </c>
      <c r="T52" s="6">
        <f>VLOOKUP($S$13,角色设定!$AB$9:$AJ$21,MATCH(E$17,角色设定!$AB$9:$AJ$9,0),0)*Z52*$L$15*E52/Y52/(1+W52*(X52-1))</f>
        <v>2659.5074093748385</v>
      </c>
      <c r="U52" s="6">
        <f>VLOOKUP($S$13,角色设定!$AB$9:$AJ$21,MATCH(F$17,角色设定!$AB$9:$AJ$9,0),0)*F52*$L$15/(1+V52/$N$16)</f>
        <v>73145.997777738681</v>
      </c>
      <c r="V52" s="6">
        <f>VLOOKUP($S$13,角色设定!$AB$9:$AJ$21,MATCH(V$17,角色设定!$AB$9:$AJ$9,0),0)*G52*$L$15</f>
        <v>19700.05488425805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1</v>
      </c>
      <c r="Z52" s="6">
        <f>VLOOKUP($S$13,角色设定!$AB$9:$AJ$21,MATCH(Z$17,角色设定!$AB$9:$AJ$9,0),0)</f>
        <v>0.9</v>
      </c>
      <c r="AA52" s="6"/>
      <c r="AB52" s="6"/>
      <c r="AC52" s="6">
        <f>T52*战斗公式!$E$39*(1+W52*(X52-1))*Y52</f>
        <v>79785.222281245151</v>
      </c>
      <c r="AD52" s="6">
        <f>U52*战斗公式!$E$41*(1+V52*战斗公式!$E$40)</f>
        <v>87555.799485591386</v>
      </c>
      <c r="AE52" s="22">
        <f t="shared" si="12"/>
        <v>167341.02176683652</v>
      </c>
      <c r="AF52" s="22">
        <f t="shared" si="19"/>
        <v>7968.6200841350947</v>
      </c>
      <c r="AG52" s="22"/>
      <c r="AH52" s="9">
        <f t="shared" si="13"/>
        <v>744.66207462495481</v>
      </c>
      <c r="AI52" s="9">
        <f t="shared" si="14"/>
        <v>20480.879377766832</v>
      </c>
      <c r="AJ52" s="9">
        <f t="shared" si="15"/>
        <v>5516.0153675922547</v>
      </c>
      <c r="AK52" s="9">
        <f t="shared" si="20"/>
        <v>35.460098791664564</v>
      </c>
      <c r="AL52" s="9">
        <f t="shared" si="21"/>
        <v>821.20570824032256</v>
      </c>
      <c r="AM52" s="9">
        <f t="shared" si="22"/>
        <v>262.66739845677421</v>
      </c>
    </row>
    <row r="53" spans="4:39" ht="14.25" customHeight="1" x14ac:dyDescent="0.2">
      <c r="D53" s="1">
        <v>36</v>
      </c>
      <c r="E53" s="6">
        <f t="shared" si="16"/>
        <v>40.450779362343219</v>
      </c>
      <c r="F53" s="6">
        <f t="shared" si="17"/>
        <v>340.15428100152252</v>
      </c>
      <c r="G53" s="6">
        <f t="shared" si="18"/>
        <v>31.257420416356108</v>
      </c>
      <c r="H53" s="6">
        <v>0.4</v>
      </c>
      <c r="I53" s="6">
        <v>1.5</v>
      </c>
      <c r="J53" s="6">
        <v>1</v>
      </c>
      <c r="K53" s="26">
        <f t="shared" si="9"/>
        <v>1.0476539740264674</v>
      </c>
      <c r="L53" s="6">
        <f t="shared" si="23"/>
        <v>3539.4431942050314</v>
      </c>
      <c r="M53" s="6">
        <f t="shared" si="24"/>
        <v>48738.005650900959</v>
      </c>
      <c r="N53" s="6">
        <f t="shared" si="25"/>
        <v>4688.6130624534162</v>
      </c>
      <c r="O53" s="6">
        <f t="shared" si="26"/>
        <v>0.4</v>
      </c>
      <c r="P53" s="6">
        <f t="shared" si="27"/>
        <v>1.5</v>
      </c>
      <c r="Q53" s="6">
        <f t="shared" si="28"/>
        <v>1</v>
      </c>
      <c r="R53" s="6"/>
      <c r="S53" s="38">
        <v>36</v>
      </c>
      <c r="T53" s="6">
        <f>VLOOKUP($S$13,角色设定!$AB$9:$AJ$21,MATCH(E$17,角色设定!$AB$9:$AJ$9,0),0)*Z53*$L$15*E53/Y53/(1+W53*(X53-1))</f>
        <v>2792.4827798435804</v>
      </c>
      <c r="U53" s="6">
        <f>VLOOKUP($S$13,角色设定!$AB$9:$AJ$21,MATCH(F$17,角色设定!$AB$9:$AJ$9,0),0)*F53*$L$15/(1+V53/$N$16)</f>
        <v>76176.447413140893</v>
      </c>
      <c r="V53" s="6">
        <f>VLOOKUP($S$13,角色设定!$AB$9:$AJ$21,MATCH(V$17,角色设定!$AB$9:$AJ$9,0),0)*G53*$L$15</f>
        <v>20685.057628470953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1</v>
      </c>
      <c r="Z53" s="6">
        <f>VLOOKUP($S$13,角色设定!$AB$9:$AJ$21,MATCH(Z$17,角色设定!$AB$9:$AJ$9,0),0)</f>
        <v>0.9</v>
      </c>
      <c r="AA53" s="6"/>
      <c r="AB53" s="6"/>
      <c r="AC53" s="6">
        <f>T53*战斗公式!$E$39*(1+W53*(X53-1))*Y53</f>
        <v>83774.483395307398</v>
      </c>
      <c r="AD53" s="6">
        <f>U53*战斗公式!$E$41*(1+V53*战斗公式!$E$40)</f>
        <v>91933.589459870956</v>
      </c>
      <c r="AE53" s="22">
        <f t="shared" si="12"/>
        <v>175708.07285517835</v>
      </c>
      <c r="AF53" s="22">
        <f t="shared" si="19"/>
        <v>8367.0510883418319</v>
      </c>
      <c r="AG53" s="22"/>
      <c r="AH53" s="9">
        <f t="shared" si="13"/>
        <v>781.89517835620256</v>
      </c>
      <c r="AI53" s="9">
        <f t="shared" si="14"/>
        <v>21329.405275679452</v>
      </c>
      <c r="AJ53" s="9">
        <f t="shared" si="15"/>
        <v>5791.8161359718679</v>
      </c>
      <c r="AK53" s="9">
        <f t="shared" si="20"/>
        <v>37.233103731247752</v>
      </c>
      <c r="AL53" s="9">
        <f t="shared" si="21"/>
        <v>848.52589791261926</v>
      </c>
      <c r="AM53" s="9">
        <f t="shared" si="22"/>
        <v>275.80076837961315</v>
      </c>
    </row>
    <row r="54" spans="4:39" ht="14.25" customHeight="1" x14ac:dyDescent="0.2">
      <c r="D54" s="1">
        <v>37</v>
      </c>
      <c r="E54" s="6">
        <f t="shared" si="16"/>
        <v>42.47331833046038</v>
      </c>
      <c r="F54" s="6">
        <f t="shared" si="17"/>
        <v>357.16199505159864</v>
      </c>
      <c r="G54" s="6">
        <f t="shared" si="18"/>
        <v>32.820291437173914</v>
      </c>
      <c r="H54" s="6">
        <v>0.4</v>
      </c>
      <c r="I54" s="6">
        <v>1.5</v>
      </c>
      <c r="J54" s="6">
        <v>1</v>
      </c>
      <c r="K54" s="26">
        <f t="shared" si="9"/>
        <v>1.0475424382315315</v>
      </c>
      <c r="L54" s="6">
        <f t="shared" si="23"/>
        <v>3716.415353915283</v>
      </c>
      <c r="M54" s="6">
        <f t="shared" si="24"/>
        <v>51060.565306290817</v>
      </c>
      <c r="N54" s="6">
        <f t="shared" si="25"/>
        <v>4923.0437155760874</v>
      </c>
      <c r="O54" s="6">
        <f t="shared" si="26"/>
        <v>0.4</v>
      </c>
      <c r="P54" s="6">
        <f t="shared" si="27"/>
        <v>1.5</v>
      </c>
      <c r="Q54" s="6">
        <f t="shared" si="28"/>
        <v>1</v>
      </c>
      <c r="R54" s="6"/>
      <c r="S54" s="38">
        <v>37</v>
      </c>
      <c r="T54" s="6">
        <f>VLOOKUP($S$13,角色设定!$AB$9:$AJ$21,MATCH(E$17,角色设定!$AB$9:$AJ$9,0),0)*Z54*$L$15*E54/Y54/(1+W54*(X54-1))</f>
        <v>2932.1069188357592</v>
      </c>
      <c r="U54" s="6">
        <f>VLOOKUP($S$13,角色设定!$AB$9:$AJ$21,MATCH(F$17,角色设定!$AB$9:$AJ$9,0),0)*F54*$L$15/(1+V54/$N$16)</f>
        <v>79305.632383628734</v>
      </c>
      <c r="V54" s="6">
        <f>VLOOKUP($S$13,角色设定!$AB$9:$AJ$21,MATCH(V$17,角色设定!$AB$9:$AJ$9,0),0)*G54*$L$15</f>
        <v>21719.310509894502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1</v>
      </c>
      <c r="Z54" s="6">
        <f>VLOOKUP($S$13,角色设定!$AB$9:$AJ$21,MATCH(Z$17,角色设定!$AB$9:$AJ$9,0),0)</f>
        <v>0.9</v>
      </c>
      <c r="AA54" s="6"/>
      <c r="AB54" s="6"/>
      <c r="AC54" s="6">
        <f>T54*战斗公式!$E$39*(1+W54*(X54-1))*Y54</f>
        <v>87963.207565072778</v>
      </c>
      <c r="AD54" s="6">
        <f>U54*战斗公式!$E$41*(1+V54*战斗公式!$E$40)</f>
        <v>96530.268932864506</v>
      </c>
      <c r="AE54" s="22">
        <f t="shared" si="12"/>
        <v>184493.47649793728</v>
      </c>
      <c r="AF54" s="22">
        <f t="shared" si="19"/>
        <v>8785.4036427589308</v>
      </c>
      <c r="AG54" s="22"/>
      <c r="AH54" s="9">
        <f t="shared" si="13"/>
        <v>820.98993727401262</v>
      </c>
      <c r="AI54" s="9">
        <f t="shared" si="14"/>
        <v>22205.577067416049</v>
      </c>
      <c r="AJ54" s="9">
        <f t="shared" si="15"/>
        <v>6081.4069427704608</v>
      </c>
      <c r="AK54" s="9">
        <f t="shared" si="20"/>
        <v>39.094758917810054</v>
      </c>
      <c r="AL54" s="9">
        <f t="shared" si="21"/>
        <v>876.17179173659679</v>
      </c>
      <c r="AM54" s="9">
        <f t="shared" si="22"/>
        <v>289.59080679859289</v>
      </c>
    </row>
    <row r="55" spans="4:39" ht="14.25" customHeight="1" x14ac:dyDescent="0.2">
      <c r="D55" s="1">
        <v>38</v>
      </c>
      <c r="E55" s="6">
        <f t="shared" si="16"/>
        <v>44.596984246983403</v>
      </c>
      <c r="F55" s="6">
        <f t="shared" si="17"/>
        <v>375.0200948041786</v>
      </c>
      <c r="G55" s="6">
        <f t="shared" si="18"/>
        <v>34.461306009032612</v>
      </c>
      <c r="H55" s="6">
        <v>0.4</v>
      </c>
      <c r="I55" s="6">
        <v>1.5</v>
      </c>
      <c r="J55" s="6">
        <v>1</v>
      </c>
      <c r="K55" s="26">
        <f t="shared" si="9"/>
        <v>1.0474258861868033</v>
      </c>
      <c r="L55" s="6">
        <f t="shared" si="23"/>
        <v>3902.236121611048</v>
      </c>
      <c r="M55" s="6">
        <f t="shared" si="24"/>
        <v>53488.10907843223</v>
      </c>
      <c r="N55" s="6">
        <f t="shared" si="25"/>
        <v>5169.1959013548922</v>
      </c>
      <c r="O55" s="6">
        <f t="shared" si="26"/>
        <v>0.4</v>
      </c>
      <c r="P55" s="6">
        <f t="shared" si="27"/>
        <v>1.5</v>
      </c>
      <c r="Q55" s="6">
        <f t="shared" si="28"/>
        <v>1</v>
      </c>
      <c r="R55" s="6"/>
      <c r="S55" s="38">
        <v>38</v>
      </c>
      <c r="T55" s="6">
        <f>VLOOKUP($S$13,角色设定!$AB$9:$AJ$21,MATCH(E$17,角色设定!$AB$9:$AJ$9,0),0)*Z55*$L$15*E55/Y55/(1+W55*(X55-1))</f>
        <v>3078.7122647775477</v>
      </c>
      <c r="U55" s="6">
        <f>VLOOKUP($S$13,角色设定!$AB$9:$AJ$21,MATCH(F$17,角色设定!$AB$9:$AJ$9,0),0)*F55*$L$15/(1+V55/$N$16)</f>
        <v>82534.550348064353</v>
      </c>
      <c r="V55" s="6">
        <f>VLOOKUP($S$13,角色设定!$AB$9:$AJ$21,MATCH(V$17,角色设定!$AB$9:$AJ$9,0),0)*G55*$L$15</f>
        <v>22805.276035389226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1</v>
      </c>
      <c r="Z55" s="6">
        <f>VLOOKUP($S$13,角色设定!$AB$9:$AJ$21,MATCH(Z$17,角色设定!$AB$9:$AJ$9,0),0)</f>
        <v>0.9</v>
      </c>
      <c r="AA55" s="6"/>
      <c r="AB55" s="6"/>
      <c r="AC55" s="6">
        <f>T55*战斗公式!$E$39*(1+W55*(X55-1))*Y55</f>
        <v>92361.367943326433</v>
      </c>
      <c r="AD55" s="6">
        <f>U55*战斗公式!$E$41*(1+V55*战斗公式!$E$40)</f>
        <v>101356.78237950773</v>
      </c>
      <c r="AE55" s="22">
        <f t="shared" si="12"/>
        <v>193718.15032283415</v>
      </c>
      <c r="AF55" s="22">
        <f t="shared" si="19"/>
        <v>9224.6738248968613</v>
      </c>
      <c r="AG55" s="22"/>
      <c r="AH55" s="9">
        <f t="shared" si="13"/>
        <v>862.03943413771344</v>
      </c>
      <c r="AI55" s="9">
        <f t="shared" si="14"/>
        <v>23109.674097458021</v>
      </c>
      <c r="AJ55" s="9">
        <f t="shared" si="15"/>
        <v>6385.4772899089839</v>
      </c>
      <c r="AK55" s="9">
        <f t="shared" si="20"/>
        <v>41.049496863700824</v>
      </c>
      <c r="AL55" s="9">
        <f t="shared" si="21"/>
        <v>904.09703004197218</v>
      </c>
      <c r="AM55" s="9">
        <f t="shared" si="22"/>
        <v>304.07034713852318</v>
      </c>
    </row>
    <row r="56" spans="4:39" ht="14.25" customHeight="1" x14ac:dyDescent="0.2">
      <c r="D56" s="1">
        <v>39</v>
      </c>
      <c r="E56" s="6">
        <f t="shared" si="16"/>
        <v>46.826833459332576</v>
      </c>
      <c r="F56" s="6">
        <f t="shared" si="17"/>
        <v>393.77109954438754</v>
      </c>
      <c r="G56" s="6">
        <f t="shared" si="18"/>
        <v>36.184371309484241</v>
      </c>
      <c r="H56" s="6">
        <v>0.4</v>
      </c>
      <c r="I56" s="6">
        <v>1.5</v>
      </c>
      <c r="J56" s="6">
        <v>1</v>
      </c>
      <c r="K56" s="26">
        <f t="shared" si="9"/>
        <v>1.0473041199980946</v>
      </c>
      <c r="L56" s="6">
        <f t="shared" si="23"/>
        <v>4097.3479276916005</v>
      </c>
      <c r="M56" s="6">
        <f t="shared" si="24"/>
        <v>56024.830051933277</v>
      </c>
      <c r="N56" s="6">
        <f t="shared" si="25"/>
        <v>5427.6556964226365</v>
      </c>
      <c r="O56" s="6">
        <f t="shared" si="26"/>
        <v>0.4</v>
      </c>
      <c r="P56" s="6">
        <f t="shared" si="27"/>
        <v>1.5</v>
      </c>
      <c r="Q56" s="6">
        <f t="shared" si="28"/>
        <v>1</v>
      </c>
      <c r="R56" s="6"/>
      <c r="S56" s="38">
        <v>39</v>
      </c>
      <c r="T56" s="6">
        <f>VLOOKUP($S$13,角色设定!$AB$9:$AJ$21,MATCH(E$17,角色设定!$AB$9:$AJ$9,0),0)*Z56*$L$15*E56/Y56/(1+W56*(X56-1))</f>
        <v>3232.6478780164252</v>
      </c>
      <c r="U56" s="6">
        <f>VLOOKUP($S$13,角色设定!$AB$9:$AJ$21,MATCH(F$17,角色设定!$AB$9:$AJ$9,0),0)*F56*$L$15/(1+V56/$N$16)</f>
        <v>85864.018695876613</v>
      </c>
      <c r="V56" s="6">
        <f>VLOOKUP($S$13,角色设定!$AB$9:$AJ$21,MATCH(V$17,角色设定!$AB$9:$AJ$9,0),0)*G56*$L$15</f>
        <v>23945.539837158689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1</v>
      </c>
      <c r="Z56" s="6">
        <f>VLOOKUP($S$13,角色设定!$AB$9:$AJ$21,MATCH(Z$17,角色设定!$AB$9:$AJ$9,0),0)</f>
        <v>0.9</v>
      </c>
      <c r="AA56" s="6"/>
      <c r="AB56" s="6"/>
      <c r="AC56" s="6">
        <f>T56*战斗公式!$E$39*(1+W56*(X56-1))*Y56</f>
        <v>96979.436340492757</v>
      </c>
      <c r="AD56" s="6">
        <f>U56*战斗公式!$E$41*(1+V56*战斗公式!$E$40)</f>
        <v>106424.62149848313</v>
      </c>
      <c r="AE56" s="22">
        <f t="shared" si="12"/>
        <v>203404.05783897589</v>
      </c>
      <c r="AF56" s="22">
        <f t="shared" si="19"/>
        <v>9685.9075161417422</v>
      </c>
      <c r="AG56" s="22"/>
      <c r="AH56" s="9">
        <f t="shared" si="13"/>
        <v>905.14140584459915</v>
      </c>
      <c r="AI56" s="9">
        <f t="shared" si="14"/>
        <v>24041.925234845454</v>
      </c>
      <c r="AJ56" s="9">
        <f t="shared" si="15"/>
        <v>6704.7511544044337</v>
      </c>
      <c r="AK56" s="9">
        <f t="shared" si="20"/>
        <v>43.101971706885706</v>
      </c>
      <c r="AL56" s="9">
        <f t="shared" si="21"/>
        <v>932.25113738743312</v>
      </c>
      <c r="AM56" s="9">
        <f t="shared" si="22"/>
        <v>319.27386449544974</v>
      </c>
    </row>
    <row r="57" spans="4:39" ht="14.25" customHeight="1" x14ac:dyDescent="0.2">
      <c r="D57" s="1">
        <v>40</v>
      </c>
      <c r="E57" s="6">
        <f t="shared" si="16"/>
        <v>49.168175132299204</v>
      </c>
      <c r="F57" s="6">
        <f t="shared" si="17"/>
        <v>413.45965452160692</v>
      </c>
      <c r="G57" s="6">
        <f t="shared" si="18"/>
        <v>37.993589874958452</v>
      </c>
      <c r="H57" s="6">
        <v>0.4</v>
      </c>
      <c r="I57" s="6">
        <v>1.5</v>
      </c>
      <c r="J57" s="6">
        <v>1</v>
      </c>
      <c r="K57" s="26">
        <f t="shared" si="9"/>
        <v>1.0471769366380614</v>
      </c>
      <c r="L57" s="6">
        <f t="shared" si="23"/>
        <v>4302.2153240761809</v>
      </c>
      <c r="M57" s="6">
        <f t="shared" si="24"/>
        <v>58675.03533558279</v>
      </c>
      <c r="N57" s="6">
        <f t="shared" si="25"/>
        <v>5699.0384812437678</v>
      </c>
      <c r="O57" s="6">
        <f t="shared" si="26"/>
        <v>0.4</v>
      </c>
      <c r="P57" s="6">
        <f t="shared" si="27"/>
        <v>1.5</v>
      </c>
      <c r="Q57" s="6">
        <f t="shared" si="28"/>
        <v>1</v>
      </c>
      <c r="R57" s="6"/>
      <c r="S57" s="38">
        <v>40</v>
      </c>
      <c r="T57" s="6">
        <f>VLOOKUP($S$13,角色设定!$AB$9:$AJ$21,MATCH(E$17,角色设定!$AB$9:$AJ$9,0),0)*Z57*$L$15*E57/Y57/(1+W57*(X57-1))</f>
        <v>3394.2802719172464</v>
      </c>
      <c r="U57" s="6">
        <f>VLOOKUP($S$13,角色设定!$AB$9:$AJ$21,MATCH(F$17,角色设定!$AB$9:$AJ$9,0),0)*F57*$L$15/(1+V57/$N$16)</f>
        <v>89294.659817419888</v>
      </c>
      <c r="V57" s="6">
        <f>VLOOKUP($S$13,角色设定!$AB$9:$AJ$21,MATCH(V$17,角色设定!$AB$9:$AJ$9,0),0)*G57*$L$15</f>
        <v>25142.816829016621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1</v>
      </c>
      <c r="Z57" s="6">
        <f>VLOOKUP($S$13,角色设定!$AB$9:$AJ$21,MATCH(Z$17,角色设定!$AB$9:$AJ$9,0),0)</f>
        <v>0.9</v>
      </c>
      <c r="AA57" s="6"/>
      <c r="AB57" s="6"/>
      <c r="AC57" s="6">
        <f>T57*战斗公式!$E$39*(1+W57*(X57-1))*Y57</f>
        <v>101828.40815751739</v>
      </c>
      <c r="AD57" s="6">
        <f>U57*战斗公式!$E$41*(1+V57*战斗公式!$E$40)</f>
        <v>111745.85257340728</v>
      </c>
      <c r="AE57" s="22">
        <f t="shared" si="12"/>
        <v>213574.26073092467</v>
      </c>
      <c r="AF57" s="22">
        <f t="shared" si="19"/>
        <v>10170.202891948778</v>
      </c>
      <c r="AG57" s="22"/>
      <c r="AH57" s="9">
        <f t="shared" si="13"/>
        <v>950.39847613682912</v>
      </c>
      <c r="AI57" s="9">
        <f t="shared" si="14"/>
        <v>25002.504748877571</v>
      </c>
      <c r="AJ57" s="9">
        <f t="shared" si="15"/>
        <v>7039.9887121246547</v>
      </c>
      <c r="AK57" s="9">
        <f t="shared" si="20"/>
        <v>45.257070292229969</v>
      </c>
      <c r="AL57" s="9">
        <f t="shared" si="21"/>
        <v>960.579514032117</v>
      </c>
      <c r="AM57" s="9">
        <f t="shared" si="22"/>
        <v>335.23755772022105</v>
      </c>
    </row>
    <row r="58" spans="4:39" ht="14.25" customHeight="1" x14ac:dyDescent="0.2">
      <c r="D58" s="1">
        <v>41</v>
      </c>
      <c r="E58" s="6">
        <f t="shared" si="16"/>
        <v>51.626583888914169</v>
      </c>
      <c r="F58" s="6">
        <f t="shared" si="17"/>
        <v>434.13263724768728</v>
      </c>
      <c r="G58" s="6">
        <f t="shared" si="18"/>
        <v>39.893269368706378</v>
      </c>
      <c r="H58" s="6">
        <v>0.4</v>
      </c>
      <c r="I58" s="6">
        <v>1.5</v>
      </c>
      <c r="J58" s="6">
        <v>1</v>
      </c>
      <c r="K58" s="26">
        <f t="shared" si="9"/>
        <v>1.0470441280836735</v>
      </c>
      <c r="L58" s="6">
        <f t="shared" si="23"/>
        <v>4517.3260902799893</v>
      </c>
      <c r="M58" s="6">
        <f t="shared" si="24"/>
        <v>61443.143759845596</v>
      </c>
      <c r="N58" s="6">
        <f t="shared" si="25"/>
        <v>5983.9904053059563</v>
      </c>
      <c r="O58" s="6">
        <f t="shared" si="26"/>
        <v>0.4</v>
      </c>
      <c r="P58" s="6">
        <f t="shared" si="27"/>
        <v>1.5</v>
      </c>
      <c r="Q58" s="6">
        <f t="shared" si="28"/>
        <v>1</v>
      </c>
      <c r="R58" s="6"/>
      <c r="S58" s="38">
        <v>41</v>
      </c>
      <c r="T58" s="6">
        <f>VLOOKUP($S$13,角色设定!$AB$9:$AJ$21,MATCH(E$17,角色设定!$AB$9:$AJ$9,0),0)*Z58*$L$15*E58/Y58/(1+W58*(X58-1))</f>
        <v>3563.9942855131094</v>
      </c>
      <c r="U58" s="6">
        <f>VLOOKUP($S$13,角色设定!$AB$9:$AJ$21,MATCH(F$17,角色设定!$AB$9:$AJ$9,0),0)*F58*$L$15/(1+V58/$N$16)</f>
        <v>92826.886467772754</v>
      </c>
      <c r="V58" s="6">
        <f>VLOOKUP($S$13,角色设定!$AB$9:$AJ$21,MATCH(V$17,角色设定!$AB$9:$AJ$9,0),0)*G58*$L$15</f>
        <v>26399.957670467451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1</v>
      </c>
      <c r="Z58" s="6">
        <f>VLOOKUP($S$13,角色设定!$AB$9:$AJ$21,MATCH(Z$17,角色设定!$AB$9:$AJ$9,0),0)</f>
        <v>0.9</v>
      </c>
      <c r="AA58" s="6"/>
      <c r="AB58" s="6"/>
      <c r="AC58" s="6">
        <f>T58*战斗公式!$E$39*(1+W58*(X58-1))*Y58</f>
        <v>106919.82856539328</v>
      </c>
      <c r="AD58" s="6">
        <f>U58*战斗公式!$E$41*(1+V58*战斗公式!$E$40)</f>
        <v>117333.14520207765</v>
      </c>
      <c r="AE58" s="22">
        <f t="shared" si="12"/>
        <v>224252.97376747092</v>
      </c>
      <c r="AF58" s="22">
        <f t="shared" si="19"/>
        <v>10678.713036546251</v>
      </c>
      <c r="AG58" s="22"/>
      <c r="AH58" s="9">
        <f t="shared" si="13"/>
        <v>997.91839994367069</v>
      </c>
      <c r="AI58" s="9">
        <f t="shared" si="14"/>
        <v>25991.528210976372</v>
      </c>
      <c r="AJ58" s="9">
        <f t="shared" si="15"/>
        <v>7391.9881477308872</v>
      </c>
      <c r="AK58" s="9">
        <f t="shared" si="20"/>
        <v>47.519923806841575</v>
      </c>
      <c r="AL58" s="9">
        <f t="shared" si="21"/>
        <v>989.02346209880125</v>
      </c>
      <c r="AM58" s="9">
        <f t="shared" si="22"/>
        <v>351.99943560623251</v>
      </c>
    </row>
    <row r="59" spans="4:39" ht="14.25" customHeight="1" x14ac:dyDescent="0.2">
      <c r="D59" s="1">
        <v>42</v>
      </c>
      <c r="E59" s="6">
        <f t="shared" si="16"/>
        <v>54.207913083359877</v>
      </c>
      <c r="F59" s="6">
        <f t="shared" si="17"/>
        <v>455.83926911007165</v>
      </c>
      <c r="G59" s="6">
        <f t="shared" si="18"/>
        <v>41.887932837141697</v>
      </c>
      <c r="H59" s="6">
        <v>0.4</v>
      </c>
      <c r="I59" s="6">
        <v>1.5</v>
      </c>
      <c r="J59" s="6">
        <v>1</v>
      </c>
      <c r="K59" s="26">
        <f t="shared" si="9"/>
        <v>1.0469054814882213</v>
      </c>
      <c r="L59" s="6">
        <f t="shared" si="23"/>
        <v>4743.1923947939895</v>
      </c>
      <c r="M59" s="6">
        <f t="shared" si="24"/>
        <v>64333.682884747337</v>
      </c>
      <c r="N59" s="6">
        <f t="shared" si="25"/>
        <v>6283.1899255712542</v>
      </c>
      <c r="O59" s="6">
        <f t="shared" si="26"/>
        <v>0.4</v>
      </c>
      <c r="P59" s="6">
        <f t="shared" si="27"/>
        <v>1.5</v>
      </c>
      <c r="Q59" s="6">
        <f t="shared" si="28"/>
        <v>1</v>
      </c>
      <c r="R59" s="6"/>
      <c r="S59" s="38">
        <v>42</v>
      </c>
      <c r="T59" s="6">
        <f>VLOOKUP($S$13,角色设定!$AB$9:$AJ$21,MATCH(E$17,角色设定!$AB$9:$AJ$9,0),0)*Z59*$L$15*E59/Y59/(1+W59*(X59-1))</f>
        <v>3742.1939997887644</v>
      </c>
      <c r="U59" s="6">
        <f>VLOOKUP($S$13,角色设定!$AB$9:$AJ$21,MATCH(F$17,角色设定!$AB$9:$AJ$9,0),0)*F59*$L$15/(1+V59/$N$16)</f>
        <v>96460.887359220462</v>
      </c>
      <c r="V59" s="6">
        <f>VLOOKUP($S$13,角色设定!$AB$9:$AJ$21,MATCH(V$17,角色设定!$AB$9:$AJ$9,0),0)*G59*$L$15</f>
        <v>27719.955553990825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1</v>
      </c>
      <c r="Z59" s="6">
        <f>VLOOKUP($S$13,角色设定!$AB$9:$AJ$21,MATCH(Z$17,角色设定!$AB$9:$AJ$9,0),0)</f>
        <v>0.9</v>
      </c>
      <c r="AA59" s="6"/>
      <c r="AB59" s="6"/>
      <c r="AC59" s="6">
        <f>T59*战斗公式!$E$39*(1+W59*(X59-1))*Y59</f>
        <v>112265.81999366294</v>
      </c>
      <c r="AD59" s="6">
        <f>U59*战斗公式!$E$41*(1+V59*战斗公式!$E$40)</f>
        <v>123199.80246218153</v>
      </c>
      <c r="AE59" s="22">
        <f t="shared" si="12"/>
        <v>235465.62245584448</v>
      </c>
      <c r="AF59" s="22">
        <f t="shared" si="19"/>
        <v>11212.648688373563</v>
      </c>
      <c r="AG59" s="22"/>
      <c r="AH59" s="9">
        <f t="shared" si="13"/>
        <v>1047.8143199408541</v>
      </c>
      <c r="AI59" s="9">
        <f t="shared" si="14"/>
        <v>27009.048460581733</v>
      </c>
      <c r="AJ59" s="9">
        <f t="shared" si="15"/>
        <v>7761.5875551174322</v>
      </c>
      <c r="AK59" s="9">
        <f t="shared" si="20"/>
        <v>49.895919997183455</v>
      </c>
      <c r="AL59" s="9">
        <f t="shared" si="21"/>
        <v>1017.5202496053607</v>
      </c>
      <c r="AM59" s="9">
        <f t="shared" si="22"/>
        <v>369.59940738654495</v>
      </c>
    </row>
    <row r="60" spans="4:39" ht="14.25" customHeight="1" x14ac:dyDescent="0.2">
      <c r="D60" s="1">
        <v>43</v>
      </c>
      <c r="E60" s="6">
        <f t="shared" si="16"/>
        <v>56.918308737527873</v>
      </c>
      <c r="F60" s="6">
        <f t="shared" si="17"/>
        <v>478.63123256557526</v>
      </c>
      <c r="G60" s="6">
        <f t="shared" si="18"/>
        <v>43.982329478998786</v>
      </c>
      <c r="H60" s="6">
        <v>0.4</v>
      </c>
      <c r="I60" s="6">
        <v>1.5</v>
      </c>
      <c r="J60" s="6">
        <v>1</v>
      </c>
      <c r="K60" s="26">
        <f t="shared" si="9"/>
        <v>1.0467607793907712</v>
      </c>
      <c r="L60" s="6">
        <f t="shared" si="23"/>
        <v>4980.3520145336888</v>
      </c>
      <c r="M60" s="6">
        <f t="shared" si="24"/>
        <v>67351.285256366944</v>
      </c>
      <c r="N60" s="6">
        <f t="shared" si="25"/>
        <v>6597.3494218498181</v>
      </c>
      <c r="O60" s="6">
        <f t="shared" si="26"/>
        <v>0.4</v>
      </c>
      <c r="P60" s="6">
        <f t="shared" si="27"/>
        <v>1.5</v>
      </c>
      <c r="Q60" s="6">
        <f t="shared" si="28"/>
        <v>1</v>
      </c>
      <c r="R60" s="6"/>
      <c r="S60" s="38">
        <v>43</v>
      </c>
      <c r="T60" s="6">
        <f>VLOOKUP($S$13,角色设定!$AB$9:$AJ$21,MATCH(E$17,角色设定!$AB$9:$AJ$9,0),0)*Z60*$L$15*E60/Y60/(1+W60*(X60-1))</f>
        <v>3929.3036997782028</v>
      </c>
      <c r="U60" s="6">
        <f>VLOOKUP($S$13,角色设定!$AB$9:$AJ$21,MATCH(F$17,角色设定!$AB$9:$AJ$9,0),0)*F60*$L$15/(1+V60/$N$16)</f>
        <v>100196.61312824831</v>
      </c>
      <c r="V60" s="6">
        <f>VLOOKUP($S$13,角色设定!$AB$9:$AJ$21,MATCH(V$17,角色设定!$AB$9:$AJ$9,0),0)*G60*$L$15</f>
        <v>29105.953331690369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1</v>
      </c>
      <c r="Z60" s="6">
        <f>VLOOKUP($S$13,角色设定!$AB$9:$AJ$21,MATCH(Z$17,角色设定!$AB$9:$AJ$9,0),0)</f>
        <v>0.9</v>
      </c>
      <c r="AA60" s="6"/>
      <c r="AB60" s="6"/>
      <c r="AC60" s="6">
        <f>T60*战斗公式!$E$39*(1+W60*(X60-1))*Y60</f>
        <v>117879.11099334607</v>
      </c>
      <c r="AD60" s="6">
        <f>U60*战斗公式!$E$41*(1+V60*战斗公式!$E$40)</f>
        <v>129359.7925852906</v>
      </c>
      <c r="AE60" s="22">
        <f t="shared" si="12"/>
        <v>247238.90357863667</v>
      </c>
      <c r="AF60" s="22">
        <f t="shared" si="19"/>
        <v>11773.281122792192</v>
      </c>
      <c r="AG60" s="22"/>
      <c r="AH60" s="9">
        <f t="shared" si="13"/>
        <v>1100.2050359378968</v>
      </c>
      <c r="AI60" s="9">
        <f t="shared" si="14"/>
        <v>28055.05167590953</v>
      </c>
      <c r="AJ60" s="9">
        <f t="shared" si="15"/>
        <v>8149.6669328733042</v>
      </c>
      <c r="AK60" s="9">
        <f t="shared" si="20"/>
        <v>52.390715997042662</v>
      </c>
      <c r="AL60" s="9">
        <f t="shared" si="21"/>
        <v>1046.0032153277971</v>
      </c>
      <c r="AM60" s="9">
        <f t="shared" si="22"/>
        <v>388.07937775587197</v>
      </c>
    </row>
    <row r="61" spans="4:39" ht="14.25" customHeight="1" x14ac:dyDescent="0.2">
      <c r="D61" s="1">
        <v>44</v>
      </c>
      <c r="E61" s="6">
        <f t="shared" si="16"/>
        <v>59.764224174404269</v>
      </c>
      <c r="F61" s="6">
        <f t="shared" si="17"/>
        <v>502.56279419385402</v>
      </c>
      <c r="G61" s="6">
        <f t="shared" si="18"/>
        <v>46.181445952948728</v>
      </c>
      <c r="H61" s="6">
        <v>0.4</v>
      </c>
      <c r="I61" s="6">
        <v>1.5</v>
      </c>
      <c r="J61" s="6">
        <v>1</v>
      </c>
      <c r="K61" s="26">
        <f t="shared" si="9"/>
        <v>1.0466097999661286</v>
      </c>
      <c r="L61" s="6">
        <f t="shared" si="23"/>
        <v>5229.3696152603734</v>
      </c>
      <c r="M61" s="6">
        <f t="shared" si="24"/>
        <v>70500.683847924811</v>
      </c>
      <c r="N61" s="6">
        <f t="shared" si="25"/>
        <v>6927.2168929423096</v>
      </c>
      <c r="O61" s="6">
        <f t="shared" si="26"/>
        <v>0.4</v>
      </c>
      <c r="P61" s="6">
        <f t="shared" si="27"/>
        <v>1.5</v>
      </c>
      <c r="Q61" s="6">
        <f t="shared" si="28"/>
        <v>1</v>
      </c>
      <c r="R61" s="6"/>
      <c r="S61" s="38">
        <v>44</v>
      </c>
      <c r="T61" s="6">
        <f>VLOOKUP($S$13,角色设定!$AB$9:$AJ$21,MATCH(E$17,角色设定!$AB$9:$AJ$9,0),0)*Z61*$L$15*E61/Y61/(1+W61*(X61-1))</f>
        <v>4125.7688847671134</v>
      </c>
      <c r="U61" s="6">
        <f>VLOOKUP($S$13,角色设定!$AB$9:$AJ$21,MATCH(F$17,角色设定!$AB$9:$AJ$9,0),0)*F61*$L$15/(1+V61/$N$16)</f>
        <v>104033.76283239645</v>
      </c>
      <c r="V61" s="6">
        <f>VLOOKUP($S$13,角色设定!$AB$9:$AJ$21,MATCH(V$17,角色设定!$AB$9:$AJ$9,0),0)*G61*$L$15</f>
        <v>30561.250998274889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1</v>
      </c>
      <c r="Z61" s="6">
        <f>VLOOKUP($S$13,角色设定!$AB$9:$AJ$21,MATCH(Z$17,角色设定!$AB$9:$AJ$9,0),0)</f>
        <v>0.9</v>
      </c>
      <c r="AA61" s="6"/>
      <c r="AB61" s="6"/>
      <c r="AC61" s="6">
        <f>T61*战斗公式!$E$39*(1+W61*(X61-1))*Y61</f>
        <v>123773.0665430134</v>
      </c>
      <c r="AD61" s="6">
        <f>U61*战斗公式!$E$41*(1+V61*战斗公式!$E$40)</f>
        <v>135827.78221455513</v>
      </c>
      <c r="AE61" s="22">
        <f t="shared" si="12"/>
        <v>259600.84875756851</v>
      </c>
      <c r="AF61" s="22">
        <f t="shared" si="19"/>
        <v>12361.945178931841</v>
      </c>
      <c r="AG61" s="22"/>
      <c r="AH61" s="9">
        <f t="shared" si="13"/>
        <v>1155.2152877347919</v>
      </c>
      <c r="AI61" s="9">
        <f t="shared" si="14"/>
        <v>29129.453593071008</v>
      </c>
      <c r="AJ61" s="9">
        <f t="shared" si="15"/>
        <v>8557.150279516969</v>
      </c>
      <c r="AK61" s="9">
        <f t="shared" si="20"/>
        <v>55.010251796895091</v>
      </c>
      <c r="AL61" s="9">
        <f t="shared" si="21"/>
        <v>1074.4019171614782</v>
      </c>
      <c r="AM61" s="9">
        <f t="shared" si="22"/>
        <v>407.48334664366485</v>
      </c>
    </row>
    <row r="62" spans="4:39" ht="14.25" customHeight="1" x14ac:dyDescent="0.2">
      <c r="D62" s="1">
        <v>45</v>
      </c>
      <c r="E62" s="6">
        <f t="shared" si="16"/>
        <v>62.752435383124485</v>
      </c>
      <c r="F62" s="6">
        <f t="shared" si="17"/>
        <v>527.69093390354669</v>
      </c>
      <c r="G62" s="6">
        <f t="shared" si="18"/>
        <v>48.490518250596168</v>
      </c>
      <c r="H62" s="6">
        <v>0.4</v>
      </c>
      <c r="I62" s="6">
        <v>1.5</v>
      </c>
      <c r="J62" s="6">
        <v>1</v>
      </c>
      <c r="K62" s="26">
        <f t="shared" si="9"/>
        <v>1.0464523173183826</v>
      </c>
      <c r="L62" s="6">
        <f t="shared" si="23"/>
        <v>5490.8380960233917</v>
      </c>
      <c r="M62" s="6">
        <f t="shared" si="24"/>
        <v>73786.706619551856</v>
      </c>
      <c r="N62" s="6">
        <f t="shared" si="25"/>
        <v>7273.5777375894249</v>
      </c>
      <c r="O62" s="6">
        <f t="shared" si="26"/>
        <v>0.4</v>
      </c>
      <c r="P62" s="6">
        <f t="shared" si="27"/>
        <v>1.5</v>
      </c>
      <c r="Q62" s="6">
        <f t="shared" si="28"/>
        <v>1</v>
      </c>
      <c r="R62" s="6"/>
      <c r="S62" s="38">
        <v>45</v>
      </c>
      <c r="T62" s="6">
        <f>VLOOKUP($S$13,角色设定!$AB$9:$AJ$21,MATCH(E$17,角色设定!$AB$9:$AJ$9,0),0)*Z62*$L$15*E62/Y62/(1+W62*(X62-1))</f>
        <v>4332.057329005469</v>
      </c>
      <c r="U62" s="6">
        <f>VLOOKUP($S$13,角色设定!$AB$9:$AJ$21,MATCH(F$17,角色设定!$AB$9:$AJ$9,0),0)*F62*$L$15/(1+V62/$N$16)</f>
        <v>107971.77114048121</v>
      </c>
      <c r="V62" s="6">
        <f>VLOOKUP($S$13,角色设定!$AB$9:$AJ$21,MATCH(V$17,角色设定!$AB$9:$AJ$9,0),0)*G62*$L$15</f>
        <v>32089.313548188635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1</v>
      </c>
      <c r="Z62" s="6">
        <f>VLOOKUP($S$13,角色设定!$AB$9:$AJ$21,MATCH(Z$17,角色设定!$AB$9:$AJ$9,0),0)</f>
        <v>0.9</v>
      </c>
      <c r="AA62" s="6"/>
      <c r="AB62" s="6"/>
      <c r="AC62" s="6">
        <f>T62*战斗公式!$E$39*(1+W62*(X62-1))*Y62</f>
        <v>129961.71987016407</v>
      </c>
      <c r="AD62" s="6">
        <f>U62*战斗公式!$E$41*(1+V62*战斗公式!$E$40)</f>
        <v>142619.17132528289</v>
      </c>
      <c r="AE62" s="22">
        <f t="shared" si="12"/>
        <v>272580.89119544695</v>
      </c>
      <c r="AF62" s="22">
        <f t="shared" si="19"/>
        <v>12980.042437878437</v>
      </c>
      <c r="AG62" s="22"/>
      <c r="AH62" s="9">
        <f t="shared" si="13"/>
        <v>1212.9760521215314</v>
      </c>
      <c r="AI62" s="9">
        <f t="shared" si="14"/>
        <v>30232.095919334744</v>
      </c>
      <c r="AJ62" s="9">
        <f t="shared" si="15"/>
        <v>8985.0077934928195</v>
      </c>
      <c r="AK62" s="9">
        <f t="shared" si="20"/>
        <v>57.760764386739538</v>
      </c>
      <c r="AL62" s="9">
        <f t="shared" si="21"/>
        <v>1102.6423262637363</v>
      </c>
      <c r="AM62" s="9">
        <f t="shared" si="22"/>
        <v>427.85751397585045</v>
      </c>
    </row>
    <row r="63" spans="4:39" ht="14.25" customHeight="1" x14ac:dyDescent="0.2">
      <c r="D63" s="1">
        <v>46</v>
      </c>
      <c r="E63" s="6">
        <f t="shared" si="16"/>
        <v>65.890057152280718</v>
      </c>
      <c r="F63" s="6">
        <f t="shared" si="17"/>
        <v>554.07548059872408</v>
      </c>
      <c r="G63" s="6">
        <f t="shared" si="18"/>
        <v>50.915044163125977</v>
      </c>
      <c r="H63" s="6">
        <v>0.4</v>
      </c>
      <c r="I63" s="6">
        <v>1.5</v>
      </c>
      <c r="J63" s="6">
        <v>1</v>
      </c>
      <c r="K63" s="26">
        <f t="shared" si="9"/>
        <v>1.0462881018211865</v>
      </c>
      <c r="L63" s="6">
        <f t="shared" si="23"/>
        <v>5765.3800008245626</v>
      </c>
      <c r="M63" s="6">
        <f t="shared" si="24"/>
        <v>77214.270129321681</v>
      </c>
      <c r="N63" s="6">
        <f t="shared" si="25"/>
        <v>7637.2566244688969</v>
      </c>
      <c r="O63" s="6">
        <f t="shared" si="26"/>
        <v>0.4</v>
      </c>
      <c r="P63" s="6">
        <f t="shared" si="27"/>
        <v>1.5</v>
      </c>
      <c r="Q63" s="6">
        <f t="shared" si="28"/>
        <v>1</v>
      </c>
      <c r="R63" s="6"/>
      <c r="S63" s="38">
        <v>46</v>
      </c>
      <c r="T63" s="6">
        <f>VLOOKUP($S$13,角色设定!$AB$9:$AJ$21,MATCH(E$17,角色设定!$AB$9:$AJ$9,0),0)*Z63*$L$15*E63/Y63/(1+W63*(X63-1))</f>
        <v>4548.6601954557436</v>
      </c>
      <c r="U63" s="6">
        <f>VLOOKUP($S$13,角色设定!$AB$9:$AJ$21,MATCH(F$17,角色设定!$AB$9:$AJ$9,0),0)*F63*$L$15/(1+V63/$N$16)</f>
        <v>112009.79638615431</v>
      </c>
      <c r="V63" s="6">
        <f>VLOOKUP($S$13,角色设定!$AB$9:$AJ$21,MATCH(V$17,角色设定!$AB$9:$AJ$9,0),0)*G63*$L$15</f>
        <v>33693.779225598068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1</v>
      </c>
      <c r="Z63" s="6">
        <f>VLOOKUP($S$13,角色设定!$AB$9:$AJ$21,MATCH(Z$17,角色设定!$AB$9:$AJ$9,0),0)</f>
        <v>0.9</v>
      </c>
      <c r="AA63" s="6"/>
      <c r="AB63" s="6"/>
      <c r="AC63" s="6">
        <f>T63*战斗公式!$E$39*(1+W63*(X63-1))*Y63</f>
        <v>136459.80586367231</v>
      </c>
      <c r="AD63" s="6">
        <f>U63*战斗公式!$E$41*(1+V63*战斗公式!$E$40)</f>
        <v>149750.12989154705</v>
      </c>
      <c r="AE63" s="22">
        <f t="shared" si="12"/>
        <v>286209.93575521937</v>
      </c>
      <c r="AF63" s="22">
        <f t="shared" si="19"/>
        <v>13629.044559772417</v>
      </c>
      <c r="AG63" s="22"/>
      <c r="AH63" s="9">
        <f t="shared" si="13"/>
        <v>1273.6248547276084</v>
      </c>
      <c r="AI63" s="9">
        <f t="shared" si="14"/>
        <v>31362.742988123209</v>
      </c>
      <c r="AJ63" s="9">
        <f t="shared" si="15"/>
        <v>9434.2581831674597</v>
      </c>
      <c r="AK63" s="9">
        <f t="shared" si="20"/>
        <v>60.64880260607697</v>
      </c>
      <c r="AL63" s="9">
        <f t="shared" si="21"/>
        <v>1130.6470687884648</v>
      </c>
      <c r="AM63" s="9">
        <f t="shared" si="22"/>
        <v>449.25038967464025</v>
      </c>
    </row>
    <row r="64" spans="4:39" ht="14.25" customHeight="1" x14ac:dyDescent="0.2">
      <c r="D64" s="1">
        <v>47</v>
      </c>
      <c r="E64" s="6">
        <f t="shared" si="16"/>
        <v>69.184560009894753</v>
      </c>
      <c r="F64" s="6">
        <f t="shared" si="17"/>
        <v>581.77925462866028</v>
      </c>
      <c r="G64" s="6">
        <f t="shared" si="18"/>
        <v>53.460796371282278</v>
      </c>
      <c r="H64" s="6">
        <v>0.4</v>
      </c>
      <c r="I64" s="6">
        <v>1.5</v>
      </c>
      <c r="J64" s="6">
        <v>1</v>
      </c>
      <c r="K64" s="26">
        <f t="shared" si="9"/>
        <v>1.0461169205079408</v>
      </c>
      <c r="L64" s="6">
        <f t="shared" si="23"/>
        <v>6053.6490008657902</v>
      </c>
      <c r="M64" s="6">
        <f t="shared" si="24"/>
        <v>80788.372127116323</v>
      </c>
      <c r="N64" s="6">
        <f t="shared" si="25"/>
        <v>8019.1194556923419</v>
      </c>
      <c r="O64" s="6">
        <f t="shared" si="26"/>
        <v>0.4</v>
      </c>
      <c r="P64" s="6">
        <f t="shared" si="27"/>
        <v>1.5</v>
      </c>
      <c r="Q64" s="6">
        <f t="shared" si="28"/>
        <v>1</v>
      </c>
      <c r="R64" s="6"/>
      <c r="S64" s="38">
        <v>47</v>
      </c>
      <c r="T64" s="6">
        <f>VLOOKUP($S$13,角色设定!$AB$9:$AJ$21,MATCH(E$17,角色设定!$AB$9:$AJ$9,0),0)*Z64*$L$15*E64/Y64/(1+W64*(X64-1))</f>
        <v>4776.0932052285298</v>
      </c>
      <c r="U64" s="6">
        <f>VLOOKUP($S$13,角色设定!$AB$9:$AJ$21,MATCH(F$17,角色设定!$AB$9:$AJ$9,0),0)*F64*$L$15/(1+V64/$N$16)</f>
        <v>116146.70965922865</v>
      </c>
      <c r="V64" s="6">
        <f>VLOOKUP($S$13,角色设定!$AB$9:$AJ$21,MATCH(V$17,角色设定!$AB$9:$AJ$9,0),0)*G64*$L$15</f>
        <v>35378.468186877973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1</v>
      </c>
      <c r="Z64" s="6">
        <f>VLOOKUP($S$13,角色设定!$AB$9:$AJ$21,MATCH(Z$17,角色设定!$AB$9:$AJ$9,0),0)</f>
        <v>0.9</v>
      </c>
      <c r="AA64" s="6"/>
      <c r="AB64" s="6"/>
      <c r="AC64" s="6">
        <f>T64*战斗公式!$E$39*(1+W64*(X64-1))*Y64</f>
        <v>143282.79615685588</v>
      </c>
      <c r="AD64" s="6">
        <f>U64*战斗公式!$E$41*(1+V64*战斗公式!$E$40)</f>
        <v>157237.63638612439</v>
      </c>
      <c r="AE64" s="22">
        <f t="shared" si="12"/>
        <v>300520.4325429803</v>
      </c>
      <c r="AF64" s="22">
        <f t="shared" si="19"/>
        <v>14310.496787760931</v>
      </c>
      <c r="AG64" s="22"/>
      <c r="AH64" s="9">
        <f t="shared" si="13"/>
        <v>1337.3060974639884</v>
      </c>
      <c r="AI64" s="9">
        <f t="shared" si="14"/>
        <v>32521.078704584026</v>
      </c>
      <c r="AJ64" s="9">
        <f t="shared" si="15"/>
        <v>9905.9710923258335</v>
      </c>
      <c r="AK64" s="9">
        <f t="shared" si="20"/>
        <v>63.68124273638</v>
      </c>
      <c r="AL64" s="9">
        <f t="shared" si="21"/>
        <v>1158.3357164608169</v>
      </c>
      <c r="AM64" s="9">
        <f t="shared" si="22"/>
        <v>471.7129091583738</v>
      </c>
    </row>
    <row r="65" spans="4:39" ht="14.25" customHeight="1" x14ac:dyDescent="0.2">
      <c r="D65" s="1">
        <v>48</v>
      </c>
      <c r="E65" s="6">
        <f t="shared" si="16"/>
        <v>72.6437880103895</v>
      </c>
      <c r="F65" s="6">
        <f t="shared" si="17"/>
        <v>610.86821736009335</v>
      </c>
      <c r="G65" s="6">
        <f t="shared" si="18"/>
        <v>56.133836189846392</v>
      </c>
      <c r="H65" s="6">
        <v>0.4</v>
      </c>
      <c r="I65" s="6">
        <v>1.5</v>
      </c>
      <c r="J65" s="6">
        <v>1</v>
      </c>
      <c r="K65" s="26">
        <f t="shared" si="9"/>
        <v>1.045938537515021</v>
      </c>
      <c r="L65" s="6">
        <f t="shared" si="23"/>
        <v>6356.3314509090806</v>
      </c>
      <c r="M65" s="6">
        <f t="shared" si="24"/>
        <v>84514.08306246849</v>
      </c>
      <c r="N65" s="6">
        <f t="shared" si="25"/>
        <v>8420.0754284769591</v>
      </c>
      <c r="O65" s="6">
        <f t="shared" si="26"/>
        <v>0.4</v>
      </c>
      <c r="P65" s="6">
        <f t="shared" si="27"/>
        <v>1.5</v>
      </c>
      <c r="Q65" s="6">
        <f t="shared" si="28"/>
        <v>1</v>
      </c>
      <c r="R65" s="6"/>
      <c r="S65" s="38">
        <v>48</v>
      </c>
      <c r="T65" s="6">
        <f>VLOOKUP($S$13,角色设定!$AB$9:$AJ$21,MATCH(E$17,角色设定!$AB$9:$AJ$9,0),0)*Z65*$L$15*E65/Y65/(1+W65*(X65-1))</f>
        <v>5014.8978654899574</v>
      </c>
      <c r="U65" s="6">
        <f>VLOOKUP($S$13,角色设定!$AB$9:$AJ$21,MATCH(F$17,角色设定!$AB$9:$AJ$9,0),0)*F65*$L$15/(1+V65/$N$16)</f>
        <v>120381.08511134003</v>
      </c>
      <c r="V65" s="6">
        <f>VLOOKUP($S$13,角色设定!$AB$9:$AJ$21,MATCH(V$17,角色设定!$AB$9:$AJ$9,0),0)*G65*$L$15</f>
        <v>37147.391596221874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1</v>
      </c>
      <c r="Z65" s="6">
        <f>VLOOKUP($S$13,角色设定!$AB$9:$AJ$21,MATCH(Z$17,角色设定!$AB$9:$AJ$9,0),0)</f>
        <v>0.9</v>
      </c>
      <c r="AA65" s="6"/>
      <c r="AB65" s="6"/>
      <c r="AC65" s="6">
        <f>T65*战斗公式!$E$39*(1+W65*(X65-1))*Y65</f>
        <v>150446.93596469873</v>
      </c>
      <c r="AD65" s="6">
        <f>U65*战斗公式!$E$41*(1+V65*战斗公式!$E$40)</f>
        <v>165099.51820543068</v>
      </c>
      <c r="AE65" s="22">
        <f t="shared" si="12"/>
        <v>315546.45417012938</v>
      </c>
      <c r="AF65" s="22">
        <f t="shared" si="19"/>
        <v>15026.021627149079</v>
      </c>
      <c r="AG65" s="22"/>
      <c r="AH65" s="9">
        <f t="shared" si="13"/>
        <v>1404.1714023371883</v>
      </c>
      <c r="AI65" s="9">
        <f t="shared" si="14"/>
        <v>33706.703831175211</v>
      </c>
      <c r="AJ65" s="9">
        <f t="shared" si="15"/>
        <v>10401.269646942126</v>
      </c>
      <c r="AK65" s="9">
        <f t="shared" si="20"/>
        <v>66.865304873199875</v>
      </c>
      <c r="AL65" s="9">
        <f t="shared" si="21"/>
        <v>1185.6251265911851</v>
      </c>
      <c r="AM65" s="9">
        <f t="shared" si="22"/>
        <v>495.29855461629268</v>
      </c>
    </row>
    <row r="66" spans="4:39" ht="14.25" customHeight="1" x14ac:dyDescent="0.2">
      <c r="D66" s="1">
        <v>49</v>
      </c>
      <c r="E66" s="6">
        <f t="shared" si="16"/>
        <v>76.275977410908979</v>
      </c>
      <c r="F66" s="6">
        <f t="shared" si="17"/>
        <v>641.41162822809804</v>
      </c>
      <c r="G66" s="6">
        <f t="shared" si="18"/>
        <v>58.940527999338713</v>
      </c>
      <c r="H66" s="6">
        <v>0.4</v>
      </c>
      <c r="I66" s="6">
        <v>1.5</v>
      </c>
      <c r="J66" s="6">
        <v>1</v>
      </c>
      <c r="K66" s="26">
        <f t="shared" si="9"/>
        <v>1.0457527145811636</v>
      </c>
      <c r="L66" s="6">
        <f t="shared" si="23"/>
        <v>6674.1480234545361</v>
      </c>
      <c r="M66" s="6">
        <f t="shared" si="24"/>
        <v>88396.536437781295</v>
      </c>
      <c r="N66" s="6">
        <f t="shared" si="25"/>
        <v>8841.079199900807</v>
      </c>
      <c r="O66" s="6">
        <f t="shared" si="26"/>
        <v>0.4</v>
      </c>
      <c r="P66" s="6">
        <f t="shared" si="27"/>
        <v>1.5</v>
      </c>
      <c r="Q66" s="6">
        <f t="shared" si="28"/>
        <v>1</v>
      </c>
      <c r="R66" s="6"/>
      <c r="S66" s="38">
        <v>49</v>
      </c>
      <c r="T66" s="6">
        <f>VLOOKUP($S$13,角色设定!$AB$9:$AJ$21,MATCH(E$17,角色设定!$AB$9:$AJ$9,0),0)*Z66*$L$15*E66/Y66/(1+W66*(X66-1))</f>
        <v>5265.6427587644557</v>
      </c>
      <c r="U66" s="6">
        <f>VLOOKUP($S$13,角色设定!$AB$9:$AJ$21,MATCH(F$17,角色设定!$AB$9:$AJ$9,0),0)*F66*$L$15/(1+V66/$N$16)</f>
        <v>124711.19165203944</v>
      </c>
      <c r="V66" s="6">
        <f>VLOOKUP($S$13,角色设定!$AB$9:$AJ$21,MATCH(V$17,角色设定!$AB$9:$AJ$9,0),0)*G66*$L$15</f>
        <v>39004.76117603296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1</v>
      </c>
      <c r="Z66" s="6">
        <f>VLOOKUP($S$13,角色设定!$AB$9:$AJ$21,MATCH(Z$17,角色设定!$AB$9:$AJ$9,0),0)</f>
        <v>0.9</v>
      </c>
      <c r="AA66" s="6"/>
      <c r="AB66" s="6"/>
      <c r="AC66" s="6">
        <f>T66*战斗公式!$E$39*(1+W66*(X66-1))*Y66</f>
        <v>157969.28276293367</v>
      </c>
      <c r="AD66" s="6">
        <f>U66*战斗公式!$E$41*(1+V66*战斗公式!$E$40)</f>
        <v>173354.49411570217</v>
      </c>
      <c r="AE66" s="22">
        <f t="shared" si="12"/>
        <v>331323.77687863586</v>
      </c>
      <c r="AF66" s="22">
        <f t="shared" si="19"/>
        <v>15777.322708506486</v>
      </c>
      <c r="AG66" s="22"/>
      <c r="AH66" s="9">
        <f t="shared" si="13"/>
        <v>1474.3799724540477</v>
      </c>
      <c r="AI66" s="9">
        <f t="shared" si="14"/>
        <v>34919.133662571046</v>
      </c>
      <c r="AJ66" s="9">
        <f t="shared" si="15"/>
        <v>10921.333129289229</v>
      </c>
      <c r="AK66" s="9">
        <f t="shared" si="20"/>
        <v>70.208570116859391</v>
      </c>
      <c r="AL66" s="9">
        <f t="shared" si="21"/>
        <v>1212.4298313958352</v>
      </c>
      <c r="AM66" s="9">
        <f t="shared" si="22"/>
        <v>520.06348234710276</v>
      </c>
    </row>
    <row r="67" spans="4:39" ht="14.25" customHeight="1" x14ac:dyDescent="0.2">
      <c r="D67" s="1">
        <v>50</v>
      </c>
      <c r="E67" s="6">
        <f t="shared" si="16"/>
        <v>80.089776281454434</v>
      </c>
      <c r="F67" s="6">
        <f t="shared" si="17"/>
        <v>673.48220963950303</v>
      </c>
      <c r="G67" s="6">
        <f t="shared" si="18"/>
        <v>61.88755439930565</v>
      </c>
      <c r="H67" s="6">
        <v>0.4</v>
      </c>
      <c r="I67" s="6">
        <v>1.5</v>
      </c>
      <c r="J67" s="6">
        <v>1</v>
      </c>
      <c r="K67" s="26">
        <f t="shared" si="9"/>
        <v>1.0455592116060155</v>
      </c>
      <c r="L67" s="6">
        <f t="shared" si="23"/>
        <v>7007.8554246272624</v>
      </c>
      <c r="M67" s="6">
        <f t="shared" si="24"/>
        <v>92440.917939382532</v>
      </c>
      <c r="N67" s="6">
        <f t="shared" si="25"/>
        <v>9283.1331598958477</v>
      </c>
      <c r="O67" s="6">
        <f t="shared" si="26"/>
        <v>0.4</v>
      </c>
      <c r="P67" s="6">
        <f t="shared" si="27"/>
        <v>1.5</v>
      </c>
      <c r="Q67" s="6">
        <f t="shared" si="28"/>
        <v>1</v>
      </c>
      <c r="R67" s="6"/>
      <c r="S67" s="38">
        <v>50</v>
      </c>
      <c r="T67" s="6">
        <f>VLOOKUP($S$13,角色设定!$AB$9:$AJ$21,MATCH(E$17,角色设定!$AB$9:$AJ$9,0),0)*Z67*$L$15*E67/Y67/(1+W67*(X67-1))</f>
        <v>5528.9248967026788</v>
      </c>
      <c r="U67" s="6">
        <f>VLOOKUP($S$13,角色设定!$AB$9:$AJ$21,MATCH(F$17,角色设定!$AB$9:$AJ$9,0),0)*F67*$L$15/(1+V67/$N$16)</f>
        <v>129134.98620806892</v>
      </c>
      <c r="V67" s="6">
        <f>VLOOKUP($S$13,角色设定!$AB$9:$AJ$21,MATCH(V$17,角色设定!$AB$9:$AJ$9,0),0)*G67*$L$15</f>
        <v>40954.999234834613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1</v>
      </c>
      <c r="Z67" s="6">
        <f>VLOOKUP($S$13,角色设定!$AB$9:$AJ$21,MATCH(Z$17,角色设定!$AB$9:$AJ$9,0),0)</f>
        <v>0.9</v>
      </c>
      <c r="AA67" s="6"/>
      <c r="AB67" s="6"/>
      <c r="AC67" s="6">
        <f>T67*战斗公式!$E$39*(1+W67*(X67-1))*Y67</f>
        <v>165867.74690108036</v>
      </c>
      <c r="AD67" s="6">
        <f>U67*战斗公式!$E$41*(1+V67*战斗公式!$E$40)</f>
        <v>182022.21882148733</v>
      </c>
      <c r="AE67" s="22">
        <f t="shared" si="12"/>
        <v>347889.96572256769</v>
      </c>
      <c r="AF67" s="22">
        <f t="shared" si="19"/>
        <v>16566.188843931828</v>
      </c>
      <c r="AG67" s="22"/>
      <c r="AH67" s="9">
        <f t="shared" si="13"/>
        <v>1548.0989710767501</v>
      </c>
      <c r="AI67" s="9">
        <f t="shared" si="14"/>
        <v>36157.796138259298</v>
      </c>
      <c r="AJ67" s="9">
        <f t="shared" si="15"/>
        <v>11467.399785753692</v>
      </c>
      <c r="AK67" s="9">
        <f t="shared" si="20"/>
        <v>73.718998622702429</v>
      </c>
      <c r="AL67" s="9">
        <f t="shared" si="21"/>
        <v>1238.662475688252</v>
      </c>
      <c r="AM67" s="9">
        <f t="shared" si="22"/>
        <v>546.06665646446345</v>
      </c>
    </row>
    <row r="68" spans="4:39" ht="14.25" customHeight="1" x14ac:dyDescent="0.2">
      <c r="D68" s="1">
        <v>51</v>
      </c>
      <c r="E68" s="6">
        <f t="shared" si="16"/>
        <v>84.094265095527163</v>
      </c>
      <c r="F68" s="6">
        <f t="shared" si="17"/>
        <v>707.15632012147819</v>
      </c>
      <c r="G68" s="6">
        <f t="shared" si="18"/>
        <v>64.981932119270937</v>
      </c>
      <c r="H68" s="6">
        <v>0.4</v>
      </c>
      <c r="I68" s="6">
        <v>1.5</v>
      </c>
      <c r="J68" s="6">
        <v>1</v>
      </c>
      <c r="K68" s="26">
        <f t="shared" si="9"/>
        <v>1.0453577872707271</v>
      </c>
      <c r="L68" s="6">
        <f t="shared" si="23"/>
        <v>7358.2481958586259</v>
      </c>
      <c r="M68" s="6">
        <f t="shared" si="24"/>
        <v>96652.453280837173</v>
      </c>
      <c r="N68" s="6">
        <f t="shared" si="25"/>
        <v>9747.2898178906398</v>
      </c>
      <c r="O68" s="6">
        <f t="shared" si="26"/>
        <v>0.4</v>
      </c>
      <c r="P68" s="6">
        <f t="shared" si="27"/>
        <v>1.5</v>
      </c>
      <c r="Q68" s="6">
        <f t="shared" si="28"/>
        <v>1</v>
      </c>
      <c r="R68" s="6"/>
      <c r="S68" s="38">
        <v>51</v>
      </c>
      <c r="T68" s="6">
        <f>VLOOKUP($S$13,角色设定!$AB$9:$AJ$21,MATCH(E$17,角色设定!$AB$9:$AJ$9,0),0)*Z68*$L$15*E68/Y68/(1+W68*(X68-1))</f>
        <v>5805.3711415378129</v>
      </c>
      <c r="U68" s="6">
        <f>VLOOKUP($S$13,角色设定!$AB$9:$AJ$21,MATCH(F$17,角色设定!$AB$9:$AJ$9,0),0)*F68*$L$15/(1+V68/$N$16)</f>
        <v>133650.10871213194</v>
      </c>
      <c r="V68" s="6">
        <f>VLOOKUP($S$13,角色设定!$AB$9:$AJ$21,MATCH(V$17,角色设定!$AB$9:$AJ$9,0),0)*G68*$L$15</f>
        <v>43002.749196576355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1</v>
      </c>
      <c r="Z68" s="6">
        <f>VLOOKUP($S$13,角色设定!$AB$9:$AJ$21,MATCH(Z$17,角色设定!$AB$9:$AJ$9,0),0)</f>
        <v>0.9</v>
      </c>
      <c r="AA68" s="6"/>
      <c r="AB68" s="6"/>
      <c r="AC68" s="6">
        <f>T68*战斗公式!$E$39*(1+W68*(X68-1))*Y68</f>
        <v>174161.1342461344</v>
      </c>
      <c r="AD68" s="6">
        <f>U68*战斗公式!$E$41*(1+V68*战斗公式!$E$40)</f>
        <v>191123.32976256168</v>
      </c>
      <c r="AE68" s="22">
        <f t="shared" si="12"/>
        <v>365284.46400869609</v>
      </c>
      <c r="AF68" s="22">
        <f t="shared" si="19"/>
        <v>17394.498286128393</v>
      </c>
      <c r="AG68" s="22"/>
      <c r="AH68" s="9">
        <f t="shared" si="13"/>
        <v>1625.5039196305877</v>
      </c>
      <c r="AI68" s="9">
        <f t="shared" si="14"/>
        <v>37422.030439396949</v>
      </c>
      <c r="AJ68" s="9">
        <f t="shared" si="15"/>
        <v>12040.769775041381</v>
      </c>
      <c r="AK68" s="9">
        <f t="shared" si="20"/>
        <v>77.404948553837585</v>
      </c>
      <c r="AL68" s="9">
        <f t="shared" si="21"/>
        <v>1264.2343011376506</v>
      </c>
      <c r="AM68" s="9">
        <f t="shared" si="22"/>
        <v>573.36998928768844</v>
      </c>
    </row>
    <row r="69" spans="4:39" ht="14.25" customHeight="1" x14ac:dyDescent="0.2">
      <c r="D69" s="1">
        <v>52</v>
      </c>
      <c r="E69" s="6">
        <f t="shared" si="16"/>
        <v>88.298978350303528</v>
      </c>
      <c r="F69" s="6">
        <f t="shared" si="17"/>
        <v>742.51413612755209</v>
      </c>
      <c r="G69" s="6">
        <f t="shared" si="18"/>
        <v>68.231028725234481</v>
      </c>
      <c r="H69" s="6">
        <v>0.4</v>
      </c>
      <c r="I69" s="6">
        <v>1.5</v>
      </c>
      <c r="J69" s="6">
        <v>1</v>
      </c>
      <c r="K69" s="26">
        <f t="shared" si="9"/>
        <v>1.0451481997232677</v>
      </c>
      <c r="L69" s="6">
        <f t="shared" si="23"/>
        <v>7726.1606056515593</v>
      </c>
      <c r="M69" s="6">
        <f t="shared" si="24"/>
        <v>101036.39469594328</v>
      </c>
      <c r="N69" s="6">
        <f t="shared" si="25"/>
        <v>10234.654308785171</v>
      </c>
      <c r="O69" s="6">
        <f t="shared" si="26"/>
        <v>0.4</v>
      </c>
      <c r="P69" s="6">
        <f t="shared" si="27"/>
        <v>1.5</v>
      </c>
      <c r="Q69" s="6">
        <f t="shared" si="28"/>
        <v>1</v>
      </c>
      <c r="R69" s="6"/>
      <c r="S69" s="38">
        <v>52</v>
      </c>
      <c r="T69" s="6">
        <f>VLOOKUP($S$13,角色设定!$AB$9:$AJ$21,MATCH(E$17,角色设定!$AB$9:$AJ$9,0),0)*Z69*$L$15*E69/Y69/(1+W69*(X69-1))</f>
        <v>6095.6396986147038</v>
      </c>
      <c r="U69" s="6">
        <f>VLOOKUP($S$13,角色设定!$AB$9:$AJ$21,MATCH(F$17,角色设定!$AB$9:$AJ$9,0),0)*F69*$L$15/(1+V69/$N$16)</f>
        <v>138253.87897777255</v>
      </c>
      <c r="V69" s="6">
        <f>VLOOKUP($S$13,角色设定!$AB$9:$AJ$21,MATCH(V$17,角色设定!$AB$9:$AJ$9,0),0)*G69*$L$15</f>
        <v>45152.886656405164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1</v>
      </c>
      <c r="Z69" s="6">
        <f>VLOOKUP($S$13,角色设定!$AB$9:$AJ$21,MATCH(Z$17,角色设定!$AB$9:$AJ$9,0),0)</f>
        <v>0.9</v>
      </c>
      <c r="AA69" s="6"/>
      <c r="AB69" s="6"/>
      <c r="AC69" s="6">
        <f>T69*战斗公式!$E$39*(1+W69*(X69-1))*Y69</f>
        <v>182869.19095844112</v>
      </c>
      <c r="AD69" s="6">
        <f>U69*战斗公式!$E$41*(1+V69*战斗公式!$E$40)</f>
        <v>200679.49625068976</v>
      </c>
      <c r="AE69" s="22">
        <f t="shared" si="12"/>
        <v>383548.68720913085</v>
      </c>
      <c r="AF69" s="22">
        <f t="shared" si="19"/>
        <v>18264.223200434761</v>
      </c>
      <c r="AG69" s="22"/>
      <c r="AH69" s="9">
        <f t="shared" si="13"/>
        <v>1706.7791156121173</v>
      </c>
      <c r="AI69" s="9">
        <f t="shared" si="14"/>
        <v>38711.08611377632</v>
      </c>
      <c r="AJ69" s="9">
        <f t="shared" si="15"/>
        <v>12642.808263793448</v>
      </c>
      <c r="AK69" s="9">
        <f t="shared" si="20"/>
        <v>81.275195981529578</v>
      </c>
      <c r="AL69" s="9">
        <f t="shared" si="21"/>
        <v>1289.0556743793713</v>
      </c>
      <c r="AM69" s="9">
        <f t="shared" si="22"/>
        <v>602.03848875206677</v>
      </c>
    </row>
    <row r="70" spans="4:39" ht="14.25" customHeight="1" x14ac:dyDescent="0.2">
      <c r="D70" s="1">
        <v>53</v>
      </c>
      <c r="E70" s="6">
        <f t="shared" si="16"/>
        <v>92.713927267818704</v>
      </c>
      <c r="F70" s="6">
        <f t="shared" si="17"/>
        <v>779.63984293392969</v>
      </c>
      <c r="G70" s="6">
        <f t="shared" si="18"/>
        <v>71.642580161496213</v>
      </c>
      <c r="H70" s="6">
        <v>0.4</v>
      </c>
      <c r="I70" s="6">
        <v>1.5</v>
      </c>
      <c r="J70" s="6">
        <v>1</v>
      </c>
      <c r="K70" s="26">
        <f t="shared" si="9"/>
        <v>1.0449302073309061</v>
      </c>
      <c r="L70" s="6">
        <f t="shared" si="23"/>
        <v>8112.4686359341358</v>
      </c>
      <c r="M70" s="6">
        <f t="shared" si="24"/>
        <v>105598.00602299462</v>
      </c>
      <c r="N70" s="6">
        <f t="shared" si="25"/>
        <v>10746.387024224432</v>
      </c>
      <c r="O70" s="6">
        <f t="shared" si="26"/>
        <v>0.4</v>
      </c>
      <c r="P70" s="6">
        <f t="shared" si="27"/>
        <v>1.5</v>
      </c>
      <c r="Q70" s="6">
        <f t="shared" si="28"/>
        <v>1</v>
      </c>
      <c r="R70" s="6"/>
      <c r="S70" s="38">
        <v>53</v>
      </c>
      <c r="T70" s="6">
        <f>VLOOKUP($S$13,角色设定!$AB$9:$AJ$21,MATCH(E$17,角色设定!$AB$9:$AJ$9,0),0)*Z70*$L$15*E70/Y70/(1+W70*(X70-1))</f>
        <v>6400.4216835454399</v>
      </c>
      <c r="U70" s="6">
        <f>VLOOKUP($S$13,角色设定!$AB$9:$AJ$21,MATCH(F$17,角色设定!$AB$9:$AJ$9,0),0)*F70*$L$15/(1+V70/$N$16)</f>
        <v>142943.2956039116</v>
      </c>
      <c r="V70" s="6">
        <f>VLOOKUP($S$13,角色设定!$AB$9:$AJ$21,MATCH(V$17,角色设定!$AB$9:$AJ$9,0),0)*G70*$L$15</f>
        <v>47410.53098922543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1</v>
      </c>
      <c r="Z70" s="6">
        <f>VLOOKUP($S$13,角色设定!$AB$9:$AJ$21,MATCH(Z$17,角色设定!$AB$9:$AJ$9,0),0)</f>
        <v>0.9</v>
      </c>
      <c r="AA70" s="6"/>
      <c r="AB70" s="6"/>
      <c r="AC70" s="6">
        <f>T70*战斗公式!$E$39*(1+W70*(X70-1))*Y70</f>
        <v>192012.65050636319</v>
      </c>
      <c r="AD70" s="6">
        <f>U70*战斗公式!$E$41*(1+V70*战斗公式!$E$40)</f>
        <v>210713.47106322422</v>
      </c>
      <c r="AE70" s="22">
        <f t="shared" si="12"/>
        <v>402726.12156958738</v>
      </c>
      <c r="AF70" s="22">
        <f t="shared" si="19"/>
        <v>19177.434360456537</v>
      </c>
      <c r="AG70" s="22"/>
      <c r="AH70" s="9">
        <f t="shared" si="13"/>
        <v>1792.1180713927233</v>
      </c>
      <c r="AI70" s="9">
        <f t="shared" si="14"/>
        <v>40024.122769095251</v>
      </c>
      <c r="AJ70" s="9">
        <f t="shared" si="15"/>
        <v>13274.948676983122</v>
      </c>
      <c r="AK70" s="9">
        <f t="shared" si="20"/>
        <v>85.338955780606057</v>
      </c>
      <c r="AL70" s="9">
        <f t="shared" si="21"/>
        <v>1313.0366553189306</v>
      </c>
      <c r="AM70" s="9">
        <f t="shared" si="22"/>
        <v>632.14041318967429</v>
      </c>
    </row>
    <row r="71" spans="4:39" ht="14.25" customHeight="1" x14ac:dyDescent="0.2">
      <c r="D71" s="1">
        <v>54</v>
      </c>
      <c r="E71" s="6">
        <f t="shared" si="16"/>
        <v>97.349623631209639</v>
      </c>
      <c r="F71" s="6">
        <f t="shared" si="17"/>
        <v>818.62183508062617</v>
      </c>
      <c r="G71" s="6">
        <f t="shared" si="18"/>
        <v>75.224709169571028</v>
      </c>
      <c r="H71" s="6">
        <v>0.4</v>
      </c>
      <c r="I71" s="6">
        <v>1.5</v>
      </c>
      <c r="J71" s="6">
        <v>1</v>
      </c>
      <c r="K71" s="26">
        <f t="shared" si="9"/>
        <v>1.0447035695019629</v>
      </c>
      <c r="L71" s="6">
        <f t="shared" si="23"/>
        <v>8518.0920677308441</v>
      </c>
      <c r="M71" s="6">
        <f t="shared" si="24"/>
        <v>110342.54632733804</v>
      </c>
      <c r="N71" s="6">
        <f t="shared" si="25"/>
        <v>11283.706375435655</v>
      </c>
      <c r="O71" s="6">
        <f t="shared" si="26"/>
        <v>0.4</v>
      </c>
      <c r="P71" s="6">
        <f t="shared" si="27"/>
        <v>1.5</v>
      </c>
      <c r="Q71" s="6">
        <f t="shared" si="28"/>
        <v>1</v>
      </c>
      <c r="R71" s="6"/>
      <c r="S71" s="38">
        <v>54</v>
      </c>
      <c r="T71" s="6">
        <f>VLOOKUP($S$13,角色设定!$AB$9:$AJ$21,MATCH(E$17,角色设定!$AB$9:$AJ$9,0),0)*Z71*$L$15*E71/Y71/(1+W71*(X71-1))</f>
        <v>6720.4427677227113</v>
      </c>
      <c r="U71" s="6">
        <f>VLOOKUP($S$13,角色设定!$AB$9:$AJ$21,MATCH(F$17,角色设定!$AB$9:$AJ$9,0),0)*F71*$L$15/(1+V71/$N$16)</f>
        <v>147715.0370361348</v>
      </c>
      <c r="V71" s="6">
        <f>VLOOKUP($S$13,角色设定!$AB$9:$AJ$21,MATCH(V$17,角色设定!$AB$9:$AJ$9,0),0)*G71*$L$15</f>
        <v>49781.057538686706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1</v>
      </c>
      <c r="Z71" s="6">
        <f>VLOOKUP($S$13,角色设定!$AB$9:$AJ$21,MATCH(Z$17,角色设定!$AB$9:$AJ$9,0),0)</f>
        <v>0.9</v>
      </c>
      <c r="AA71" s="6"/>
      <c r="AB71" s="6"/>
      <c r="AC71" s="6">
        <f>T71*战斗公式!$E$39*(1+W71*(X71-1))*Y71</f>
        <v>201613.28303168135</v>
      </c>
      <c r="AD71" s="6">
        <f>U71*战斗公式!$E$41*(1+V71*战斗公式!$E$40)</f>
        <v>221249.14461638546</v>
      </c>
      <c r="AE71" s="22">
        <f t="shared" si="12"/>
        <v>422862.42764806678</v>
      </c>
      <c r="AF71" s="22">
        <f t="shared" si="19"/>
        <v>20136.306078479392</v>
      </c>
      <c r="AG71" s="22"/>
      <c r="AH71" s="9">
        <f t="shared" si="13"/>
        <v>1881.7239749623593</v>
      </c>
      <c r="AI71" s="9">
        <f t="shared" si="14"/>
        <v>41360.210370117748</v>
      </c>
      <c r="AJ71" s="9">
        <f t="shared" si="15"/>
        <v>13938.696110832279</v>
      </c>
      <c r="AK71" s="9">
        <f t="shared" si="20"/>
        <v>89.605903569635984</v>
      </c>
      <c r="AL71" s="9">
        <f t="shared" si="21"/>
        <v>1336.0876010224965</v>
      </c>
      <c r="AM71" s="9">
        <f t="shared" si="22"/>
        <v>663.74743384915746</v>
      </c>
    </row>
    <row r="72" spans="4:39" ht="14.25" customHeight="1" x14ac:dyDescent="0.2">
      <c r="D72" s="1">
        <v>55</v>
      </c>
      <c r="E72" s="6">
        <f t="shared" si="16"/>
        <v>102.21710481277013</v>
      </c>
      <c r="F72" s="6">
        <f t="shared" si="17"/>
        <v>859.55292683465757</v>
      </c>
      <c r="G72" s="6">
        <f t="shared" si="18"/>
        <v>78.98594462804958</v>
      </c>
      <c r="H72" s="6">
        <v>0.4</v>
      </c>
      <c r="I72" s="6">
        <v>1.5</v>
      </c>
      <c r="J72" s="6">
        <v>1</v>
      </c>
      <c r="K72" s="26">
        <f t="shared" si="9"/>
        <v>1.0444680475785793</v>
      </c>
      <c r="L72" s="6">
        <f t="shared" si="23"/>
        <v>8943.9966711173856</v>
      </c>
      <c r="M72" s="6">
        <f t="shared" si="24"/>
        <v>115275.25201610576</v>
      </c>
      <c r="N72" s="6">
        <f t="shared" si="25"/>
        <v>11847.891694207437</v>
      </c>
      <c r="O72" s="6">
        <f t="shared" si="26"/>
        <v>0.4</v>
      </c>
      <c r="P72" s="6">
        <f t="shared" si="27"/>
        <v>1.5</v>
      </c>
      <c r="Q72" s="6">
        <f t="shared" si="28"/>
        <v>1</v>
      </c>
      <c r="R72" s="6"/>
      <c r="S72" s="38">
        <v>55</v>
      </c>
      <c r="T72" s="6">
        <f>VLOOKUP($S$13,角色设定!$AB$9:$AJ$21,MATCH(E$17,角色设定!$AB$9:$AJ$9,0),0)*Z72*$L$15*E72/Y72/(1+W72*(X72-1))</f>
        <v>7056.4649061088485</v>
      </c>
      <c r="U72" s="6">
        <f>VLOOKUP($S$13,角色设定!$AB$9:$AJ$21,MATCH(F$17,角色设定!$AB$9:$AJ$9,0),0)*F72*$L$15/(1+V72/$N$16)</f>
        <v>152565.46489203334</v>
      </c>
      <c r="V72" s="6">
        <f>VLOOKUP($S$13,角色设定!$AB$9:$AJ$21,MATCH(V$17,角色设定!$AB$9:$AJ$9,0),0)*G72*$L$15</f>
        <v>52270.110415621042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1</v>
      </c>
      <c r="Z72" s="6">
        <f>VLOOKUP($S$13,角色设定!$AB$9:$AJ$21,MATCH(Z$17,角色设定!$AB$9:$AJ$9,0),0)</f>
        <v>0.9</v>
      </c>
      <c r="AA72" s="6"/>
      <c r="AB72" s="6"/>
      <c r="AC72" s="6">
        <f>T72*战斗公式!$E$39*(1+W72*(X72-1))*Y72</f>
        <v>211693.94718326544</v>
      </c>
      <c r="AD72" s="6">
        <f>U72*战斗公式!$E$41*(1+V72*战斗公式!$E$40)</f>
        <v>232311.60184720473</v>
      </c>
      <c r="AE72" s="22">
        <f t="shared" si="12"/>
        <v>444005.5490304702</v>
      </c>
      <c r="AF72" s="22">
        <f t="shared" si="19"/>
        <v>21143.12138240342</v>
      </c>
      <c r="AG72" s="22"/>
      <c r="AH72" s="9">
        <f t="shared" si="13"/>
        <v>1975.8101737104778</v>
      </c>
      <c r="AI72" s="9">
        <f t="shared" si="14"/>
        <v>42718.330169769339</v>
      </c>
      <c r="AJ72" s="9">
        <f t="shared" si="15"/>
        <v>14635.630916373893</v>
      </c>
      <c r="AK72" s="9">
        <f t="shared" si="20"/>
        <v>94.086198748118477</v>
      </c>
      <c r="AL72" s="9">
        <f t="shared" si="21"/>
        <v>1358.1197996515912</v>
      </c>
      <c r="AM72" s="9">
        <f t="shared" si="22"/>
        <v>696.93480554161397</v>
      </c>
    </row>
    <row r="73" spans="4:39" ht="14.25" customHeight="1" x14ac:dyDescent="0.2">
      <c r="D73" s="1">
        <v>56</v>
      </c>
      <c r="E73" s="6">
        <f t="shared" si="16"/>
        <v>107.32796005340865</v>
      </c>
      <c r="F73" s="6">
        <f t="shared" si="17"/>
        <v>902.53057317639048</v>
      </c>
      <c r="G73" s="6">
        <f t="shared" si="18"/>
        <v>82.935241859452063</v>
      </c>
      <c r="H73" s="6">
        <v>0.4</v>
      </c>
      <c r="I73" s="6">
        <v>1.5</v>
      </c>
      <c r="J73" s="6">
        <v>1</v>
      </c>
      <c r="K73" s="26">
        <f t="shared" si="9"/>
        <v>1.0442234058017708</v>
      </c>
      <c r="L73" s="6">
        <f t="shared" si="23"/>
        <v>9391.1965046732566</v>
      </c>
      <c r="M73" s="6">
        <f t="shared" si="24"/>
        <v>120401.31740739067</v>
      </c>
      <c r="N73" s="6">
        <f t="shared" si="25"/>
        <v>12440.286278917809</v>
      </c>
      <c r="O73" s="6">
        <f t="shared" si="26"/>
        <v>0.4</v>
      </c>
      <c r="P73" s="6">
        <f t="shared" si="27"/>
        <v>1.5</v>
      </c>
      <c r="Q73" s="6">
        <f t="shared" si="28"/>
        <v>1</v>
      </c>
      <c r="R73" s="6"/>
      <c r="S73" s="38">
        <v>56</v>
      </c>
      <c r="T73" s="6">
        <f>VLOOKUP($S$13,角色设定!$AB$9:$AJ$21,MATCH(E$17,角色设定!$AB$9:$AJ$9,0),0)*Z73*$L$15*E73/Y73/(1+W73*(X73-1))</f>
        <v>7409.288151414291</v>
      </c>
      <c r="U73" s="6">
        <f>VLOOKUP($S$13,角色设定!$AB$9:$AJ$21,MATCH(F$17,角色设定!$AB$9:$AJ$9,0),0)*F73*$L$15/(1+V73/$N$16)</f>
        <v>157490.62963491614</v>
      </c>
      <c r="V73" s="6">
        <f>VLOOKUP($S$13,角色设定!$AB$9:$AJ$21,MATCH(V$17,角色设定!$AB$9:$AJ$9,0),0)*G73*$L$15</f>
        <v>54883.615936402093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1</v>
      </c>
      <c r="Z73" s="6">
        <f>VLOOKUP($S$13,角色设定!$AB$9:$AJ$21,MATCH(Z$17,角色设定!$AB$9:$AJ$9,0),0)</f>
        <v>0.9</v>
      </c>
      <c r="AA73" s="6"/>
      <c r="AB73" s="6"/>
      <c r="AC73" s="6">
        <f>T73*战斗公式!$E$39*(1+W73*(X73-1))*Y73</f>
        <v>222278.64454242872</v>
      </c>
      <c r="AD73" s="6">
        <f>U73*战斗公式!$E$41*(1+V73*战斗公式!$E$40)</f>
        <v>243927.18193956499</v>
      </c>
      <c r="AE73" s="22">
        <f t="shared" si="12"/>
        <v>466205.82648199372</v>
      </c>
      <c r="AF73" s="22">
        <f t="shared" si="19"/>
        <v>22200.277451523521</v>
      </c>
      <c r="AG73" s="22"/>
      <c r="AH73" s="9">
        <f t="shared" si="13"/>
        <v>2074.6006823960015</v>
      </c>
      <c r="AI73" s="9">
        <f t="shared" si="14"/>
        <v>44097.376297776522</v>
      </c>
      <c r="AJ73" s="9">
        <f t="shared" si="15"/>
        <v>15367.412462192588</v>
      </c>
      <c r="AK73" s="9">
        <f t="shared" si="20"/>
        <v>98.790508685523719</v>
      </c>
      <c r="AL73" s="9">
        <f t="shared" si="21"/>
        <v>1379.0461280071831</v>
      </c>
      <c r="AM73" s="9">
        <f t="shared" si="22"/>
        <v>731.78154581869421</v>
      </c>
    </row>
    <row r="74" spans="4:39" ht="14.25" customHeight="1" x14ac:dyDescent="0.2">
      <c r="D74" s="1">
        <v>57</v>
      </c>
      <c r="E74" s="6">
        <f t="shared" si="16"/>
        <v>112.69435805607908</v>
      </c>
      <c r="F74" s="6">
        <f t="shared" si="17"/>
        <v>947.65710183521003</v>
      </c>
      <c r="G74" s="6">
        <f t="shared" si="18"/>
        <v>87.082003952424671</v>
      </c>
      <c r="H74" s="6">
        <v>0.4</v>
      </c>
      <c r="I74" s="6">
        <v>1.5</v>
      </c>
      <c r="J74" s="6">
        <v>1</v>
      </c>
      <c r="K74" s="26">
        <f t="shared" si="9"/>
        <v>1.0439694123494931</v>
      </c>
      <c r="L74" s="6">
        <f t="shared" si="23"/>
        <v>9860.7563299069207</v>
      </c>
      <c r="M74" s="6">
        <f t="shared" si="24"/>
        <v>125725.8737261655</v>
      </c>
      <c r="N74" s="6">
        <f t="shared" si="25"/>
        <v>13062.300592863701</v>
      </c>
      <c r="O74" s="6">
        <f t="shared" si="26"/>
        <v>0.4</v>
      </c>
      <c r="P74" s="6">
        <f t="shared" si="27"/>
        <v>1.5</v>
      </c>
      <c r="Q74" s="6">
        <f t="shared" si="28"/>
        <v>1</v>
      </c>
      <c r="R74" s="6"/>
      <c r="S74" s="38">
        <v>57</v>
      </c>
      <c r="T74" s="6">
        <f>VLOOKUP($S$13,角色设定!$AB$9:$AJ$21,MATCH(E$17,角色设定!$AB$9:$AJ$9,0),0)*Z74*$L$15*E74/Y74/(1+W74*(X74-1))</f>
        <v>7779.7525589850056</v>
      </c>
      <c r="U74" s="6">
        <f>VLOOKUP($S$13,角色设定!$AB$9:$AJ$21,MATCH(F$17,角色设定!$AB$9:$AJ$9,0),0)*F74*$L$15/(1+V74/$N$16)</f>
        <v>162486.27865427858</v>
      </c>
      <c r="V74" s="6">
        <f>VLOOKUP($S$13,角色设定!$AB$9:$AJ$21,MATCH(V$17,角色设定!$AB$9:$AJ$9,0),0)*G74*$L$15</f>
        <v>57627.796733222203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1</v>
      </c>
      <c r="Z74" s="6">
        <f>VLOOKUP($S$13,角色设定!$AB$9:$AJ$21,MATCH(Z$17,角色设定!$AB$9:$AJ$9,0),0)</f>
        <v>0.9</v>
      </c>
      <c r="AA74" s="6"/>
      <c r="AB74" s="6"/>
      <c r="AC74" s="6">
        <f>T74*战斗公式!$E$39*(1+W74*(X74-1))*Y74</f>
        <v>233392.57676955016</v>
      </c>
      <c r="AD74" s="6">
        <f>U74*战斗公式!$E$41*(1+V74*战斗公式!$E$40)</f>
        <v>256123.54103654326</v>
      </c>
      <c r="AE74" s="22">
        <f t="shared" si="12"/>
        <v>489516.11780609342</v>
      </c>
      <c r="AF74" s="22">
        <f t="shared" si="19"/>
        <v>23310.2913240997</v>
      </c>
      <c r="AG74" s="22"/>
      <c r="AH74" s="9">
        <f t="shared" si="13"/>
        <v>2178.3307165158017</v>
      </c>
      <c r="AI74" s="9">
        <f t="shared" si="14"/>
        <v>45496.158023198004</v>
      </c>
      <c r="AJ74" s="9">
        <f t="shared" si="15"/>
        <v>16135.783085302219</v>
      </c>
      <c r="AK74" s="9">
        <f t="shared" si="20"/>
        <v>103.73003411980017</v>
      </c>
      <c r="AL74" s="9">
        <f t="shared" si="21"/>
        <v>1398.7817254214824</v>
      </c>
      <c r="AM74" s="9">
        <f t="shared" si="22"/>
        <v>768.3706231096312</v>
      </c>
    </row>
    <row r="75" spans="4:39" ht="14.25" customHeight="1" x14ac:dyDescent="0.2">
      <c r="D75" s="1">
        <v>58</v>
      </c>
      <c r="E75" s="6">
        <f t="shared" si="16"/>
        <v>118.32907595888304</v>
      </c>
      <c r="F75" s="6">
        <f t="shared" si="17"/>
        <v>995.0399569269706</v>
      </c>
      <c r="G75" s="6">
        <f t="shared" si="18"/>
        <v>91.436104150045907</v>
      </c>
      <c r="H75" s="6">
        <v>0.4</v>
      </c>
      <c r="I75" s="6">
        <v>1.5</v>
      </c>
      <c r="J75" s="6">
        <v>1</v>
      </c>
      <c r="K75" s="26">
        <f t="shared" si="9"/>
        <v>1.0437058404478337</v>
      </c>
      <c r="L75" s="6">
        <f t="shared" si="23"/>
        <v>10353.794146402266</v>
      </c>
      <c r="M75" s="6">
        <f t="shared" si="24"/>
        <v>131253.96651103158</v>
      </c>
      <c r="N75" s="6">
        <f t="shared" si="25"/>
        <v>13715.415622506885</v>
      </c>
      <c r="O75" s="6">
        <f t="shared" si="26"/>
        <v>0.4</v>
      </c>
      <c r="P75" s="6">
        <f t="shared" si="27"/>
        <v>1.5</v>
      </c>
      <c r="Q75" s="6">
        <f t="shared" si="28"/>
        <v>1</v>
      </c>
      <c r="R75" s="6"/>
      <c r="S75" s="38">
        <v>58</v>
      </c>
      <c r="T75" s="6">
        <f>VLOOKUP($S$13,角色设定!$AB$9:$AJ$21,MATCH(E$17,角色设定!$AB$9:$AJ$9,0),0)*Z75*$L$15*E75/Y75/(1+W75*(X75-1))</f>
        <v>8168.7401869342557</v>
      </c>
      <c r="U75" s="6">
        <f>VLOOKUP($S$13,角色设定!$AB$9:$AJ$21,MATCH(F$17,角色设定!$AB$9:$AJ$9,0),0)*F75*$L$15/(1+V75/$N$16)</f>
        <v>167547.86678286633</v>
      </c>
      <c r="V75" s="6">
        <f>VLOOKUP($S$13,角色设定!$AB$9:$AJ$21,MATCH(V$17,角色设定!$AB$9:$AJ$9,0),0)*G75*$L$15</f>
        <v>60509.186569883313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1</v>
      </c>
      <c r="Z75" s="6">
        <f>VLOOKUP($S$13,角色设定!$AB$9:$AJ$21,MATCH(Z$17,角色设定!$AB$9:$AJ$9,0),0)</f>
        <v>0.9</v>
      </c>
      <c r="AA75" s="6"/>
      <c r="AB75" s="6"/>
      <c r="AC75" s="6">
        <f>T75*战斗公式!$E$39*(1+W75*(X75-1))*Y75</f>
        <v>245062.20560802767</v>
      </c>
      <c r="AD75" s="6">
        <f>U75*战斗公式!$E$41*(1+V75*战斗公式!$E$40)</f>
        <v>268929.71808837052</v>
      </c>
      <c r="AE75" s="22">
        <f t="shared" si="12"/>
        <v>513991.92369639815</v>
      </c>
      <c r="AF75" s="22">
        <f t="shared" si="19"/>
        <v>24475.805890304735</v>
      </c>
      <c r="AG75" s="22"/>
      <c r="AH75" s="9">
        <f t="shared" si="13"/>
        <v>2287.2472523415918</v>
      </c>
      <c r="AI75" s="9">
        <f t="shared" si="14"/>
        <v>46913.402699202576</v>
      </c>
      <c r="AJ75" s="9">
        <f t="shared" si="15"/>
        <v>16942.572239567329</v>
      </c>
      <c r="AK75" s="9">
        <f t="shared" si="20"/>
        <v>108.91653582579011</v>
      </c>
      <c r="AL75" s="9">
        <f t="shared" si="21"/>
        <v>1417.2446760045714</v>
      </c>
      <c r="AM75" s="9">
        <f t="shared" si="22"/>
        <v>806.78915426511048</v>
      </c>
    </row>
    <row r="76" spans="4:39" ht="14.25" customHeight="1" x14ac:dyDescent="0.2">
      <c r="D76" s="1">
        <v>59</v>
      </c>
      <c r="E76" s="6">
        <f t="shared" si="16"/>
        <v>124.2455297568272</v>
      </c>
      <c r="F76" s="6">
        <f t="shared" si="17"/>
        <v>1044.7919547733193</v>
      </c>
      <c r="G76" s="6">
        <f t="shared" si="18"/>
        <v>96.007909357548201</v>
      </c>
      <c r="H76" s="6">
        <v>0.4</v>
      </c>
      <c r="I76" s="6">
        <v>1.5</v>
      </c>
      <c r="J76" s="6">
        <v>1</v>
      </c>
      <c r="K76" s="26">
        <f t="shared" si="9"/>
        <v>1.0434324695547117</v>
      </c>
      <c r="L76" s="6">
        <f t="shared" si="23"/>
        <v>10871.48385372238</v>
      </c>
      <c r="M76" s="6">
        <f t="shared" si="24"/>
        <v>136990.53142950803</v>
      </c>
      <c r="N76" s="6">
        <f t="shared" si="25"/>
        <v>14401.186403632229</v>
      </c>
      <c r="O76" s="6">
        <f t="shared" si="26"/>
        <v>0.4</v>
      </c>
      <c r="P76" s="6">
        <f t="shared" si="27"/>
        <v>1.5</v>
      </c>
      <c r="Q76" s="6">
        <f t="shared" si="28"/>
        <v>1</v>
      </c>
      <c r="R76" s="6"/>
      <c r="S76" s="38">
        <v>59</v>
      </c>
      <c r="T76" s="6">
        <f>VLOOKUP($S$13,角色设定!$AB$9:$AJ$21,MATCH(E$17,角色设定!$AB$9:$AJ$9,0),0)*Z76*$L$15*E76/Y76/(1+W76*(X76-1))</f>
        <v>8577.1771962809689</v>
      </c>
      <c r="U76" s="6">
        <f>VLOOKUP($S$13,角色设定!$AB$9:$AJ$21,MATCH(F$17,角色设定!$AB$9:$AJ$9,0),0)*F76*$L$15/(1+V76/$N$16)</f>
        <v>172670.56924944281</v>
      </c>
      <c r="V76" s="6">
        <f>VLOOKUP($S$13,角色设定!$AB$9:$AJ$21,MATCH(V$17,角色设定!$AB$9:$AJ$9,0),0)*G76*$L$15</f>
        <v>63534.645898377479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1</v>
      </c>
      <c r="Z76" s="6">
        <f>VLOOKUP($S$13,角色设定!$AB$9:$AJ$21,MATCH(Z$17,角色设定!$AB$9:$AJ$9,0),0)</f>
        <v>0.9</v>
      </c>
      <c r="AA76" s="6"/>
      <c r="AB76" s="6"/>
      <c r="AC76" s="6">
        <f>T76*战斗公式!$E$39*(1+W76*(X76-1))*Y76</f>
        <v>257315.31588842906</v>
      </c>
      <c r="AD76" s="6">
        <f>U76*战斗公式!$E$41*(1+V76*战斗公式!$E$40)</f>
        <v>282376.20399278897</v>
      </c>
      <c r="AE76" s="22">
        <f t="shared" si="12"/>
        <v>539691.51988121797</v>
      </c>
      <c r="AF76" s="22">
        <f t="shared" si="19"/>
        <v>25699.59618481982</v>
      </c>
      <c r="AG76" s="22"/>
      <c r="AH76" s="9">
        <f t="shared" si="13"/>
        <v>2401.6096149586715</v>
      </c>
      <c r="AI76" s="9">
        <f t="shared" si="14"/>
        <v>48347.759389843988</v>
      </c>
      <c r="AJ76" s="9">
        <f t="shared" si="15"/>
        <v>17789.700851545695</v>
      </c>
      <c r="AK76" s="9">
        <f t="shared" si="20"/>
        <v>114.36236261707973</v>
      </c>
      <c r="AL76" s="9">
        <f t="shared" si="21"/>
        <v>1434.3566906414126</v>
      </c>
      <c r="AM76" s="9">
        <f t="shared" si="22"/>
        <v>847.12861197836537</v>
      </c>
    </row>
    <row r="77" spans="4:39" ht="14.25" customHeight="1" x14ac:dyDescent="0.2">
      <c r="D77" s="1">
        <v>60</v>
      </c>
      <c r="E77" s="6">
        <f t="shared" si="16"/>
        <v>130.45780624466857</v>
      </c>
      <c r="F77" s="6">
        <f t="shared" si="17"/>
        <v>1097.0315525119852</v>
      </c>
      <c r="G77" s="6">
        <f t="shared" si="18"/>
        <v>100.80830482542561</v>
      </c>
      <c r="H77" s="6">
        <v>0.4</v>
      </c>
      <c r="I77" s="6">
        <v>1.5</v>
      </c>
      <c r="J77" s="6">
        <v>1</v>
      </c>
      <c r="K77" s="26">
        <f t="shared" si="9"/>
        <v>1.0431490866146831</v>
      </c>
      <c r="L77" s="6">
        <f t="shared" si="23"/>
        <v>11415.0580464085</v>
      </c>
      <c r="M77" s="6">
        <f t="shared" si="24"/>
        <v>142940.36851510391</v>
      </c>
      <c r="N77" s="6">
        <f t="shared" si="25"/>
        <v>15121.245723813841</v>
      </c>
      <c r="O77" s="6">
        <f t="shared" si="26"/>
        <v>0.4</v>
      </c>
      <c r="P77" s="6">
        <f t="shared" si="27"/>
        <v>1.5</v>
      </c>
      <c r="Q77" s="6">
        <f t="shared" si="28"/>
        <v>1</v>
      </c>
      <c r="R77" s="6"/>
      <c r="S77" s="38">
        <v>60</v>
      </c>
      <c r="T77" s="6">
        <f>VLOOKUP($S$13,角色设定!$AB$9:$AJ$21,MATCH(E$17,角色设定!$AB$9:$AJ$9,0),0)*Z77*$L$15*E77/Y77/(1+W77*(X77-1))</f>
        <v>9006.0360560950194</v>
      </c>
      <c r="U77" s="6">
        <f>VLOOKUP($S$13,角色设定!$AB$9:$AJ$21,MATCH(F$17,角色设定!$AB$9:$AJ$9,0),0)*F77*$L$15/(1+V77/$N$16)</f>
        <v>177849.29703397464</v>
      </c>
      <c r="V77" s="6">
        <f>VLOOKUP($S$13,角色设定!$AB$9:$AJ$21,MATCH(V$17,角色设定!$AB$9:$AJ$9,0),0)*G77*$L$15</f>
        <v>66711.378193296347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1</v>
      </c>
      <c r="Z77" s="6">
        <f>VLOOKUP($S$13,角色设定!$AB$9:$AJ$21,MATCH(Z$17,角色设定!$AB$9:$AJ$9,0),0)</f>
        <v>0.9</v>
      </c>
      <c r="AA77" s="6"/>
      <c r="AB77" s="6"/>
      <c r="AC77" s="6">
        <f>T77*战斗公式!$E$39*(1+W77*(X77-1))*Y77</f>
        <v>270181.08168285055</v>
      </c>
      <c r="AD77" s="6">
        <f>U77*战斗公式!$E$41*(1+V77*战斗公式!$E$40)</f>
        <v>296495.01419242844</v>
      </c>
      <c r="AE77" s="22">
        <f t="shared" si="12"/>
        <v>566676.09587527905</v>
      </c>
      <c r="AF77" s="22">
        <f t="shared" si="19"/>
        <v>26984.575994061073</v>
      </c>
      <c r="AG77" s="22"/>
      <c r="AH77" s="9">
        <f t="shared" si="13"/>
        <v>2521.6900957066055</v>
      </c>
      <c r="AI77" s="9">
        <f t="shared" si="14"/>
        <v>49797.803169512903</v>
      </c>
      <c r="AJ77" s="9">
        <f t="shared" si="15"/>
        <v>18679.18589412298</v>
      </c>
      <c r="AK77" s="9">
        <f t="shared" si="20"/>
        <v>120.08048074793396</v>
      </c>
      <c r="AL77" s="9">
        <f t="shared" si="21"/>
        <v>1450.0437796689148</v>
      </c>
      <c r="AM77" s="9">
        <f t="shared" si="22"/>
        <v>889.48504257728564</v>
      </c>
    </row>
    <row r="78" spans="4:39" ht="14.25" customHeight="1" x14ac:dyDescent="0.2">
      <c r="D78" s="1">
        <v>61</v>
      </c>
      <c r="E78" s="6">
        <f t="shared" si="16"/>
        <v>136.98069655690202</v>
      </c>
      <c r="F78" s="6">
        <f t="shared" si="17"/>
        <v>1151.8831301375844</v>
      </c>
      <c r="G78" s="6">
        <f t="shared" si="18"/>
        <v>105.8487200666969</v>
      </c>
      <c r="H78" s="6">
        <v>0.4</v>
      </c>
      <c r="I78" s="6">
        <v>1.5</v>
      </c>
      <c r="J78" s="6">
        <v>1</v>
      </c>
      <c r="K78" s="26">
        <f t="shared" si="9"/>
        <v>1.0428554873825397</v>
      </c>
      <c r="L78" s="6">
        <f t="shared" si="23"/>
        <v>11985.810948728928</v>
      </c>
      <c r="M78" s="6">
        <f t="shared" si="24"/>
        <v>149108.11485689683</v>
      </c>
      <c r="N78" s="6">
        <f t="shared" si="25"/>
        <v>15877.308010004535</v>
      </c>
      <c r="O78" s="6">
        <f t="shared" si="26"/>
        <v>0.4</v>
      </c>
      <c r="P78" s="6">
        <f t="shared" si="27"/>
        <v>1.5</v>
      </c>
      <c r="Q78" s="6">
        <f t="shared" si="28"/>
        <v>1</v>
      </c>
      <c r="R78" s="6"/>
      <c r="S78" s="38">
        <v>61</v>
      </c>
      <c r="T78" s="6">
        <f>VLOOKUP($S$13,角色设定!$AB$9:$AJ$21,MATCH(E$17,角色设定!$AB$9:$AJ$9,0),0)*Z78*$L$15*E78/Y78/(1+W78*(X78-1))</f>
        <v>9456.3378588997712</v>
      </c>
      <c r="U78" s="6">
        <f>VLOOKUP($S$13,角色设定!$AB$9:$AJ$21,MATCH(F$17,角色设定!$AB$9:$AJ$9,0),0)*F78*$L$15/(1+V78/$N$16)</f>
        <v>183078.71455848592</v>
      </c>
      <c r="V78" s="6">
        <f>VLOOKUP($S$13,角色设定!$AB$9:$AJ$21,MATCH(V$17,角色设定!$AB$9:$AJ$9,0),0)*G78*$L$15</f>
        <v>70046.947102961174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1</v>
      </c>
      <c r="Z78" s="6">
        <f>VLOOKUP($S$13,角色设定!$AB$9:$AJ$21,MATCH(Z$17,角色设定!$AB$9:$AJ$9,0),0)</f>
        <v>0.9</v>
      </c>
      <c r="AA78" s="6"/>
      <c r="AB78" s="6"/>
      <c r="AC78" s="6">
        <f>T78*战斗公式!$E$39*(1+W78*(X78-1))*Y78</f>
        <v>283690.1357669931</v>
      </c>
      <c r="AD78" s="6">
        <f>U78*战斗公式!$E$41*(1+V78*战斗公式!$E$40)</f>
        <v>311319.76490204985</v>
      </c>
      <c r="AE78" s="22">
        <f t="shared" si="12"/>
        <v>595009.90066904295</v>
      </c>
      <c r="AF78" s="22">
        <f t="shared" si="19"/>
        <v>28333.804793763906</v>
      </c>
      <c r="AG78" s="22"/>
      <c r="AH78" s="9">
        <f t="shared" si="13"/>
        <v>2647.7746004919363</v>
      </c>
      <c r="AI78" s="9">
        <f t="shared" si="14"/>
        <v>51262.040076376063</v>
      </c>
      <c r="AJ78" s="9">
        <f t="shared" si="15"/>
        <v>19613.14518882913</v>
      </c>
      <c r="AK78" s="9">
        <f t="shared" si="20"/>
        <v>126.08450478533086</v>
      </c>
      <c r="AL78" s="9">
        <f t="shared" si="21"/>
        <v>1464.2369068631597</v>
      </c>
      <c r="AM78" s="9">
        <f t="shared" si="22"/>
        <v>933.9592947061501</v>
      </c>
    </row>
    <row r="79" spans="4:39" ht="14.25" customHeight="1" x14ac:dyDescent="0.2">
      <c r="D79" s="1">
        <v>62</v>
      </c>
      <c r="E79" s="6">
        <f t="shared" si="16"/>
        <v>143.82973138474713</v>
      </c>
      <c r="F79" s="6">
        <f t="shared" si="17"/>
        <v>1209.4772866444637</v>
      </c>
      <c r="G79" s="6">
        <f t="shared" si="18"/>
        <v>111.14115607003176</v>
      </c>
      <c r="H79" s="6">
        <v>0.4</v>
      </c>
      <c r="I79" s="6">
        <v>1.5</v>
      </c>
      <c r="J79" s="6">
        <v>1</v>
      </c>
      <c r="K79" s="26">
        <f t="shared" si="9"/>
        <v>1.0425514778124174</v>
      </c>
      <c r="L79" s="6">
        <f t="shared" si="23"/>
        <v>12585.101496165375</v>
      </c>
      <c r="M79" s="6">
        <f t="shared" si="24"/>
        <v>155498.21579178085</v>
      </c>
      <c r="N79" s="6">
        <f t="shared" si="25"/>
        <v>16671.173410504762</v>
      </c>
      <c r="O79" s="6">
        <f t="shared" si="26"/>
        <v>0.4</v>
      </c>
      <c r="P79" s="6">
        <f t="shared" si="27"/>
        <v>1.5</v>
      </c>
      <c r="Q79" s="6">
        <f t="shared" si="28"/>
        <v>1</v>
      </c>
      <c r="R79" s="6"/>
      <c r="S79" s="38">
        <v>62</v>
      </c>
      <c r="T79" s="6">
        <f>VLOOKUP($S$13,角色设定!$AB$9:$AJ$21,MATCH(E$17,角色设定!$AB$9:$AJ$9,0),0)*Z79*$L$15*E79/Y79/(1+W79*(X79-1))</f>
        <v>9929.1547518447605</v>
      </c>
      <c r="U79" s="6">
        <f>VLOOKUP($S$13,角色设定!$AB$9:$AJ$21,MATCH(F$17,角色设定!$AB$9:$AJ$9,0),0)*F79*$L$15/(1+V79/$N$16)</f>
        <v>188353.25961296546</v>
      </c>
      <c r="V79" s="6">
        <f>VLOOKUP($S$13,角色设定!$AB$9:$AJ$21,MATCH(V$17,角色设定!$AB$9:$AJ$9,0),0)*G79*$L$15</f>
        <v>73549.294458109245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1</v>
      </c>
      <c r="Z79" s="6">
        <f>VLOOKUP($S$13,角色设定!$AB$9:$AJ$21,MATCH(Z$17,角色设定!$AB$9:$AJ$9,0),0)</f>
        <v>0.9</v>
      </c>
      <c r="AA79" s="6"/>
      <c r="AB79" s="6"/>
      <c r="AC79" s="6">
        <f>T79*战斗公式!$E$39*(1+W79*(X79-1))*Y79</f>
        <v>297874.64255534281</v>
      </c>
      <c r="AD79" s="6">
        <f>U79*战斗公式!$E$41*(1+V79*战斗公式!$E$40)</f>
        <v>326885.75314715237</v>
      </c>
      <c r="AE79" s="22">
        <f t="shared" si="12"/>
        <v>624760.39570249524</v>
      </c>
      <c r="AF79" s="22">
        <f t="shared" si="19"/>
        <v>29750.495033452287</v>
      </c>
      <c r="AG79" s="22"/>
      <c r="AH79" s="9">
        <f t="shared" si="13"/>
        <v>2780.1633305165333</v>
      </c>
      <c r="AI79" s="9">
        <f t="shared" si="14"/>
        <v>52738.912691630336</v>
      </c>
      <c r="AJ79" s="9">
        <f t="shared" si="15"/>
        <v>20593.802448270591</v>
      </c>
      <c r="AK79" s="9">
        <f t="shared" si="20"/>
        <v>132.38873002459695</v>
      </c>
      <c r="AL79" s="9">
        <f t="shared" si="21"/>
        <v>1476.8726152542731</v>
      </c>
      <c r="AM79" s="9">
        <f t="shared" si="22"/>
        <v>980.65725944146106</v>
      </c>
    </row>
    <row r="80" spans="4:39" ht="14.25" customHeight="1" x14ac:dyDescent="0.2">
      <c r="D80" s="1">
        <v>63</v>
      </c>
      <c r="E80" s="6">
        <f t="shared" si="16"/>
        <v>151.02121795398449</v>
      </c>
      <c r="F80" s="6">
        <f t="shared" si="17"/>
        <v>1269.9511509766869</v>
      </c>
      <c r="G80" s="6">
        <f t="shared" si="18"/>
        <v>116.69821387353335</v>
      </c>
      <c r="H80" s="6">
        <v>0.4</v>
      </c>
      <c r="I80" s="6">
        <v>1.5</v>
      </c>
      <c r="J80" s="6">
        <v>1</v>
      </c>
      <c r="K80" s="26">
        <f t="shared" si="9"/>
        <v>1.0422368755080618</v>
      </c>
      <c r="L80" s="6">
        <f t="shared" si="23"/>
        <v>13214.356570973643</v>
      </c>
      <c r="M80" s="6">
        <f t="shared" si="24"/>
        <v>162114.8946709153</v>
      </c>
      <c r="N80" s="6">
        <f t="shared" si="25"/>
        <v>17504.732081030001</v>
      </c>
      <c r="O80" s="6">
        <f t="shared" si="26"/>
        <v>0.4</v>
      </c>
      <c r="P80" s="6">
        <f t="shared" si="27"/>
        <v>1.5</v>
      </c>
      <c r="Q80" s="6">
        <f t="shared" si="28"/>
        <v>1</v>
      </c>
      <c r="R80" s="6"/>
      <c r="S80" s="38">
        <v>63</v>
      </c>
      <c r="T80" s="6">
        <f>VLOOKUP($S$13,角色设定!$AB$9:$AJ$21,MATCH(E$17,角色设定!$AB$9:$AJ$9,0),0)*Z80*$L$15*E80/Y80/(1+W80*(X80-1))</f>
        <v>10425.612489436997</v>
      </c>
      <c r="U80" s="6">
        <f>VLOOKUP($S$13,角色设定!$AB$9:$AJ$21,MATCH(F$17,角色设定!$AB$9:$AJ$9,0),0)*F80*$L$15/(1+V80/$N$16)</f>
        <v>193667.1653821441</v>
      </c>
      <c r="V80" s="6">
        <f>VLOOKUP($S$13,角色设定!$AB$9:$AJ$21,MATCH(V$17,角色设定!$AB$9:$AJ$9,0),0)*G80*$L$15</f>
        <v>77226.759181014713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1</v>
      </c>
      <c r="Z80" s="6">
        <f>VLOOKUP($S$13,角色设定!$AB$9:$AJ$21,MATCH(Z$17,角色设定!$AB$9:$AJ$9,0),0)</f>
        <v>0.9</v>
      </c>
      <c r="AA80" s="6"/>
      <c r="AB80" s="6"/>
      <c r="AC80" s="6">
        <f>T80*战斗公式!$E$39*(1+W80*(X80-1))*Y80</f>
        <v>312768.37468310987</v>
      </c>
      <c r="AD80" s="6">
        <f>U80*战斗公式!$E$41*(1+V80*战斗公式!$E$40)</f>
        <v>343230.04080451</v>
      </c>
      <c r="AE80" s="22">
        <f t="shared" si="12"/>
        <v>655998.41548761982</v>
      </c>
      <c r="AF80" s="22">
        <f t="shared" si="19"/>
        <v>31238.019785124576</v>
      </c>
      <c r="AG80" s="22"/>
      <c r="AH80" s="9">
        <f t="shared" si="13"/>
        <v>2919.1714970423595</v>
      </c>
      <c r="AI80" s="9">
        <f t="shared" si="14"/>
        <v>54226.806307000355</v>
      </c>
      <c r="AJ80" s="9">
        <f t="shared" si="15"/>
        <v>21623.49257068412</v>
      </c>
      <c r="AK80" s="9">
        <f t="shared" si="20"/>
        <v>139.00816652582625</v>
      </c>
      <c r="AL80" s="9">
        <f t="shared" si="21"/>
        <v>1487.8936153700197</v>
      </c>
      <c r="AM80" s="9">
        <f t="shared" si="22"/>
        <v>1029.690122413529</v>
      </c>
    </row>
    <row r="81" spans="4:39" ht="14.25" customHeight="1" x14ac:dyDescent="0.2">
      <c r="D81" s="1">
        <v>64</v>
      </c>
      <c r="E81" s="6">
        <f t="shared" si="16"/>
        <v>158.57227885168373</v>
      </c>
      <c r="F81" s="6">
        <f t="shared" si="17"/>
        <v>1333.4487085255214</v>
      </c>
      <c r="G81" s="6">
        <f t="shared" si="18"/>
        <v>122.53312456721002</v>
      </c>
      <c r="H81" s="6">
        <v>0.4</v>
      </c>
      <c r="I81" s="6">
        <v>1.5</v>
      </c>
      <c r="J81" s="6">
        <v>1</v>
      </c>
      <c r="K81" s="26">
        <f t="shared" si="9"/>
        <v>1.0419115112287474</v>
      </c>
      <c r="L81" s="6">
        <f t="shared" si="23"/>
        <v>13875.074399522327</v>
      </c>
      <c r="M81" s="6">
        <f t="shared" si="24"/>
        <v>168962.12129513329</v>
      </c>
      <c r="N81" s="6">
        <f t="shared" si="25"/>
        <v>18379.968685081505</v>
      </c>
      <c r="O81" s="6">
        <f t="shared" si="26"/>
        <v>0.4</v>
      </c>
      <c r="P81" s="6">
        <f t="shared" si="27"/>
        <v>1.5</v>
      </c>
      <c r="Q81" s="6">
        <f t="shared" si="28"/>
        <v>1</v>
      </c>
      <c r="R81" s="6"/>
      <c r="S81" s="38">
        <v>64</v>
      </c>
      <c r="T81" s="6">
        <f>VLOOKUP($S$13,角色设定!$AB$9:$AJ$21,MATCH(E$17,角色设定!$AB$9:$AJ$9,0),0)*Z81*$L$15*E81/Y81/(1+W81*(X81-1))</f>
        <v>10946.893113908849</v>
      </c>
      <c r="U81" s="6">
        <f>VLOOKUP($S$13,角色设定!$AB$9:$AJ$21,MATCH(F$17,角色设定!$AB$9:$AJ$9,0),0)*F81*$L$15/(1+V81/$N$16)</f>
        <v>199014.48440644058</v>
      </c>
      <c r="V81" s="6">
        <f>VLOOKUP($S$13,角色设定!$AB$9:$AJ$21,MATCH(V$17,角色设定!$AB$9:$AJ$9,0),0)*G81*$L$15</f>
        <v>81088.097140065453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1</v>
      </c>
      <c r="Z81" s="6">
        <f>VLOOKUP($S$13,角色设定!$AB$9:$AJ$21,MATCH(Z$17,角色设定!$AB$9:$AJ$9,0),0)</f>
        <v>0.9</v>
      </c>
      <c r="AA81" s="6"/>
      <c r="AB81" s="6"/>
      <c r="AC81" s="6">
        <f>T81*战斗公式!$E$39*(1+W81*(X81-1))*Y81</f>
        <v>328406.79341726546</v>
      </c>
      <c r="AD81" s="6">
        <f>U81*战斗公式!$E$41*(1+V81*战斗公式!$E$40)</f>
        <v>360391.54284473555</v>
      </c>
      <c r="AE81" s="22">
        <f t="shared" si="12"/>
        <v>688798.33626200096</v>
      </c>
      <c r="AF81" s="22">
        <f t="shared" si="19"/>
        <v>32799.920774381142</v>
      </c>
      <c r="AG81" s="22"/>
      <c r="AH81" s="9">
        <f t="shared" si="13"/>
        <v>3065.1300718944781</v>
      </c>
      <c r="AI81" s="9">
        <f t="shared" si="14"/>
        <v>55724.055633803364</v>
      </c>
      <c r="AJ81" s="9">
        <f t="shared" si="15"/>
        <v>22704.667199218329</v>
      </c>
      <c r="AK81" s="9">
        <f t="shared" si="20"/>
        <v>145.95857485211855</v>
      </c>
      <c r="AL81" s="9">
        <f t="shared" si="21"/>
        <v>1497.2493268030084</v>
      </c>
      <c r="AM81" s="9">
        <f t="shared" si="22"/>
        <v>1081.1746285342088</v>
      </c>
    </row>
    <row r="82" spans="4:39" ht="14.25" customHeight="1" x14ac:dyDescent="0.2">
      <c r="D82" s="1">
        <v>65</v>
      </c>
      <c r="E82" s="6">
        <f t="shared" si="16"/>
        <v>166.50089279426794</v>
      </c>
      <c r="F82" s="6">
        <f t="shared" si="17"/>
        <v>1400.1211439517974</v>
      </c>
      <c r="G82" s="6">
        <f t="shared" si="18"/>
        <v>128.65978079557053</v>
      </c>
      <c r="H82" s="6">
        <v>0.4</v>
      </c>
      <c r="I82" s="6">
        <v>1.5</v>
      </c>
      <c r="J82" s="6">
        <v>1</v>
      </c>
      <c r="K82" s="26">
        <f t="shared" si="9"/>
        <v>1.0415752304441377</v>
      </c>
      <c r="L82" s="6">
        <f t="shared" ref="L82:L117" si="29">E82*$L$16/J82/(1+H82*(I82-1))*$L$15</f>
        <v>14568.828119498443</v>
      </c>
      <c r="M82" s="6">
        <f t="shared" ref="M82:M113" si="30">F82/(1+N82/$N$16)*$L$15</f>
        <v>176043.57913902725</v>
      </c>
      <c r="N82" s="6">
        <f t="shared" ref="N82:N117" si="31">G82*$L$15</f>
        <v>19298.967119335579</v>
      </c>
      <c r="O82" s="6">
        <f t="shared" ref="O82:O94" si="32">H82</f>
        <v>0.4</v>
      </c>
      <c r="P82" s="6">
        <f t="shared" ref="P82:P94" si="33">I82</f>
        <v>1.5</v>
      </c>
      <c r="Q82" s="6">
        <f t="shared" ref="Q82:Q94" si="34">J82</f>
        <v>1</v>
      </c>
      <c r="R82" s="6"/>
      <c r="S82" s="38">
        <v>65</v>
      </c>
      <c r="T82" s="6">
        <f>VLOOKUP($S$13,角色设定!$AB$9:$AJ$21,MATCH(E$17,角色设定!$AB$9:$AJ$9,0),0)*Z82*$L$15*E82/Y82/(1+W82*(X82-1))</f>
        <v>11494.237769604293</v>
      </c>
      <c r="U82" s="6">
        <f>VLOOKUP($S$13,角色设定!$AB$9:$AJ$21,MATCH(F$17,角色设定!$AB$9:$AJ$9,0),0)*F82*$L$15/(1+V82/$N$16)</f>
        <v>204389.11427963933</v>
      </c>
      <c r="V82" s="6">
        <f>VLOOKUP($S$13,角色设定!$AB$9:$AJ$21,MATCH(V$17,角色设定!$AB$9:$AJ$9,0),0)*G82*$L$15</f>
        <v>85142.501997068714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1</v>
      </c>
      <c r="Z82" s="6">
        <f>VLOOKUP($S$13,角色设定!$AB$9:$AJ$21,MATCH(Z$17,角色设定!$AB$9:$AJ$9,0),0)</f>
        <v>0.9</v>
      </c>
      <c r="AA82" s="6"/>
      <c r="AB82" s="6"/>
      <c r="AC82" s="6">
        <f>T82*战斗公式!$E$39*(1+W82*(X82-1))*Y82</f>
        <v>344827.13308812876</v>
      </c>
      <c r="AD82" s="6">
        <f>U82*战斗公式!$E$41*(1+V82*战斗公式!$E$40)</f>
        <v>378411.11998697231</v>
      </c>
      <c r="AE82" s="22">
        <f t="shared" si="12"/>
        <v>723238.25307510106</v>
      </c>
      <c r="AF82" s="22">
        <f t="shared" si="19"/>
        <v>34439.916813100106</v>
      </c>
      <c r="AG82" s="22"/>
      <c r="AH82" s="9">
        <f t="shared" si="13"/>
        <v>3218.3865754892022</v>
      </c>
      <c r="AI82" s="9">
        <f t="shared" si="14"/>
        <v>57228.951998299017</v>
      </c>
      <c r="AJ82" s="9">
        <f t="shared" si="15"/>
        <v>23839.900559179241</v>
      </c>
      <c r="AK82" s="9">
        <f t="shared" si="20"/>
        <v>153.25650359472411</v>
      </c>
      <c r="AL82" s="9">
        <f t="shared" si="21"/>
        <v>1504.896364495653</v>
      </c>
      <c r="AM82" s="9">
        <f t="shared" si="22"/>
        <v>1135.2333599609119</v>
      </c>
    </row>
    <row r="83" spans="4:39" ht="14.25" customHeight="1" x14ac:dyDescent="0.2">
      <c r="D83" s="1">
        <v>66</v>
      </c>
      <c r="E83" s="6">
        <f t="shared" si="16"/>
        <v>174.82593743398135</v>
      </c>
      <c r="F83" s="6">
        <f t="shared" si="17"/>
        <v>1470.1272011493872</v>
      </c>
      <c r="G83" s="6">
        <f t="shared" si="18"/>
        <v>135.09276983534906</v>
      </c>
      <c r="H83" s="6">
        <v>0.4</v>
      </c>
      <c r="I83" s="6">
        <v>1.5</v>
      </c>
      <c r="J83" s="6">
        <v>1</v>
      </c>
      <c r="K83" s="26">
        <f t="shared" ref="K83:K115" si="35">M84/M83</f>
        <v>1.0412278949300786</v>
      </c>
      <c r="L83" s="6">
        <f t="shared" si="29"/>
        <v>15297.269525473368</v>
      </c>
      <c r="M83" s="6">
        <f t="shared" si="30"/>
        <v>183362.63150994311</v>
      </c>
      <c r="N83" s="6">
        <f t="shared" si="31"/>
        <v>20263.915475302358</v>
      </c>
      <c r="O83" s="6">
        <f t="shared" si="32"/>
        <v>0.4</v>
      </c>
      <c r="P83" s="6">
        <f t="shared" si="33"/>
        <v>1.5</v>
      </c>
      <c r="Q83" s="6">
        <f t="shared" si="34"/>
        <v>1</v>
      </c>
      <c r="R83" s="6"/>
      <c r="S83" s="38">
        <v>66</v>
      </c>
      <c r="T83" s="6">
        <f>VLOOKUP($S$13,角色设定!$AB$9:$AJ$21,MATCH(E$17,角色设定!$AB$9:$AJ$9,0),0)*Z83*$L$15*E83/Y83/(1+W83*(X83-1))</f>
        <v>12068.94965808451</v>
      </c>
      <c r="U83" s="6">
        <f>VLOOKUP($S$13,角色设定!$AB$9:$AJ$21,MATCH(F$17,角色设定!$AB$9:$AJ$9,0),0)*F83*$L$15/(1+V83/$N$16)</f>
        <v>209784.8248576503</v>
      </c>
      <c r="V83" s="6">
        <f>VLOOKUP($S$13,角色设定!$AB$9:$AJ$21,MATCH(V$17,角色设定!$AB$9:$AJ$9,0),0)*G83*$L$15</f>
        <v>89399.627096922151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1</v>
      </c>
      <c r="Z83" s="6">
        <f>VLOOKUP($S$13,角色设定!$AB$9:$AJ$21,MATCH(Z$17,角色设定!$AB$9:$AJ$9,0),0)</f>
        <v>0.9</v>
      </c>
      <c r="AA83" s="6"/>
      <c r="AB83" s="6"/>
      <c r="AC83" s="6">
        <f>T83*战斗公式!$E$39*(1+W83*(X83-1))*Y83</f>
        <v>362068.48974253528</v>
      </c>
      <c r="AD83" s="6">
        <f>U83*战斗公式!$E$41*(1+V83*战斗公式!$E$40)</f>
        <v>397331.67598632094</v>
      </c>
      <c r="AE83" s="22">
        <f t="shared" ref="AE83:AE117" si="36">AC83+AD83</f>
        <v>759400.16572885623</v>
      </c>
      <c r="AF83" s="22">
        <f t="shared" si="19"/>
        <v>36161.912653755164</v>
      </c>
      <c r="AG83" s="22"/>
      <c r="AH83" s="9">
        <f t="shared" ref="AH83:AH117" si="37">T83*$F$5</f>
        <v>3379.3059042636633</v>
      </c>
      <c r="AI83" s="9">
        <f t="shared" ref="AI83:AI117" si="38">U83*$F$5</f>
        <v>58739.75096014209</v>
      </c>
      <c r="AJ83" s="9">
        <f t="shared" ref="AJ83:AJ117" si="39">V83*$F$5</f>
        <v>25031.895587138206</v>
      </c>
      <c r="AK83" s="9">
        <f t="shared" si="20"/>
        <v>160.91932877446106</v>
      </c>
      <c r="AL83" s="9">
        <f t="shared" si="21"/>
        <v>1510.7989618430729</v>
      </c>
      <c r="AM83" s="9">
        <f t="shared" si="22"/>
        <v>1191.9950279589648</v>
      </c>
    </row>
    <row r="84" spans="4:39" ht="14.25" customHeight="1" x14ac:dyDescent="0.2">
      <c r="D84" s="1">
        <v>67</v>
      </c>
      <c r="E84" s="6">
        <f t="shared" ref="E84:E117" si="40">E83*E$16</f>
        <v>183.56723430568042</v>
      </c>
      <c r="F84" s="6">
        <f t="shared" ref="F84:F117" si="41">F83*F$16</f>
        <v>1543.6335612068567</v>
      </c>
      <c r="G84" s="6">
        <f t="shared" ref="G84:G117" si="42">G83*G$16</f>
        <v>141.84740832711651</v>
      </c>
      <c r="H84" s="6">
        <v>0.4</v>
      </c>
      <c r="I84" s="6">
        <v>1.5</v>
      </c>
      <c r="J84" s="6">
        <v>1</v>
      </c>
      <c r="K84" s="26">
        <f t="shared" si="35"/>
        <v>1.0408693843960137</v>
      </c>
      <c r="L84" s="6">
        <f t="shared" si="29"/>
        <v>16062.133001747035</v>
      </c>
      <c r="M84" s="6">
        <f t="shared" si="30"/>
        <v>190922.28681593775</v>
      </c>
      <c r="N84" s="6">
        <f t="shared" si="31"/>
        <v>21277.111249067475</v>
      </c>
      <c r="O84" s="6">
        <f t="shared" si="32"/>
        <v>0.4</v>
      </c>
      <c r="P84" s="6">
        <f t="shared" si="33"/>
        <v>1.5</v>
      </c>
      <c r="Q84" s="6">
        <f t="shared" si="34"/>
        <v>1</v>
      </c>
      <c r="R84" s="6"/>
      <c r="S84" s="38">
        <v>67</v>
      </c>
      <c r="T84" s="6">
        <f>VLOOKUP($S$13,角色设定!$AB$9:$AJ$21,MATCH(E$17,角色设定!$AB$9:$AJ$9,0),0)*Z84*$L$15*E84/Y84/(1+W84*(X84-1))</f>
        <v>12672.397140988734</v>
      </c>
      <c r="U84" s="6">
        <f>VLOOKUP($S$13,角色设定!$AB$9:$AJ$21,MATCH(F$17,角色设定!$AB$9:$AJ$9,0),0)*F84*$L$15/(1+V84/$N$16)</f>
        <v>215195.2867276922</v>
      </c>
      <c r="V84" s="6">
        <f>VLOOKUP($S$13,角色设定!$AB$9:$AJ$21,MATCH(V$17,角色设定!$AB$9:$AJ$9,0),0)*G84*$L$15</f>
        <v>93869.608451768276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1</v>
      </c>
      <c r="Z84" s="6">
        <f>VLOOKUP($S$13,角色设定!$AB$9:$AJ$21,MATCH(Z$17,角色设定!$AB$9:$AJ$9,0),0)</f>
        <v>0.9</v>
      </c>
      <c r="AA84" s="6"/>
      <c r="AB84" s="6"/>
      <c r="AC84" s="6">
        <f>T84*战斗公式!$E$39*(1+W84*(X84-1))*Y84</f>
        <v>380171.91422966204</v>
      </c>
      <c r="AD84" s="6">
        <f>U84*战斗公式!$E$41*(1+V84*战斗公式!$E$40)</f>
        <v>417198.25978563697</v>
      </c>
      <c r="AE84" s="22">
        <f t="shared" si="36"/>
        <v>797370.17401529895</v>
      </c>
      <c r="AF84" s="22">
        <f t="shared" ref="AF84:AF117" si="43">AE84-AE83</f>
        <v>37970.008286442724</v>
      </c>
      <c r="AG84" s="22"/>
      <c r="AH84" s="9">
        <f t="shared" si="37"/>
        <v>3548.271199476846</v>
      </c>
      <c r="AI84" s="9">
        <f t="shared" si="38"/>
        <v>60254.68028375382</v>
      </c>
      <c r="AJ84" s="9">
        <f t="shared" si="39"/>
        <v>26283.49036649512</v>
      </c>
      <c r="AK84" s="9">
        <f t="shared" ref="AK84:AK118" si="44">AH84-AH83</f>
        <v>168.9652952131828</v>
      </c>
      <c r="AL84" s="9">
        <f t="shared" ref="AL84:AL118" si="45">AI84-AI83</f>
        <v>1514.9293236117301</v>
      </c>
      <c r="AM84" s="9">
        <f t="shared" ref="AM84:AM118" si="46">AJ84-AJ83</f>
        <v>1251.5947793569139</v>
      </c>
    </row>
    <row r="85" spans="4:39" ht="14.25" customHeight="1" x14ac:dyDescent="0.2">
      <c r="D85" s="1">
        <v>68</v>
      </c>
      <c r="E85" s="6">
        <f t="shared" si="40"/>
        <v>192.74559602096446</v>
      </c>
      <c r="F85" s="6">
        <f t="shared" si="41"/>
        <v>1620.8152392671996</v>
      </c>
      <c r="G85" s="6">
        <f t="shared" si="42"/>
        <v>148.93977874347235</v>
      </c>
      <c r="H85" s="6">
        <v>0.4</v>
      </c>
      <c r="I85" s="6">
        <v>1.5</v>
      </c>
      <c r="J85" s="6">
        <v>1</v>
      </c>
      <c r="K85" s="26">
        <f t="shared" si="35"/>
        <v>1.0404995981333423</v>
      </c>
      <c r="L85" s="6">
        <f t="shared" si="29"/>
        <v>16865.239651834392</v>
      </c>
      <c r="M85" s="6">
        <f t="shared" si="30"/>
        <v>198725.16314558429</v>
      </c>
      <c r="N85" s="6">
        <f t="shared" si="31"/>
        <v>22340.966811520851</v>
      </c>
      <c r="O85" s="6">
        <f t="shared" si="32"/>
        <v>0.4</v>
      </c>
      <c r="P85" s="6">
        <f t="shared" si="33"/>
        <v>1.5</v>
      </c>
      <c r="Q85" s="6">
        <f t="shared" si="34"/>
        <v>1</v>
      </c>
      <c r="R85" s="6"/>
      <c r="S85" s="38">
        <v>68</v>
      </c>
      <c r="T85" s="6">
        <f>VLOOKUP($S$13,角色设定!$AB$9:$AJ$21,MATCH(E$17,角色设定!$AB$9:$AJ$9,0),0)*Z85*$L$15*E85/Y85/(1+W85*(X85-1))</f>
        <v>13306.016998038172</v>
      </c>
      <c r="U85" s="6">
        <f>VLOOKUP($S$13,角色设定!$AB$9:$AJ$21,MATCH(F$17,角色设定!$AB$9:$AJ$9,0),0)*F85*$L$15/(1+V85/$N$16)</f>
        <v>220614.10066606372</v>
      </c>
      <c r="V85" s="6">
        <f>VLOOKUP($S$13,角色设定!$AB$9:$AJ$21,MATCH(V$17,角色设定!$AB$9:$AJ$9,0),0)*G85*$L$15</f>
        <v>98563.08887435669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1</v>
      </c>
      <c r="Z85" s="6">
        <f>VLOOKUP($S$13,角色设定!$AB$9:$AJ$21,MATCH(Z$17,角色设定!$AB$9:$AJ$9,0),0)</f>
        <v>0.9</v>
      </c>
      <c r="AA85" s="6"/>
      <c r="AB85" s="6"/>
      <c r="AC85" s="6">
        <f>T85*战斗公式!$E$39*(1+W85*(X85-1))*Y85</f>
        <v>399180.5099411452</v>
      </c>
      <c r="AD85" s="6">
        <f>U85*战斗公式!$E$41*(1+V85*战斗公式!$E$40)</f>
        <v>438058.17277491884</v>
      </c>
      <c r="AE85" s="22">
        <f t="shared" si="36"/>
        <v>837238.68271606404</v>
      </c>
      <c r="AF85" s="22">
        <f t="shared" si="43"/>
        <v>39868.508700765087</v>
      </c>
      <c r="AG85" s="22"/>
      <c r="AH85" s="9">
        <f t="shared" si="37"/>
        <v>3725.6847594506885</v>
      </c>
      <c r="AI85" s="9">
        <f t="shared" si="38"/>
        <v>61771.948186497844</v>
      </c>
      <c r="AJ85" s="9">
        <f t="shared" si="39"/>
        <v>27597.664884819875</v>
      </c>
      <c r="AK85" s="9">
        <f t="shared" si="44"/>
        <v>177.41355997384244</v>
      </c>
      <c r="AL85" s="9">
        <f t="shared" si="45"/>
        <v>1517.2679027440245</v>
      </c>
      <c r="AM85" s="9">
        <f t="shared" si="46"/>
        <v>1314.1745183247549</v>
      </c>
    </row>
    <row r="86" spans="4:39" ht="14.25" customHeight="1" x14ac:dyDescent="0.2">
      <c r="D86" s="1">
        <v>69</v>
      </c>
      <c r="E86" s="6">
        <f t="shared" si="40"/>
        <v>202.38287582201269</v>
      </c>
      <c r="F86" s="6">
        <f t="shared" si="41"/>
        <v>1701.8560012305595</v>
      </c>
      <c r="G86" s="6">
        <f t="shared" si="42"/>
        <v>156.38676768064596</v>
      </c>
      <c r="H86" s="6">
        <v>0.4</v>
      </c>
      <c r="I86" s="6">
        <v>1.5</v>
      </c>
      <c r="J86" s="6">
        <v>1</v>
      </c>
      <c r="K86" s="26">
        <f t="shared" si="35"/>
        <v>1.0401184566726815</v>
      </c>
      <c r="L86" s="6">
        <f t="shared" si="29"/>
        <v>17708.501634426109</v>
      </c>
      <c r="M86" s="6">
        <f t="shared" si="30"/>
        <v>206773.45239196334</v>
      </c>
      <c r="N86" s="6">
        <f t="shared" si="31"/>
        <v>23458.015152096894</v>
      </c>
      <c r="O86" s="6">
        <f t="shared" si="32"/>
        <v>0.4</v>
      </c>
      <c r="P86" s="6">
        <f t="shared" si="33"/>
        <v>1.5</v>
      </c>
      <c r="Q86" s="6">
        <f t="shared" si="34"/>
        <v>1</v>
      </c>
      <c r="R86" s="6"/>
      <c r="S86" s="38">
        <v>69</v>
      </c>
      <c r="T86" s="6">
        <f>VLOOKUP($S$13,角色设定!$AB$9:$AJ$21,MATCH(E$17,角色设定!$AB$9:$AJ$9,0),0)*Z86*$L$15*E86/Y86/(1+W86*(X86-1))</f>
        <v>13971.317847940081</v>
      </c>
      <c r="U86" s="6">
        <f>VLOOKUP($S$13,角色设定!$AB$9:$AJ$21,MATCH(F$17,角色设定!$AB$9:$AJ$9,0),0)*F86*$L$15/(1+V86/$N$16)</f>
        <v>226034.82779586024</v>
      </c>
      <c r="V86" s="6">
        <f>VLOOKUP($S$13,角色设定!$AB$9:$AJ$21,MATCH(V$17,角色设定!$AB$9:$AJ$9,0),0)*G86*$L$15</f>
        <v>103491.24331807453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1</v>
      </c>
      <c r="Z86" s="6">
        <f>VLOOKUP($S$13,角色设定!$AB$9:$AJ$21,MATCH(Z$17,角色设定!$AB$9:$AJ$9,0),0)</f>
        <v>0.9</v>
      </c>
      <c r="AA86" s="6"/>
      <c r="AB86" s="6"/>
      <c r="AC86" s="6">
        <f>T86*战斗公式!$E$39*(1+W86*(X86-1))*Y86</f>
        <v>419139.53543820244</v>
      </c>
      <c r="AD86" s="6">
        <f>U86*战斗公式!$E$41*(1+V86*战斗公式!$E$40)</f>
        <v>459961.08141366474</v>
      </c>
      <c r="AE86" s="22">
        <f t="shared" si="36"/>
        <v>879100.61685186718</v>
      </c>
      <c r="AF86" s="22">
        <f t="shared" si="43"/>
        <v>41861.934135803138</v>
      </c>
      <c r="AG86" s="22"/>
      <c r="AH86" s="9">
        <f t="shared" si="37"/>
        <v>3911.9689974232233</v>
      </c>
      <c r="AI86" s="9">
        <f t="shared" si="38"/>
        <v>63289.751782840875</v>
      </c>
      <c r="AJ86" s="9">
        <f t="shared" si="39"/>
        <v>28977.54812906087</v>
      </c>
      <c r="AK86" s="9">
        <f t="shared" si="44"/>
        <v>186.28423797253481</v>
      </c>
      <c r="AL86" s="9">
        <f t="shared" si="45"/>
        <v>1517.8035963430302</v>
      </c>
      <c r="AM86" s="9">
        <f t="shared" si="46"/>
        <v>1379.8832442409948</v>
      </c>
    </row>
    <row r="87" spans="4:39" ht="14.25" customHeight="1" x14ac:dyDescent="0.2">
      <c r="D87" s="1">
        <v>70</v>
      </c>
      <c r="E87" s="6">
        <f t="shared" si="40"/>
        <v>212.50201961311333</v>
      </c>
      <c r="F87" s="6">
        <f t="shared" si="41"/>
        <v>1786.9488012920876</v>
      </c>
      <c r="G87" s="6">
        <f t="shared" si="42"/>
        <v>164.20610606467827</v>
      </c>
      <c r="H87" s="6">
        <v>0.4</v>
      </c>
      <c r="I87" s="6">
        <v>1.5</v>
      </c>
      <c r="J87" s="6">
        <v>1</v>
      </c>
      <c r="K87" s="26">
        <f t="shared" si="35"/>
        <v>1.0397259034366555</v>
      </c>
      <c r="L87" s="6">
        <f t="shared" si="29"/>
        <v>18593.926716147416</v>
      </c>
      <c r="M87" s="6">
        <f t="shared" si="30"/>
        <v>215068.8841828111</v>
      </c>
      <c r="N87" s="6">
        <f t="shared" si="31"/>
        <v>24630.91590970174</v>
      </c>
      <c r="O87" s="6">
        <f t="shared" si="32"/>
        <v>0.4</v>
      </c>
      <c r="P87" s="6">
        <f t="shared" si="33"/>
        <v>1.5</v>
      </c>
      <c r="Q87" s="6">
        <f t="shared" si="34"/>
        <v>1</v>
      </c>
      <c r="R87" s="6"/>
      <c r="S87" s="38">
        <v>70</v>
      </c>
      <c r="T87" s="6">
        <f>VLOOKUP($S$13,角色设定!$AB$9:$AJ$21,MATCH(E$17,角色设定!$AB$9:$AJ$9,0),0)*Z87*$L$15*E87/Y87/(1+W87*(X87-1))</f>
        <v>14669.883740337085</v>
      </c>
      <c r="U87" s="6">
        <f>VLOOKUP($S$13,角色设定!$AB$9:$AJ$21,MATCH(F$17,角色设定!$AB$9:$AJ$9,0),0)*F87*$L$15/(1+V87/$N$16)</f>
        <v>231451.02014399314</v>
      </c>
      <c r="V87" s="6">
        <f>VLOOKUP($S$13,角色设定!$AB$9:$AJ$21,MATCH(V$17,角色设定!$AB$9:$AJ$9,0),0)*G87*$L$15</f>
        <v>108665.80548397824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1</v>
      </c>
      <c r="Z87" s="6">
        <f>VLOOKUP($S$13,角色设定!$AB$9:$AJ$21,MATCH(Z$17,角色设定!$AB$9:$AJ$9,0),0)</f>
        <v>0.9</v>
      </c>
      <c r="AA87" s="6"/>
      <c r="AB87" s="6"/>
      <c r="AC87" s="6">
        <f>T87*战斗公式!$E$39*(1+W87*(X87-1))*Y87</f>
        <v>440096.51221011259</v>
      </c>
      <c r="AD87" s="6">
        <f>U87*战斗公式!$E$41*(1+V87*战斗公式!$E$40)</f>
        <v>482959.13548434799</v>
      </c>
      <c r="AE87" s="22">
        <f t="shared" si="36"/>
        <v>923055.64769446058</v>
      </c>
      <c r="AF87" s="22">
        <f t="shared" si="43"/>
        <v>43955.030842593405</v>
      </c>
      <c r="AG87" s="22"/>
      <c r="AH87" s="9">
        <f t="shared" si="37"/>
        <v>4107.5674472943847</v>
      </c>
      <c r="AI87" s="9">
        <f t="shared" si="38"/>
        <v>64806.285640318085</v>
      </c>
      <c r="AJ87" s="9">
        <f t="shared" si="39"/>
        <v>30426.42553551391</v>
      </c>
      <c r="AK87" s="9">
        <f t="shared" si="44"/>
        <v>195.59844987116139</v>
      </c>
      <c r="AL87" s="9">
        <f t="shared" si="45"/>
        <v>1516.5338574772104</v>
      </c>
      <c r="AM87" s="9">
        <f t="shared" si="46"/>
        <v>1448.8774064530407</v>
      </c>
    </row>
    <row r="88" spans="4:39" ht="14.25" customHeight="1" x14ac:dyDescent="0.2">
      <c r="D88" s="1">
        <v>71</v>
      </c>
      <c r="E88" s="6">
        <f t="shared" si="40"/>
        <v>223.12712059376901</v>
      </c>
      <c r="F88" s="6">
        <f t="shared" si="41"/>
        <v>1876.296241356692</v>
      </c>
      <c r="G88" s="6">
        <f t="shared" si="42"/>
        <v>172.41641136791219</v>
      </c>
      <c r="H88" s="6">
        <v>0.4</v>
      </c>
      <c r="I88" s="6">
        <v>1.5</v>
      </c>
      <c r="J88" s="6">
        <v>1</v>
      </c>
      <c r="K88" s="26">
        <f t="shared" si="35"/>
        <v>1.0393219063735193</v>
      </c>
      <c r="L88" s="6">
        <f t="shared" si="29"/>
        <v>19523.62305195479</v>
      </c>
      <c r="M88" s="6">
        <f t="shared" si="30"/>
        <v>223612.6899080867</v>
      </c>
      <c r="N88" s="6">
        <f t="shared" si="31"/>
        <v>25862.46170518683</v>
      </c>
      <c r="O88" s="6">
        <f t="shared" si="32"/>
        <v>0.4</v>
      </c>
      <c r="P88" s="6">
        <f t="shared" si="33"/>
        <v>1.5</v>
      </c>
      <c r="Q88" s="6">
        <f t="shared" si="34"/>
        <v>1</v>
      </c>
      <c r="R88" s="6"/>
      <c r="S88" s="38">
        <v>71</v>
      </c>
      <c r="T88" s="6">
        <f>VLOOKUP($S$13,角色设定!$AB$9:$AJ$21,MATCH(E$17,角色设定!$AB$9:$AJ$9,0),0)*Z88*$L$15*E88/Y88/(1+W88*(X88-1))</f>
        <v>15403.37792735394</v>
      </c>
      <c r="U88" s="6">
        <f>VLOOKUP($S$13,角色设定!$AB$9:$AJ$21,MATCH(F$17,角色设定!$AB$9:$AJ$9,0),0)*F88*$L$15/(1+V88/$N$16)</f>
        <v>236856.25128998113</v>
      </c>
      <c r="V88" s="6">
        <f>VLOOKUP($S$13,角色设定!$AB$9:$AJ$21,MATCH(V$17,角色设定!$AB$9:$AJ$9,0),0)*G88*$L$15</f>
        <v>114099.09575817718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1</v>
      </c>
      <c r="Z88" s="6">
        <f>VLOOKUP($S$13,角色设定!$AB$9:$AJ$21,MATCH(Z$17,角色设定!$AB$9:$AJ$9,0),0)</f>
        <v>0.9</v>
      </c>
      <c r="AA88" s="6"/>
      <c r="AB88" s="6"/>
      <c r="AC88" s="6">
        <f>T88*战斗公式!$E$39*(1+W88*(X88-1))*Y88</f>
        <v>462101.33782061824</v>
      </c>
      <c r="AD88" s="6">
        <f>U88*战斗公式!$E$41*(1+V88*战斗公式!$E$40)</f>
        <v>507107.09225856542</v>
      </c>
      <c r="AE88" s="22">
        <f t="shared" si="36"/>
        <v>969208.43007918366</v>
      </c>
      <c r="AF88" s="22">
        <f t="shared" si="43"/>
        <v>46152.782384723076</v>
      </c>
      <c r="AG88" s="22"/>
      <c r="AH88" s="9">
        <f t="shared" si="37"/>
        <v>4312.945819659104</v>
      </c>
      <c r="AI88" s="9">
        <f t="shared" si="38"/>
        <v>66319.750361194718</v>
      </c>
      <c r="AJ88" s="9">
        <f t="shared" si="39"/>
        <v>31947.746812289613</v>
      </c>
      <c r="AK88" s="9">
        <f t="shared" si="44"/>
        <v>205.37837236471933</v>
      </c>
      <c r="AL88" s="9">
        <f t="shared" si="45"/>
        <v>1513.4647208766328</v>
      </c>
      <c r="AM88" s="9">
        <f t="shared" si="46"/>
        <v>1521.3212767757032</v>
      </c>
    </row>
    <row r="89" spans="4:39" ht="14.25" customHeight="1" x14ac:dyDescent="0.2">
      <c r="D89" s="1">
        <v>72</v>
      </c>
      <c r="E89" s="6">
        <f t="shared" si="40"/>
        <v>234.28347662345746</v>
      </c>
      <c r="F89" s="6">
        <f t="shared" si="41"/>
        <v>1970.1110534245267</v>
      </c>
      <c r="G89" s="6">
        <f t="shared" si="42"/>
        <v>181.03723193630782</v>
      </c>
      <c r="H89" s="6">
        <v>0.4</v>
      </c>
      <c r="I89" s="6">
        <v>1.5</v>
      </c>
      <c r="J89" s="6">
        <v>1</v>
      </c>
      <c r="K89" s="26">
        <f t="shared" si="35"/>
        <v>1.0389064595557083</v>
      </c>
      <c r="L89" s="6">
        <f t="shared" si="29"/>
        <v>20499.804204552525</v>
      </c>
      <c r="M89" s="6">
        <f t="shared" si="30"/>
        <v>232405.56716458328</v>
      </c>
      <c r="N89" s="6">
        <f t="shared" si="31"/>
        <v>27155.584790446173</v>
      </c>
      <c r="O89" s="6">
        <f t="shared" si="32"/>
        <v>0.4</v>
      </c>
      <c r="P89" s="6">
        <f t="shared" si="33"/>
        <v>1.5</v>
      </c>
      <c r="Q89" s="6">
        <f t="shared" si="34"/>
        <v>1</v>
      </c>
      <c r="R89" s="6"/>
      <c r="S89" s="38">
        <v>72</v>
      </c>
      <c r="T89" s="6">
        <f>VLOOKUP($S$13,角色设定!$AB$9:$AJ$21,MATCH(E$17,角色设定!$AB$9:$AJ$9,0),0)*Z89*$L$15*E89/Y89/(1+W89*(X89-1))</f>
        <v>16173.546823721639</v>
      </c>
      <c r="U89" s="6">
        <f>VLOOKUP($S$13,角色设定!$AB$9:$AJ$21,MATCH(F$17,角色设定!$AB$9:$AJ$9,0),0)*F89*$L$15/(1+V89/$N$16)</f>
        <v>242244.14679740078</v>
      </c>
      <c r="V89" s="6">
        <f>VLOOKUP($S$13,角色设定!$AB$9:$AJ$21,MATCH(V$17,角色设定!$AB$9:$AJ$9,0),0)*G89*$L$15</f>
        <v>119804.05054608604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1</v>
      </c>
      <c r="Z89" s="6">
        <f>VLOOKUP($S$13,角色设定!$AB$9:$AJ$21,MATCH(Z$17,角色设定!$AB$9:$AJ$9,0),0)</f>
        <v>0.9</v>
      </c>
      <c r="AA89" s="6"/>
      <c r="AB89" s="6"/>
      <c r="AC89" s="6">
        <f>T89*战斗公式!$E$39*(1+W89*(X89-1))*Y89</f>
        <v>485206.40471164917</v>
      </c>
      <c r="AD89" s="6">
        <f>U89*战斗公式!$E$41*(1+V89*战斗公式!$E$40)</f>
        <v>532462.44687149371</v>
      </c>
      <c r="AE89" s="22">
        <f t="shared" si="36"/>
        <v>1017668.8515831429</v>
      </c>
      <c r="AF89" s="22">
        <f t="shared" si="43"/>
        <v>48460.421503959224</v>
      </c>
      <c r="AG89" s="22"/>
      <c r="AH89" s="9">
        <f t="shared" si="37"/>
        <v>4528.5931106420594</v>
      </c>
      <c r="AI89" s="9">
        <f t="shared" si="38"/>
        <v>67828.361103272226</v>
      </c>
      <c r="AJ89" s="9">
        <f t="shared" si="39"/>
        <v>33545.134152904095</v>
      </c>
      <c r="AK89" s="9">
        <f t="shared" si="44"/>
        <v>215.64729098295538</v>
      </c>
      <c r="AL89" s="9">
        <f t="shared" si="45"/>
        <v>1508.6107420775079</v>
      </c>
      <c r="AM89" s="9">
        <f t="shared" si="46"/>
        <v>1597.3873406144812</v>
      </c>
    </row>
    <row r="90" spans="4:39" ht="14.25" customHeight="1" x14ac:dyDescent="0.2">
      <c r="D90" s="1">
        <v>73</v>
      </c>
      <c r="E90" s="6">
        <f t="shared" si="40"/>
        <v>245.99765045463033</v>
      </c>
      <c r="F90" s="6">
        <f t="shared" si="41"/>
        <v>2068.616606095753</v>
      </c>
      <c r="G90" s="6">
        <f t="shared" si="42"/>
        <v>190.08909353312322</v>
      </c>
      <c r="H90" s="6">
        <v>0.4</v>
      </c>
      <c r="I90" s="6">
        <v>1.5</v>
      </c>
      <c r="J90" s="6">
        <v>1</v>
      </c>
      <c r="K90" s="26">
        <f t="shared" si="35"/>
        <v>1.0384795847262682</v>
      </c>
      <c r="L90" s="6">
        <f t="shared" si="29"/>
        <v>21524.794414780154</v>
      </c>
      <c r="M90" s="6">
        <f t="shared" si="30"/>
        <v>241447.64496399357</v>
      </c>
      <c r="N90" s="6">
        <f t="shared" si="31"/>
        <v>28513.364029968481</v>
      </c>
      <c r="O90" s="6">
        <f t="shared" si="32"/>
        <v>0.4</v>
      </c>
      <c r="P90" s="6">
        <f t="shared" si="33"/>
        <v>1.5</v>
      </c>
      <c r="Q90" s="6">
        <f t="shared" si="34"/>
        <v>1</v>
      </c>
      <c r="R90" s="6"/>
      <c r="S90" s="38">
        <v>73</v>
      </c>
      <c r="T90" s="6">
        <f>VLOOKUP($S$13,角色设定!$AB$9:$AJ$21,MATCH(E$17,角色设定!$AB$9:$AJ$9,0),0)*Z90*$L$15*E90/Y90/(1+W90*(X90-1))</f>
        <v>16982.224164907722</v>
      </c>
      <c r="U90" s="6">
        <f>VLOOKUP($S$13,角色设定!$AB$9:$AJ$21,MATCH(F$17,角色设定!$AB$9:$AJ$9,0),0)*F90*$L$15/(1+V90/$N$16)</f>
        <v>247608.41412263384</v>
      </c>
      <c r="V90" s="6">
        <f>VLOOKUP($S$13,角色设定!$AB$9:$AJ$21,MATCH(V$17,角色设定!$AB$9:$AJ$9,0),0)*G90*$L$15</f>
        <v>125794.25307339035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1</v>
      </c>
      <c r="Z90" s="6">
        <f>VLOOKUP($S$13,角色设定!$AB$9:$AJ$21,MATCH(Z$17,角色设定!$AB$9:$AJ$9,0),0)</f>
        <v>0.9</v>
      </c>
      <c r="AA90" s="6"/>
      <c r="AB90" s="6"/>
      <c r="AC90" s="6">
        <f>T90*战斗公式!$E$39*(1+W90*(X90-1))*Y90</f>
        <v>509466.72494723165</v>
      </c>
      <c r="AD90" s="6">
        <f>U90*战斗公式!$E$41*(1+V90*战斗公式!$E$40)</f>
        <v>559085.56921506836</v>
      </c>
      <c r="AE90" s="22">
        <f t="shared" si="36"/>
        <v>1068552.2941622999</v>
      </c>
      <c r="AF90" s="22">
        <f t="shared" si="43"/>
        <v>50883.442579157068</v>
      </c>
      <c r="AG90" s="22"/>
      <c r="AH90" s="9">
        <f t="shared" si="37"/>
        <v>4755.0227661741628</v>
      </c>
      <c r="AI90" s="9">
        <f t="shared" si="38"/>
        <v>69330.355954337487</v>
      </c>
      <c r="AJ90" s="9">
        <f t="shared" si="39"/>
        <v>35222.390860549305</v>
      </c>
      <c r="AK90" s="9">
        <f t="shared" si="44"/>
        <v>226.42965553210342</v>
      </c>
      <c r="AL90" s="9">
        <f t="shared" si="45"/>
        <v>1501.9948510652612</v>
      </c>
      <c r="AM90" s="9">
        <f t="shared" si="46"/>
        <v>1677.2567076452106</v>
      </c>
    </row>
    <row r="91" spans="4:39" ht="14.25" customHeight="1" x14ac:dyDescent="0.2">
      <c r="D91" s="1">
        <v>74</v>
      </c>
      <c r="E91" s="6">
        <f t="shared" si="40"/>
        <v>258.29753297736187</v>
      </c>
      <c r="F91" s="6">
        <f t="shared" si="41"/>
        <v>2172.0474364005408</v>
      </c>
      <c r="G91" s="6">
        <f t="shared" si="42"/>
        <v>199.59354820977939</v>
      </c>
      <c r="H91" s="6">
        <v>0.4</v>
      </c>
      <c r="I91" s="6">
        <v>1.5</v>
      </c>
      <c r="J91" s="6">
        <v>1</v>
      </c>
      <c r="K91" s="26">
        <f t="shared" si="35"/>
        <v>1.0380413327751323</v>
      </c>
      <c r="L91" s="6">
        <f t="shared" si="29"/>
        <v>22601.034135519159</v>
      </c>
      <c r="M91" s="6">
        <f t="shared" si="30"/>
        <v>250738.45007534348</v>
      </c>
      <c r="N91" s="6">
        <f t="shared" si="31"/>
        <v>29939.032231466907</v>
      </c>
      <c r="O91" s="6">
        <f t="shared" si="32"/>
        <v>0.4</v>
      </c>
      <c r="P91" s="6">
        <f t="shared" si="33"/>
        <v>1.5</v>
      </c>
      <c r="Q91" s="6">
        <f t="shared" si="34"/>
        <v>1</v>
      </c>
      <c r="R91" s="6"/>
      <c r="S91" s="38">
        <v>74</v>
      </c>
      <c r="T91" s="6">
        <f>VLOOKUP($S$13,角色设定!$AB$9:$AJ$21,MATCH(E$17,角色设定!$AB$9:$AJ$9,0),0)*Z91*$L$15*E91/Y91/(1+W91*(X91-1))</f>
        <v>17831.335373153106</v>
      </c>
      <c r="U91" s="6">
        <f>VLOOKUP($S$13,角色设定!$AB$9:$AJ$21,MATCH(F$17,角色设定!$AB$9:$AJ$9,0),0)*F91*$L$15/(1+V91/$N$16)</f>
        <v>252942.871704547</v>
      </c>
      <c r="V91" s="6">
        <f>VLOOKUP($S$13,角色设定!$AB$9:$AJ$21,MATCH(V$17,角色设定!$AB$9:$AJ$9,0),0)*G91*$L$15</f>
        <v>132083.96572705987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1</v>
      </c>
      <c r="Z91" s="6">
        <f>VLOOKUP($S$13,角色设定!$AB$9:$AJ$21,MATCH(Z$17,角色设定!$AB$9:$AJ$9,0),0)</f>
        <v>0.9</v>
      </c>
      <c r="AA91" s="6"/>
      <c r="AB91" s="6"/>
      <c r="AC91" s="6">
        <f>T91*战斗公式!$E$39*(1+W91*(X91-1))*Y91</f>
        <v>534940.0611945932</v>
      </c>
      <c r="AD91" s="6">
        <f>U91*战斗公式!$E$41*(1+V91*战斗公式!$E$40)</f>
        <v>587039.84767582186</v>
      </c>
      <c r="AE91" s="22">
        <f t="shared" si="36"/>
        <v>1121979.9088704151</v>
      </c>
      <c r="AF91" s="22">
        <f t="shared" si="43"/>
        <v>53427.614708115114</v>
      </c>
      <c r="AG91" s="22"/>
      <c r="AH91" s="9">
        <f t="shared" si="37"/>
        <v>4992.7739044828704</v>
      </c>
      <c r="AI91" s="9">
        <f t="shared" si="38"/>
        <v>70824.004077273159</v>
      </c>
      <c r="AJ91" s="9">
        <f t="shared" si="39"/>
        <v>36983.510403576765</v>
      </c>
      <c r="AK91" s="9">
        <f t="shared" si="44"/>
        <v>237.7511383087076</v>
      </c>
      <c r="AL91" s="9">
        <f t="shared" si="45"/>
        <v>1493.6481229356723</v>
      </c>
      <c r="AM91" s="9">
        <f t="shared" si="46"/>
        <v>1761.1195430274602</v>
      </c>
    </row>
    <row r="92" spans="4:39" ht="14.25" customHeight="1" x14ac:dyDescent="0.2">
      <c r="D92" s="1">
        <v>75</v>
      </c>
      <c r="E92" s="6">
        <f t="shared" si="40"/>
        <v>271.21240962623</v>
      </c>
      <c r="F92" s="6">
        <f t="shared" si="41"/>
        <v>2280.649808220568</v>
      </c>
      <c r="G92" s="6">
        <f t="shared" si="42"/>
        <v>209.57322562026837</v>
      </c>
      <c r="H92" s="6">
        <v>0.4</v>
      </c>
      <c r="I92" s="6">
        <v>1.5</v>
      </c>
      <c r="J92" s="6">
        <v>1</v>
      </c>
      <c r="K92" s="26">
        <f t="shared" si="35"/>
        <v>1.0375917851264167</v>
      </c>
      <c r="L92" s="6">
        <f t="shared" si="29"/>
        <v>23731.085842295124</v>
      </c>
      <c r="M92" s="6">
        <f t="shared" si="30"/>
        <v>260276.87489418054</v>
      </c>
      <c r="N92" s="6">
        <f t="shared" si="31"/>
        <v>31435.983843040256</v>
      </c>
      <c r="O92" s="6">
        <f t="shared" si="32"/>
        <v>0.4</v>
      </c>
      <c r="P92" s="6">
        <f t="shared" si="33"/>
        <v>1.5</v>
      </c>
      <c r="Q92" s="6">
        <f t="shared" si="34"/>
        <v>1</v>
      </c>
      <c r="R92" s="6"/>
      <c r="S92" s="38">
        <v>75</v>
      </c>
      <c r="T92" s="6">
        <f>VLOOKUP($S$13,角色设定!$AB$9:$AJ$21,MATCH(E$17,角色设定!$AB$9:$AJ$9,0),0)*Z92*$L$15*E92/Y92/(1+W92*(X92-1))</f>
        <v>18722.902141810766</v>
      </c>
      <c r="U92" s="6">
        <f>VLOOKUP($S$13,角色设定!$AB$9:$AJ$21,MATCH(F$17,角色设定!$AB$9:$AJ$9,0),0)*F92*$L$15/(1+V92/$N$16)</f>
        <v>258241.47695273883</v>
      </c>
      <c r="V92" s="6">
        <f>VLOOKUP($S$13,角色设定!$AB$9:$AJ$21,MATCH(V$17,角色设定!$AB$9:$AJ$9,0),0)*G92*$L$15</f>
        <v>138688.16401341287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1</v>
      </c>
      <c r="Z92" s="6">
        <f>VLOOKUP($S$13,角色设定!$AB$9:$AJ$21,MATCH(Z$17,角色设定!$AB$9:$AJ$9,0),0)</f>
        <v>0.9</v>
      </c>
      <c r="AA92" s="6"/>
      <c r="AB92" s="6"/>
      <c r="AC92" s="6">
        <f>T92*战斗公式!$E$39*(1+W92*(X92-1))*Y92</f>
        <v>561687.0642543229</v>
      </c>
      <c r="AD92" s="6">
        <f>U92*战斗公式!$E$41*(1+V92*战斗公式!$E$40)</f>
        <v>616391.84005961299</v>
      </c>
      <c r="AE92" s="22">
        <f t="shared" si="36"/>
        <v>1178078.9043139359</v>
      </c>
      <c r="AF92" s="22">
        <f t="shared" si="43"/>
        <v>56098.995443520835</v>
      </c>
      <c r="AG92" s="22"/>
      <c r="AH92" s="9">
        <f t="shared" si="37"/>
        <v>5242.412599707015</v>
      </c>
      <c r="AI92" s="9">
        <f t="shared" si="38"/>
        <v>72307.613546766879</v>
      </c>
      <c r="AJ92" s="9">
        <f t="shared" si="39"/>
        <v>38832.685923755605</v>
      </c>
      <c r="AK92" s="9">
        <f t="shared" si="44"/>
        <v>249.63869522414461</v>
      </c>
      <c r="AL92" s="9">
        <f t="shared" si="45"/>
        <v>1483.6094694937201</v>
      </c>
      <c r="AM92" s="9">
        <f t="shared" si="46"/>
        <v>1849.1755201788401</v>
      </c>
    </row>
    <row r="93" spans="4:39" ht="14.25" customHeight="1" x14ac:dyDescent="0.2">
      <c r="D93" s="1">
        <v>76</v>
      </c>
      <c r="E93" s="6">
        <f t="shared" si="40"/>
        <v>284.7730301075415</v>
      </c>
      <c r="F93" s="6">
        <f t="shared" si="41"/>
        <v>2394.6822986315965</v>
      </c>
      <c r="G93" s="6">
        <f t="shared" si="42"/>
        <v>220.05188690128179</v>
      </c>
      <c r="H93" s="6">
        <v>0.4</v>
      </c>
      <c r="I93" s="6">
        <v>1.5</v>
      </c>
      <c r="J93" s="6">
        <v>1</v>
      </c>
      <c r="K93" s="26">
        <f t="shared" si="35"/>
        <v>1.0371310550172796</v>
      </c>
      <c r="L93" s="6">
        <f t="shared" si="29"/>
        <v>24917.640134409881</v>
      </c>
      <c r="M93" s="6">
        <f t="shared" si="30"/>
        <v>270061.14724857779</v>
      </c>
      <c r="N93" s="6">
        <f t="shared" si="31"/>
        <v>33007.783035192268</v>
      </c>
      <c r="O93" s="6">
        <f t="shared" si="32"/>
        <v>0.4</v>
      </c>
      <c r="P93" s="6">
        <f t="shared" si="33"/>
        <v>1.5</v>
      </c>
      <c r="Q93" s="6">
        <f t="shared" si="34"/>
        <v>1</v>
      </c>
      <c r="R93" s="6"/>
      <c r="S93" s="38">
        <v>76</v>
      </c>
      <c r="T93" s="6">
        <f>VLOOKUP($S$13,角色设定!$AB$9:$AJ$21,MATCH(E$17,角色设定!$AB$9:$AJ$9,0),0)*Z93*$L$15*E93/Y93/(1+W93*(X93-1))</f>
        <v>19659.047248901305</v>
      </c>
      <c r="U93" s="6">
        <f>VLOOKUP($S$13,角色设定!$AB$9:$AJ$21,MATCH(F$17,角色设定!$AB$9:$AJ$9,0),0)*F93*$L$15/(1+V93/$N$16)</f>
        <v>263498.35287063406</v>
      </c>
      <c r="V93" s="6">
        <f>VLOOKUP($S$13,角色设定!$AB$9:$AJ$21,MATCH(V$17,角色设定!$AB$9:$AJ$9,0),0)*G93*$L$15</f>
        <v>145622.57221408351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1</v>
      </c>
      <c r="Z93" s="6">
        <f>VLOOKUP($S$13,角色设定!$AB$9:$AJ$21,MATCH(Z$17,角色设定!$AB$9:$AJ$9,0),0)</f>
        <v>0.9</v>
      </c>
      <c r="AA93" s="6"/>
      <c r="AB93" s="6"/>
      <c r="AC93" s="6">
        <f>T93*战斗公式!$E$39*(1+W93*(X93-1))*Y93</f>
        <v>589771.41746703919</v>
      </c>
      <c r="AD93" s="6">
        <f>U93*战斗公式!$E$41*(1+V93*战斗公式!$E$40)</f>
        <v>647211.43206259375</v>
      </c>
      <c r="AE93" s="22">
        <f t="shared" si="36"/>
        <v>1236982.8495296328</v>
      </c>
      <c r="AF93" s="22">
        <f t="shared" si="43"/>
        <v>58903.945215696935</v>
      </c>
      <c r="AG93" s="22"/>
      <c r="AH93" s="9">
        <f t="shared" si="37"/>
        <v>5504.5332296923661</v>
      </c>
      <c r="AI93" s="9">
        <f t="shared" si="38"/>
        <v>73779.538803777541</v>
      </c>
      <c r="AJ93" s="9">
        <f t="shared" si="39"/>
        <v>40774.320219943387</v>
      </c>
      <c r="AK93" s="9">
        <f t="shared" si="44"/>
        <v>262.12062998535112</v>
      </c>
      <c r="AL93" s="9">
        <f t="shared" si="45"/>
        <v>1471.9252570106619</v>
      </c>
      <c r="AM93" s="9">
        <f t="shared" si="46"/>
        <v>1941.6342961877817</v>
      </c>
    </row>
    <row r="94" spans="4:39" ht="14.25" customHeight="1" x14ac:dyDescent="0.2">
      <c r="D94" s="1">
        <v>77</v>
      </c>
      <c r="E94" s="6">
        <f t="shared" si="40"/>
        <v>299.01168161291861</v>
      </c>
      <c r="F94" s="6">
        <f t="shared" si="41"/>
        <v>2514.4164135631763</v>
      </c>
      <c r="G94" s="6">
        <f t="shared" si="42"/>
        <v>231.05448124634589</v>
      </c>
      <c r="H94" s="6">
        <v>0.4</v>
      </c>
      <c r="I94" s="6">
        <v>1.5</v>
      </c>
      <c r="J94" s="6">
        <v>1</v>
      </c>
      <c r="K94" s="26">
        <f t="shared" si="35"/>
        <v>1.0366592886485553</v>
      </c>
      <c r="L94" s="6">
        <f t="shared" si="29"/>
        <v>26163.522141130379</v>
      </c>
      <c r="M94" s="6">
        <f t="shared" si="30"/>
        <v>280088.80256509437</v>
      </c>
      <c r="N94" s="6">
        <f t="shared" si="31"/>
        <v>34658.172186951881</v>
      </c>
      <c r="O94" s="6">
        <f t="shared" si="32"/>
        <v>0.4</v>
      </c>
      <c r="P94" s="6">
        <f t="shared" si="33"/>
        <v>1.5</v>
      </c>
      <c r="Q94" s="6">
        <f t="shared" si="34"/>
        <v>1</v>
      </c>
      <c r="R94" s="6"/>
      <c r="S94" s="38">
        <v>77</v>
      </c>
      <c r="T94" s="6">
        <f>VLOOKUP($S$13,角色设定!$AB$9:$AJ$21,MATCH(E$17,角色设定!$AB$9:$AJ$9,0),0)*Z94*$L$15*E94/Y94/(1+W94*(X94-1))</f>
        <v>20641.999611346371</v>
      </c>
      <c r="U94" s="6">
        <f>VLOOKUP($S$13,角色设定!$AB$9:$AJ$21,MATCH(F$17,角色设定!$AB$9:$AJ$9,0),0)*F94*$L$15/(1+V94/$N$16)</f>
        <v>268707.81307250721</v>
      </c>
      <c r="V94" s="6">
        <f>VLOOKUP($S$13,角色设定!$AB$9:$AJ$21,MATCH(V$17,角色设定!$AB$9:$AJ$9,0),0)*G94*$L$15</f>
        <v>152903.70082478769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1</v>
      </c>
      <c r="Z94" s="6">
        <f>VLOOKUP($S$13,角色设定!$AB$9:$AJ$21,MATCH(Z$17,角色设定!$AB$9:$AJ$9,0),0)</f>
        <v>0.9</v>
      </c>
      <c r="AA94" s="6"/>
      <c r="AB94" s="6"/>
      <c r="AC94" s="6">
        <f>T94*战斗公式!$E$39*(1+W94*(X94-1))*Y94</f>
        <v>619259.9883403912</v>
      </c>
      <c r="AD94" s="6">
        <f>U94*战斗公式!$E$41*(1+V94*战斗公式!$E$40)</f>
        <v>679572.00366572337</v>
      </c>
      <c r="AE94" s="22">
        <f t="shared" si="36"/>
        <v>1298831.9920061147</v>
      </c>
      <c r="AF94" s="22">
        <f t="shared" si="43"/>
        <v>61849.142476481851</v>
      </c>
      <c r="AG94" s="22"/>
      <c r="AH94" s="9">
        <f t="shared" si="37"/>
        <v>5779.7598911769846</v>
      </c>
      <c r="AI94" s="9">
        <f t="shared" si="38"/>
        <v>75238.187660302021</v>
      </c>
      <c r="AJ94" s="9">
        <f t="shared" si="39"/>
        <v>42813.036230940561</v>
      </c>
      <c r="AK94" s="9">
        <f t="shared" si="44"/>
        <v>275.22666148461849</v>
      </c>
      <c r="AL94" s="9">
        <f t="shared" si="45"/>
        <v>1458.6488565244799</v>
      </c>
      <c r="AM94" s="9">
        <f t="shared" si="46"/>
        <v>2038.7160109971737</v>
      </c>
    </row>
    <row r="95" spans="4:39" ht="14.25" customHeight="1" x14ac:dyDescent="0.2">
      <c r="D95" s="1">
        <v>78</v>
      </c>
      <c r="E95" s="6">
        <f t="shared" si="40"/>
        <v>313.96226569356458</v>
      </c>
      <c r="F95" s="6">
        <f t="shared" si="41"/>
        <v>2640.1372342413351</v>
      </c>
      <c r="G95" s="6">
        <f t="shared" si="42"/>
        <v>242.6072053086632</v>
      </c>
      <c r="H95" s="6">
        <v>0.4</v>
      </c>
      <c r="I95" s="6">
        <v>1.5</v>
      </c>
      <c r="J95" s="6">
        <v>1</v>
      </c>
      <c r="K95" s="26">
        <f t="shared" si="35"/>
        <v>1.0361766661872933</v>
      </c>
      <c r="L95" s="6">
        <f t="shared" si="29"/>
        <v>27471.698248186902</v>
      </c>
      <c r="M95" s="6">
        <f t="shared" si="30"/>
        <v>290356.6588255564</v>
      </c>
      <c r="N95" s="6">
        <f t="shared" si="31"/>
        <v>36391.08079629948</v>
      </c>
      <c r="O95" s="6">
        <f t="shared" ref="O95:O117" si="47">H95</f>
        <v>0.4</v>
      </c>
      <c r="P95" s="6">
        <f t="shared" ref="P95:P117" si="48">I95</f>
        <v>1.5</v>
      </c>
      <c r="Q95" s="6">
        <f t="shared" ref="Q95:Q117" si="49">J95</f>
        <v>1</v>
      </c>
      <c r="R95" s="6"/>
      <c r="S95" s="38">
        <v>78</v>
      </c>
      <c r="T95" s="6">
        <f>VLOOKUP($S$13,角色设定!$AB$9:$AJ$21,MATCH(E$17,角色设定!$AB$9:$AJ$9,0),0)*Z95*$L$15*E95/Y95/(1+W95*(X95-1))</f>
        <v>21674.099591913691</v>
      </c>
      <c r="U95" s="6">
        <f>VLOOKUP($S$13,角色设定!$AB$9:$AJ$21,MATCH(F$17,角色设定!$AB$9:$AJ$9,0),0)*F95*$L$15/(1+V95/$N$16)</f>
        <v>273864.38497991255</v>
      </c>
      <c r="V95" s="6">
        <f>VLOOKUP($S$13,角色设定!$AB$9:$AJ$21,MATCH(V$17,角色设定!$AB$9:$AJ$9,0),0)*G95*$L$15</f>
        <v>160548.88586602709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1</v>
      </c>
      <c r="Z95" s="6">
        <f>VLOOKUP($S$13,角色设定!$AB$9:$AJ$21,MATCH(Z$17,角色设定!$AB$9:$AJ$9,0),0)</f>
        <v>0.9</v>
      </c>
      <c r="AA95" s="6"/>
      <c r="AB95" s="6"/>
      <c r="AC95" s="6">
        <f>T95*战斗公式!$E$39*(1+W95*(X95-1))*Y95</f>
        <v>650222.98775741062</v>
      </c>
      <c r="AD95" s="6">
        <f>U95*战斗公式!$E$41*(1+V95*战斗公式!$E$40)</f>
        <v>713550.60384900949</v>
      </c>
      <c r="AE95" s="22">
        <f t="shared" si="36"/>
        <v>1363773.59160642</v>
      </c>
      <c r="AF95" s="22">
        <f t="shared" si="43"/>
        <v>64941.599600305315</v>
      </c>
      <c r="AG95" s="22"/>
      <c r="AH95" s="9">
        <f t="shared" si="37"/>
        <v>6068.7478857358337</v>
      </c>
      <c r="AI95" s="9">
        <f t="shared" si="38"/>
        <v>76682.027794375521</v>
      </c>
      <c r="AJ95" s="9">
        <f t="shared" si="39"/>
        <v>44953.688042487593</v>
      </c>
      <c r="AK95" s="9">
        <f t="shared" si="44"/>
        <v>288.9879945588491</v>
      </c>
      <c r="AL95" s="9">
        <f t="shared" si="45"/>
        <v>1443.8401340734999</v>
      </c>
      <c r="AM95" s="9">
        <f t="shared" si="46"/>
        <v>2140.6518115470317</v>
      </c>
    </row>
    <row r="96" spans="4:39" ht="14.25" customHeight="1" x14ac:dyDescent="0.2">
      <c r="D96" s="1">
        <v>79</v>
      </c>
      <c r="E96" s="6">
        <f t="shared" si="40"/>
        <v>329.66037897824282</v>
      </c>
      <c r="F96" s="6">
        <f t="shared" si="41"/>
        <v>2772.144095953402</v>
      </c>
      <c r="G96" s="6">
        <f t="shared" si="42"/>
        <v>254.73756557409638</v>
      </c>
      <c r="H96" s="6">
        <v>0.4</v>
      </c>
      <c r="I96" s="6">
        <v>1.5</v>
      </c>
      <c r="J96" s="6">
        <v>1</v>
      </c>
      <c r="K96" s="26">
        <f t="shared" si="35"/>
        <v>1.0356834026015587</v>
      </c>
      <c r="L96" s="6">
        <f t="shared" si="29"/>
        <v>28845.283160596246</v>
      </c>
      <c r="M96" s="6">
        <f t="shared" si="30"/>
        <v>300860.79474714637</v>
      </c>
      <c r="N96" s="6">
        <f t="shared" si="31"/>
        <v>38210.634836114456</v>
      </c>
      <c r="O96" s="6">
        <f t="shared" si="47"/>
        <v>0.4</v>
      </c>
      <c r="P96" s="6">
        <f t="shared" si="48"/>
        <v>1.5</v>
      </c>
      <c r="Q96" s="6">
        <f t="shared" si="49"/>
        <v>1</v>
      </c>
      <c r="R96" s="6"/>
      <c r="S96" s="38">
        <v>79</v>
      </c>
      <c r="T96" s="6">
        <f>VLOOKUP($S$13,角色设定!$AB$9:$AJ$21,MATCH(E$17,角色设定!$AB$9:$AJ$9,0),0)*Z96*$L$15*E96/Y96/(1+W96*(X96-1))</f>
        <v>22757.804571509379</v>
      </c>
      <c r="U96" s="6">
        <f>VLOOKUP($S$13,角色设定!$AB$9:$AJ$21,MATCH(F$17,角色设定!$AB$9:$AJ$9,0),0)*F96*$L$15/(1+V96/$N$16)</f>
        <v>278962.8310123207</v>
      </c>
      <c r="V96" s="6">
        <f>VLOOKUP($S$13,角色设定!$AB$9:$AJ$21,MATCH(V$17,角色设定!$AB$9:$AJ$9,0),0)*G96*$L$15</f>
        <v>168576.33015932847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1</v>
      </c>
      <c r="Z96" s="6">
        <f>VLOOKUP($S$13,角色设定!$AB$9:$AJ$21,MATCH(Z$17,角色设定!$AB$9:$AJ$9,0),0)</f>
        <v>0.9</v>
      </c>
      <c r="AA96" s="6"/>
      <c r="AB96" s="6"/>
      <c r="AC96" s="6">
        <f>T96*战斗公式!$E$39*(1+W96*(X96-1))*Y96</f>
        <v>682734.13714528142</v>
      </c>
      <c r="AD96" s="6">
        <f>U96*战斗公式!$E$41*(1+V96*战斗公式!$E$40)</f>
        <v>749228.13404146011</v>
      </c>
      <c r="AE96" s="22">
        <f t="shared" si="36"/>
        <v>1431962.2711867415</v>
      </c>
      <c r="AF96" s="22">
        <f t="shared" si="43"/>
        <v>68188.679580321535</v>
      </c>
      <c r="AG96" s="22"/>
      <c r="AH96" s="9">
        <f t="shared" si="37"/>
        <v>6372.185280022627</v>
      </c>
      <c r="AI96" s="9">
        <f t="shared" si="38"/>
        <v>78109.59268344981</v>
      </c>
      <c r="AJ96" s="9">
        <f t="shared" si="39"/>
        <v>47201.372444611974</v>
      </c>
      <c r="AK96" s="9">
        <f t="shared" si="44"/>
        <v>303.43739428679328</v>
      </c>
      <c r="AL96" s="9">
        <f t="shared" si="45"/>
        <v>1427.5648890742887</v>
      </c>
      <c r="AM96" s="9">
        <f t="shared" si="46"/>
        <v>2247.6844021243814</v>
      </c>
    </row>
    <row r="97" spans="4:39" ht="14.25" customHeight="1" x14ac:dyDescent="0.2">
      <c r="D97" s="1">
        <v>80</v>
      </c>
      <c r="E97" s="6">
        <f t="shared" si="40"/>
        <v>346.14339792715498</v>
      </c>
      <c r="F97" s="6">
        <f t="shared" si="41"/>
        <v>2910.7513007510724</v>
      </c>
      <c r="G97" s="6">
        <f t="shared" si="42"/>
        <v>267.47444385280119</v>
      </c>
      <c r="H97" s="6">
        <v>0.4</v>
      </c>
      <c r="I97" s="6">
        <v>1.5</v>
      </c>
      <c r="J97" s="6">
        <v>1</v>
      </c>
      <c r="K97" s="26">
        <f t="shared" si="35"/>
        <v>1.0351797483084484</v>
      </c>
      <c r="L97" s="6">
        <f t="shared" si="29"/>
        <v>30287.547318626061</v>
      </c>
      <c r="M97" s="6">
        <f t="shared" si="30"/>
        <v>311596.53161313373</v>
      </c>
      <c r="N97" s="6">
        <f t="shared" si="31"/>
        <v>40121.166577920179</v>
      </c>
      <c r="O97" s="6">
        <f t="shared" si="47"/>
        <v>0.4</v>
      </c>
      <c r="P97" s="6">
        <f t="shared" si="48"/>
        <v>1.5</v>
      </c>
      <c r="Q97" s="6">
        <f t="shared" si="49"/>
        <v>1</v>
      </c>
      <c r="R97" s="6"/>
      <c r="S97" s="38">
        <v>80</v>
      </c>
      <c r="T97" s="6">
        <f>VLOOKUP($S$13,角色设定!$AB$9:$AJ$21,MATCH(E$17,角色设定!$AB$9:$AJ$9,0),0)*Z97*$L$15*E97/Y97/(1+W97*(X97-1))</f>
        <v>23895.69480008485</v>
      </c>
      <c r="U97" s="6">
        <f>VLOOKUP($S$13,角色设定!$AB$9:$AJ$21,MATCH(F$17,角色设定!$AB$9:$AJ$9,0),0)*F97*$L$15/(1+V97/$N$16)</f>
        <v>283998.16761831124</v>
      </c>
      <c r="V97" s="6">
        <f>VLOOKUP($S$13,角色设定!$AB$9:$AJ$21,MATCH(V$17,角色设定!$AB$9:$AJ$9,0),0)*G97*$L$15</f>
        <v>177005.1466672949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1</v>
      </c>
      <c r="Z97" s="6">
        <f>VLOOKUP($S$13,角色设定!$AB$9:$AJ$21,MATCH(Z$17,角色设定!$AB$9:$AJ$9,0),0)</f>
        <v>0.9</v>
      </c>
      <c r="AA97" s="6"/>
      <c r="AB97" s="6"/>
      <c r="AC97" s="6">
        <f>T97*战斗公式!$E$39*(1+W97*(X97-1))*Y97</f>
        <v>716870.84400254546</v>
      </c>
      <c r="AD97" s="6">
        <f>U97*战斗公式!$E$41*(1+V97*战斗公式!$E$40)</f>
        <v>786689.54074353317</v>
      </c>
      <c r="AE97" s="22">
        <f t="shared" si="36"/>
        <v>1503560.3847460786</v>
      </c>
      <c r="AF97" s="22">
        <f t="shared" si="43"/>
        <v>71598.1135593371</v>
      </c>
      <c r="AG97" s="22"/>
      <c r="AH97" s="9">
        <f t="shared" si="37"/>
        <v>6690.7945440237581</v>
      </c>
      <c r="AI97" s="9">
        <f t="shared" si="38"/>
        <v>79519.486933127162</v>
      </c>
      <c r="AJ97" s="9">
        <f t="shared" si="39"/>
        <v>49561.441066842577</v>
      </c>
      <c r="AK97" s="9">
        <f t="shared" si="44"/>
        <v>318.60926400113112</v>
      </c>
      <c r="AL97" s="9">
        <f t="shared" si="45"/>
        <v>1409.8942496773525</v>
      </c>
      <c r="AM97" s="9">
        <f t="shared" si="46"/>
        <v>2360.0686222306031</v>
      </c>
    </row>
    <row r="98" spans="4:39" ht="14.25" customHeight="1" x14ac:dyDescent="0.2">
      <c r="D98" s="1">
        <v>81</v>
      </c>
      <c r="E98" s="6">
        <f t="shared" si="40"/>
        <v>363.45056782351276</v>
      </c>
      <c r="F98" s="6">
        <f t="shared" si="41"/>
        <v>3056.288865788626</v>
      </c>
      <c r="G98" s="6">
        <f t="shared" si="42"/>
        <v>280.84816604544125</v>
      </c>
      <c r="H98" s="6">
        <v>0.4</v>
      </c>
      <c r="I98" s="6">
        <v>1.5</v>
      </c>
      <c r="J98" s="6">
        <v>1</v>
      </c>
      <c r="K98" s="26">
        <f t="shared" si="35"/>
        <v>1.0346659896171846</v>
      </c>
      <c r="L98" s="6">
        <f t="shared" si="29"/>
        <v>31801.924684557365</v>
      </c>
      <c r="M98" s="6">
        <f t="shared" si="30"/>
        <v>322558.41916906927</v>
      </c>
      <c r="N98" s="6">
        <f t="shared" si="31"/>
        <v>42127.224906816184</v>
      </c>
      <c r="O98" s="6">
        <f t="shared" si="47"/>
        <v>0.4</v>
      </c>
      <c r="P98" s="6">
        <f t="shared" si="48"/>
        <v>1.5</v>
      </c>
      <c r="Q98" s="6">
        <f t="shared" si="49"/>
        <v>1</v>
      </c>
      <c r="R98" s="6"/>
      <c r="S98" s="38">
        <v>81</v>
      </c>
      <c r="T98" s="6">
        <f>VLOOKUP($S$13,角色设定!$AB$9:$AJ$21,MATCH(E$17,角色设定!$AB$9:$AJ$9,0),0)*Z98*$L$15*E98/Y98/(1+W98*(X98-1))</f>
        <v>25090.479540089091</v>
      </c>
      <c r="U98" s="6">
        <f>VLOOKUP($S$13,角色设定!$AB$9:$AJ$21,MATCH(F$17,角色设定!$AB$9:$AJ$9,0),0)*F98*$L$15/(1+V98/$N$16)</f>
        <v>288965.68202670879</v>
      </c>
      <c r="V98" s="6">
        <f>VLOOKUP($S$13,角色设定!$AB$9:$AJ$21,MATCH(V$17,角色设定!$AB$9:$AJ$9,0),0)*G98*$L$15</f>
        <v>185855.40400065962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1</v>
      </c>
      <c r="Z98" s="6">
        <f>VLOOKUP($S$13,角色设定!$AB$9:$AJ$21,MATCH(Z$17,角色设定!$AB$9:$AJ$9,0),0)</f>
        <v>0.9</v>
      </c>
      <c r="AA98" s="6"/>
      <c r="AB98" s="6"/>
      <c r="AC98" s="6">
        <f>T98*战斗公式!$E$39*(1+W98*(X98-1))*Y98</f>
        <v>752714.38620267261</v>
      </c>
      <c r="AD98" s="6">
        <f>U98*战斗公式!$E$41*(1+V98*战斗公式!$E$40)</f>
        <v>826024.0177807099</v>
      </c>
      <c r="AE98" s="22">
        <f t="shared" si="36"/>
        <v>1578738.4039833825</v>
      </c>
      <c r="AF98" s="22">
        <f t="shared" si="43"/>
        <v>75178.019237303874</v>
      </c>
      <c r="AG98" s="22"/>
      <c r="AH98" s="9">
        <f t="shared" si="37"/>
        <v>7025.334271224946</v>
      </c>
      <c r="AI98" s="9">
        <f t="shared" si="38"/>
        <v>80910.390967478466</v>
      </c>
      <c r="AJ98" s="9">
        <f t="shared" si="39"/>
        <v>52039.513120184696</v>
      </c>
      <c r="AK98" s="9">
        <f t="shared" si="44"/>
        <v>334.53972720118782</v>
      </c>
      <c r="AL98" s="9">
        <f t="shared" si="45"/>
        <v>1390.9040343513043</v>
      </c>
      <c r="AM98" s="9">
        <f t="shared" si="46"/>
        <v>2478.072053342119</v>
      </c>
    </row>
    <row r="99" spans="4:39" ht="14.25" customHeight="1" x14ac:dyDescent="0.2">
      <c r="D99" s="1">
        <v>82</v>
      </c>
      <c r="E99" s="6">
        <f t="shared" si="40"/>
        <v>381.62309621468842</v>
      </c>
      <c r="F99" s="6">
        <f t="shared" si="41"/>
        <v>3209.1033090780575</v>
      </c>
      <c r="G99" s="6">
        <f t="shared" si="42"/>
        <v>294.89057434771331</v>
      </c>
      <c r="H99" s="6">
        <v>0.4</v>
      </c>
      <c r="I99" s="6">
        <v>1.5</v>
      </c>
      <c r="J99" s="6">
        <v>1</v>
      </c>
      <c r="K99" s="26">
        <f t="shared" si="35"/>
        <v>1.0341424489504836</v>
      </c>
      <c r="L99" s="6">
        <f t="shared" si="29"/>
        <v>33392.020918785238</v>
      </c>
      <c r="M99" s="6">
        <f t="shared" si="30"/>
        <v>333740.22597891971</v>
      </c>
      <c r="N99" s="6">
        <f t="shared" si="31"/>
        <v>44233.586152156997</v>
      </c>
      <c r="O99" s="6">
        <f t="shared" si="47"/>
        <v>0.4</v>
      </c>
      <c r="P99" s="6">
        <f t="shared" si="48"/>
        <v>1.5</v>
      </c>
      <c r="Q99" s="6">
        <f t="shared" si="49"/>
        <v>1</v>
      </c>
      <c r="R99" s="6"/>
      <c r="S99" s="38">
        <v>82</v>
      </c>
      <c r="T99" s="6">
        <f>VLOOKUP($S$13,角色设定!$AB$9:$AJ$21,MATCH(E$17,角色设定!$AB$9:$AJ$9,0),0)*Z99*$L$15*E99/Y99/(1+W99*(X99-1))</f>
        <v>26345.003517093552</v>
      </c>
      <c r="U99" s="6">
        <f>VLOOKUP($S$13,角色设定!$AB$9:$AJ$21,MATCH(F$17,角色设定!$AB$9:$AJ$9,0),0)*F99*$L$15/(1+V99/$N$16)</f>
        <v>293860.94663082284</v>
      </c>
      <c r="V99" s="6">
        <f>VLOOKUP($S$13,角色设定!$AB$9:$AJ$21,MATCH(V$17,角色设定!$AB$9:$AJ$9,0),0)*G99*$L$15</f>
        <v>195148.17420069259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1</v>
      </c>
      <c r="Z99" s="6">
        <f>VLOOKUP($S$13,角色设定!$AB$9:$AJ$21,MATCH(Z$17,角色设定!$AB$9:$AJ$9,0),0)</f>
        <v>0.9</v>
      </c>
      <c r="AA99" s="6"/>
      <c r="AB99" s="6"/>
      <c r="AC99" s="6">
        <f>T99*战斗公式!$E$39*(1+W99*(X99-1))*Y99</f>
        <v>790350.10551280656</v>
      </c>
      <c r="AD99" s="6">
        <f>U99*战斗公式!$E$41*(1+V99*战斗公式!$E$40)</f>
        <v>867325.21866974537</v>
      </c>
      <c r="AE99" s="22">
        <f t="shared" si="36"/>
        <v>1657675.3241825518</v>
      </c>
      <c r="AF99" s="22">
        <f t="shared" si="43"/>
        <v>78936.920199169312</v>
      </c>
      <c r="AG99" s="22"/>
      <c r="AH99" s="9">
        <f t="shared" si="37"/>
        <v>7376.6009847861951</v>
      </c>
      <c r="AI99" s="9">
        <f t="shared" si="38"/>
        <v>82281.06505663041</v>
      </c>
      <c r="AJ99" s="9">
        <f t="shared" si="39"/>
        <v>54641.488776193932</v>
      </c>
      <c r="AK99" s="9">
        <f t="shared" si="44"/>
        <v>351.26671356124916</v>
      </c>
      <c r="AL99" s="9">
        <f t="shared" si="45"/>
        <v>1370.6740891519439</v>
      </c>
      <c r="AM99" s="9">
        <f t="shared" si="46"/>
        <v>2601.9756560092355</v>
      </c>
    </row>
    <row r="100" spans="4:39" ht="14.25" customHeight="1" x14ac:dyDescent="0.2">
      <c r="D100" s="1">
        <v>83</v>
      </c>
      <c r="E100" s="6">
        <f t="shared" si="40"/>
        <v>400.70425102542288</v>
      </c>
      <c r="F100" s="6">
        <f t="shared" si="41"/>
        <v>3369.5584745319607</v>
      </c>
      <c r="G100" s="6">
        <f t="shared" si="42"/>
        <v>309.63510306509897</v>
      </c>
      <c r="H100" s="6">
        <v>0.4</v>
      </c>
      <c r="I100" s="6">
        <v>1.5</v>
      </c>
      <c r="J100" s="6">
        <v>1</v>
      </c>
      <c r="K100" s="26">
        <f t="shared" si="35"/>
        <v>1.0336094848290585</v>
      </c>
      <c r="L100" s="6">
        <f t="shared" si="29"/>
        <v>35061.621964724502</v>
      </c>
      <c r="M100" s="6">
        <f t="shared" si="30"/>
        <v>345134.9346071278</v>
      </c>
      <c r="N100" s="6">
        <f t="shared" si="31"/>
        <v>46445.265459764843</v>
      </c>
      <c r="O100" s="6">
        <f t="shared" si="47"/>
        <v>0.4</v>
      </c>
      <c r="P100" s="6">
        <f t="shared" si="48"/>
        <v>1.5</v>
      </c>
      <c r="Q100" s="6">
        <f t="shared" si="49"/>
        <v>1</v>
      </c>
      <c r="R100" s="6"/>
      <c r="S100" s="38">
        <v>83</v>
      </c>
      <c r="T100" s="6">
        <f>VLOOKUP($S$13,角色设定!$AB$9:$AJ$21,MATCH(E$17,角色设定!$AB$9:$AJ$9,0),0)*Z100*$L$15*E100/Y100/(1+W100*(X100-1))</f>
        <v>27662.25369294823</v>
      </c>
      <c r="U100" s="6">
        <f>VLOOKUP($S$13,角色设定!$AB$9:$AJ$21,MATCH(F$17,角色设定!$AB$9:$AJ$9,0),0)*F100*$L$15/(1+V100/$N$16)</f>
        <v>298679.83095274196</v>
      </c>
      <c r="V100" s="6">
        <f>VLOOKUP($S$13,角色设定!$AB$9:$AJ$21,MATCH(V$17,角色设定!$AB$9:$AJ$9,0),0)*G100*$L$15</f>
        <v>204905.58291072724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1</v>
      </c>
      <c r="Z100" s="6">
        <f>VLOOKUP($S$13,角色设定!$AB$9:$AJ$21,MATCH(Z$17,角色设定!$AB$9:$AJ$9,0),0)</f>
        <v>0.9</v>
      </c>
      <c r="AA100" s="6"/>
      <c r="AB100" s="6"/>
      <c r="AC100" s="6">
        <f>T100*战斗公式!$E$39*(1+W100*(X100-1))*Y100</f>
        <v>829867.61078844697</v>
      </c>
      <c r="AD100" s="6">
        <f>U100*战斗公式!$E$41*(1+V100*战斗公式!$E$40)</f>
        <v>910691.4796032327</v>
      </c>
      <c r="AE100" s="22">
        <f t="shared" si="36"/>
        <v>1740559.0903916797</v>
      </c>
      <c r="AF100" s="22">
        <f t="shared" si="43"/>
        <v>82883.766209127847</v>
      </c>
      <c r="AG100" s="22"/>
      <c r="AH100" s="9">
        <f t="shared" si="37"/>
        <v>7745.4310340255051</v>
      </c>
      <c r="AI100" s="9">
        <f t="shared" si="38"/>
        <v>83630.352666767751</v>
      </c>
      <c r="AJ100" s="9">
        <f t="shared" si="39"/>
        <v>57373.563215003633</v>
      </c>
      <c r="AK100" s="9">
        <f t="shared" si="44"/>
        <v>368.83004923931003</v>
      </c>
      <c r="AL100" s="9">
        <f t="shared" si="45"/>
        <v>1349.2876101373404</v>
      </c>
      <c r="AM100" s="9">
        <f t="shared" si="46"/>
        <v>2732.074438809701</v>
      </c>
    </row>
    <row r="101" spans="4:39" ht="14.25" customHeight="1" x14ac:dyDescent="0.2">
      <c r="D101" s="1">
        <v>84</v>
      </c>
      <c r="E101" s="6">
        <f t="shared" si="40"/>
        <v>420.73946357669405</v>
      </c>
      <c r="F101" s="6">
        <f t="shared" si="41"/>
        <v>3538.0363982585586</v>
      </c>
      <c r="G101" s="6">
        <f t="shared" si="42"/>
        <v>325.11685821835391</v>
      </c>
      <c r="H101" s="6">
        <v>0.4</v>
      </c>
      <c r="I101" s="6">
        <v>1.5</v>
      </c>
      <c r="J101" s="6">
        <v>1</v>
      </c>
      <c r="K101" s="26">
        <f t="shared" si="35"/>
        <v>1.0330674916062219</v>
      </c>
      <c r="L101" s="6">
        <f t="shared" si="29"/>
        <v>36814.703062960725</v>
      </c>
      <c r="M101" s="6">
        <f t="shared" si="30"/>
        <v>356734.74195578415</v>
      </c>
      <c r="N101" s="6">
        <f t="shared" si="31"/>
        <v>48767.52873275309</v>
      </c>
      <c r="O101" s="6">
        <f t="shared" si="47"/>
        <v>0.4</v>
      </c>
      <c r="P101" s="6">
        <f t="shared" si="48"/>
        <v>1.5</v>
      </c>
      <c r="Q101" s="6">
        <f t="shared" si="49"/>
        <v>1</v>
      </c>
      <c r="R101" s="6"/>
      <c r="S101" s="38">
        <v>84</v>
      </c>
      <c r="T101" s="6">
        <f>VLOOKUP($S$13,角色设定!$AB$9:$AJ$21,MATCH(E$17,角色设定!$AB$9:$AJ$9,0),0)*Z101*$L$15*E101/Y101/(1+W101*(X101-1))</f>
        <v>29045.366377595645</v>
      </c>
      <c r="U101" s="6">
        <f>VLOOKUP($S$13,角色设定!$AB$9:$AJ$21,MATCH(F$17,角色设定!$AB$9:$AJ$9,0),0)*F101*$L$15/(1+V101/$N$16)</f>
        <v>303418.51116773405</v>
      </c>
      <c r="V101" s="6">
        <f>VLOOKUP($S$13,角色设定!$AB$9:$AJ$21,MATCH(V$17,角色设定!$AB$9:$AJ$9,0),0)*G101*$L$15</f>
        <v>215150.86205626358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1</v>
      </c>
      <c r="Z101" s="6">
        <f>VLOOKUP($S$13,角色设定!$AB$9:$AJ$21,MATCH(Z$17,角色设定!$AB$9:$AJ$9,0),0)</f>
        <v>0.9</v>
      </c>
      <c r="AA101" s="6"/>
      <c r="AB101" s="6"/>
      <c r="AC101" s="6">
        <f>T101*战斗公式!$E$39*(1+W101*(X101-1))*Y101</f>
        <v>871360.99132786936</v>
      </c>
      <c r="AD101" s="6">
        <f>U101*战斗公式!$E$41*(1+V101*战斗公式!$E$40)</f>
        <v>956226.05358339439</v>
      </c>
      <c r="AE101" s="22">
        <f t="shared" si="36"/>
        <v>1827587.0449112637</v>
      </c>
      <c r="AF101" s="22">
        <f t="shared" si="43"/>
        <v>87027.954519584076</v>
      </c>
      <c r="AG101" s="22"/>
      <c r="AH101" s="9">
        <f t="shared" si="37"/>
        <v>8132.7025857267809</v>
      </c>
      <c r="AI101" s="9">
        <f t="shared" si="38"/>
        <v>84957.183126965538</v>
      </c>
      <c r="AJ101" s="9">
        <f t="shared" si="39"/>
        <v>60242.241375753809</v>
      </c>
      <c r="AK101" s="9">
        <f t="shared" si="44"/>
        <v>387.27155170127571</v>
      </c>
      <c r="AL101" s="9">
        <f t="shared" si="45"/>
        <v>1326.830460197787</v>
      </c>
      <c r="AM101" s="9">
        <f t="shared" si="46"/>
        <v>2868.6781607501762</v>
      </c>
    </row>
    <row r="102" spans="4:39" ht="14.25" customHeight="1" x14ac:dyDescent="0.2">
      <c r="D102" s="1">
        <v>85</v>
      </c>
      <c r="E102" s="6">
        <f t="shared" si="40"/>
        <v>441.77643675552878</v>
      </c>
      <c r="F102" s="6">
        <f t="shared" si="41"/>
        <v>3714.9382181714868</v>
      </c>
      <c r="G102" s="6">
        <f t="shared" si="42"/>
        <v>341.3727011292716</v>
      </c>
      <c r="H102" s="6">
        <v>0.4</v>
      </c>
      <c r="I102" s="6">
        <v>1.5</v>
      </c>
      <c r="J102" s="6">
        <v>1</v>
      </c>
      <c r="K102" s="26">
        <f t="shared" si="35"/>
        <v>1.0325168989419475</v>
      </c>
      <c r="L102" s="6">
        <f t="shared" si="29"/>
        <v>38655.438216108763</v>
      </c>
      <c r="M102" s="6">
        <f t="shared" si="30"/>
        <v>368531.0650410548</v>
      </c>
      <c r="N102" s="6">
        <f t="shared" si="31"/>
        <v>51205.905169390739</v>
      </c>
      <c r="O102" s="6">
        <f t="shared" si="47"/>
        <v>0.4</v>
      </c>
      <c r="P102" s="6">
        <f t="shared" si="48"/>
        <v>1.5</v>
      </c>
      <c r="Q102" s="6">
        <f t="shared" si="49"/>
        <v>1</v>
      </c>
      <c r="R102" s="6"/>
      <c r="S102" s="38">
        <v>85</v>
      </c>
      <c r="T102" s="6">
        <f>VLOOKUP($S$13,角色设定!$AB$9:$AJ$21,MATCH(E$17,角色设定!$AB$9:$AJ$9,0),0)*Z102*$L$15*E102/Y102/(1+W102*(X102-1))</f>
        <v>30497.63469647543</v>
      </c>
      <c r="U102" s="6">
        <f>VLOOKUP($S$13,角色设定!$AB$9:$AJ$21,MATCH(F$17,角色设定!$AB$9:$AJ$9,0),0)*F102*$L$15/(1+V102/$N$16)</f>
        <v>308073.47720059281</v>
      </c>
      <c r="V102" s="6">
        <f>VLOOKUP($S$13,角色设定!$AB$9:$AJ$21,MATCH(V$17,角色设定!$AB$9:$AJ$9,0),0)*G102*$L$15</f>
        <v>225908.40515907676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1</v>
      </c>
      <c r="Z102" s="6">
        <f>VLOOKUP($S$13,角色设定!$AB$9:$AJ$21,MATCH(Z$17,角色设定!$AB$9:$AJ$9,0),0)</f>
        <v>0.9</v>
      </c>
      <c r="AA102" s="6"/>
      <c r="AB102" s="6"/>
      <c r="AC102" s="6">
        <f>T102*战斗公式!$E$39*(1+W102*(X102-1))*Y102</f>
        <v>914929.04089426284</v>
      </c>
      <c r="AD102" s="6">
        <f>U102*战斗公式!$E$41*(1+V102*战斗公式!$E$40)</f>
        <v>1004037.3562625641</v>
      </c>
      <c r="AE102" s="22">
        <f t="shared" si="36"/>
        <v>1918966.3971568269</v>
      </c>
      <c r="AF102" s="22">
        <f t="shared" si="43"/>
        <v>91379.352245563176</v>
      </c>
      <c r="AG102" s="22"/>
      <c r="AH102" s="9">
        <f t="shared" si="37"/>
        <v>8539.3377150131219</v>
      </c>
      <c r="AI102" s="9">
        <f t="shared" si="38"/>
        <v>86260.573616165988</v>
      </c>
      <c r="AJ102" s="9">
        <f t="shared" si="39"/>
        <v>63254.353444541499</v>
      </c>
      <c r="AK102" s="9">
        <f t="shared" si="44"/>
        <v>406.635129286341</v>
      </c>
      <c r="AL102" s="9">
        <f t="shared" si="45"/>
        <v>1303.3904892004502</v>
      </c>
      <c r="AM102" s="9">
        <f t="shared" si="46"/>
        <v>3012.1120687876901</v>
      </c>
    </row>
    <row r="103" spans="4:39" ht="14.25" customHeight="1" x14ac:dyDescent="0.2">
      <c r="D103" s="1">
        <v>86</v>
      </c>
      <c r="E103" s="6">
        <f t="shared" si="40"/>
        <v>463.86525859330521</v>
      </c>
      <c r="F103" s="6">
        <f t="shared" si="41"/>
        <v>3900.6851290800614</v>
      </c>
      <c r="G103" s="6">
        <f t="shared" si="42"/>
        <v>358.44133618573522</v>
      </c>
      <c r="H103" s="6">
        <v>0.4</v>
      </c>
      <c r="I103" s="6">
        <v>1.5</v>
      </c>
      <c r="J103" s="6">
        <v>1</v>
      </c>
      <c r="K103" s="26">
        <f t="shared" si="35"/>
        <v>1.0319581710085741</v>
      </c>
      <c r="L103" s="6">
        <f t="shared" si="29"/>
        <v>40588.210126914208</v>
      </c>
      <c r="M103" s="6">
        <f t="shared" si="30"/>
        <v>380514.5524399631</v>
      </c>
      <c r="N103" s="6">
        <f t="shared" si="31"/>
        <v>53766.200427860284</v>
      </c>
      <c r="O103" s="6">
        <f t="shared" si="47"/>
        <v>0.4</v>
      </c>
      <c r="P103" s="6">
        <f t="shared" si="48"/>
        <v>1.5</v>
      </c>
      <c r="Q103" s="6">
        <f t="shared" si="49"/>
        <v>1</v>
      </c>
      <c r="R103" s="6"/>
      <c r="S103" s="38">
        <v>86</v>
      </c>
      <c r="T103" s="6">
        <f>VLOOKUP($S$13,角色设定!$AB$9:$AJ$21,MATCH(E$17,角色设定!$AB$9:$AJ$9,0),0)*Z103*$L$15*E103/Y103/(1+W103*(X103-1))</f>
        <v>32022.516431299198</v>
      </c>
      <c r="U103" s="6">
        <f>VLOOKUP($S$13,角色设定!$AB$9:$AJ$21,MATCH(F$17,角色设定!$AB$9:$AJ$9,0),0)*F103*$L$15/(1+V103/$N$16)</f>
        <v>312641.53743566852</v>
      </c>
      <c r="V103" s="6">
        <f>VLOOKUP($S$13,角色设定!$AB$9:$AJ$21,MATCH(V$17,角色设定!$AB$9:$AJ$9,0),0)*G103*$L$15</f>
        <v>237203.82541703063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1</v>
      </c>
      <c r="Z103" s="6">
        <f>VLOOKUP($S$13,角色设定!$AB$9:$AJ$21,MATCH(Z$17,角色设定!$AB$9:$AJ$9,0),0)</f>
        <v>0.9</v>
      </c>
      <c r="AA103" s="6"/>
      <c r="AB103" s="6"/>
      <c r="AC103" s="6">
        <f>T103*战斗公式!$E$39*(1+W103*(X103-1))*Y103</f>
        <v>960675.4929389758</v>
      </c>
      <c r="AD103" s="6">
        <f>U103*战斗公式!$E$41*(1+V103*战斗公式!$E$40)</f>
        <v>1054239.2240756922</v>
      </c>
      <c r="AE103" s="22">
        <f t="shared" si="36"/>
        <v>2014914.717014668</v>
      </c>
      <c r="AF103" s="22">
        <f t="shared" si="43"/>
        <v>95948.319857841125</v>
      </c>
      <c r="AG103" s="22"/>
      <c r="AH103" s="9">
        <f t="shared" si="37"/>
        <v>8966.3046007637768</v>
      </c>
      <c r="AI103" s="9">
        <f t="shared" si="38"/>
        <v>87539.630481987188</v>
      </c>
      <c r="AJ103" s="9">
        <f t="shared" si="39"/>
        <v>66417.07111676858</v>
      </c>
      <c r="AK103" s="9">
        <f t="shared" si="44"/>
        <v>426.96688575065491</v>
      </c>
      <c r="AL103" s="9">
        <f t="shared" si="45"/>
        <v>1279.0568658211996</v>
      </c>
      <c r="AM103" s="9">
        <f t="shared" si="46"/>
        <v>3162.7176722270815</v>
      </c>
    </row>
    <row r="104" spans="4:39" ht="14.25" customHeight="1" x14ac:dyDescent="0.2">
      <c r="D104" s="1">
        <v>87</v>
      </c>
      <c r="E104" s="6">
        <f t="shared" si="40"/>
        <v>487.05852152297052</v>
      </c>
      <c r="F104" s="6">
        <f t="shared" si="41"/>
        <v>4095.7193855340647</v>
      </c>
      <c r="G104" s="6">
        <f t="shared" si="42"/>
        <v>376.363402995022</v>
      </c>
      <c r="H104" s="6">
        <v>0.4</v>
      </c>
      <c r="I104" s="6">
        <v>1.5</v>
      </c>
      <c r="J104" s="6">
        <v>1</v>
      </c>
      <c r="K104" s="26">
        <f t="shared" si="35"/>
        <v>1.0313918054233933</v>
      </c>
      <c r="L104" s="6">
        <f t="shared" si="29"/>
        <v>42617.620633259918</v>
      </c>
      <c r="M104" s="6">
        <f t="shared" si="30"/>
        <v>392675.10157809051</v>
      </c>
      <c r="N104" s="6">
        <f t="shared" si="31"/>
        <v>56454.510449253299</v>
      </c>
      <c r="O104" s="6">
        <f t="shared" si="47"/>
        <v>0.4</v>
      </c>
      <c r="P104" s="6">
        <f t="shared" si="48"/>
        <v>1.5</v>
      </c>
      <c r="Q104" s="6">
        <f t="shared" si="49"/>
        <v>1</v>
      </c>
      <c r="R104" s="6"/>
      <c r="S104" s="38">
        <v>87</v>
      </c>
      <c r="T104" s="6">
        <f>VLOOKUP($S$13,角色设定!$AB$9:$AJ$21,MATCH(E$17,角色设定!$AB$9:$AJ$9,0),0)*Z104*$L$15*E104/Y104/(1+W104*(X104-1))</f>
        <v>33623.642252864163</v>
      </c>
      <c r="U104" s="6">
        <f>VLOOKUP($S$13,角色设定!$AB$9:$AJ$21,MATCH(F$17,角色设定!$AB$9:$AJ$9,0),0)*F104*$L$15/(1+V104/$N$16)</f>
        <v>317119.82110985229</v>
      </c>
      <c r="V104" s="6">
        <f>VLOOKUP($S$13,角色设定!$AB$9:$AJ$21,MATCH(V$17,角色设定!$AB$9:$AJ$9,0),0)*G104*$L$15</f>
        <v>249064.01668788219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1</v>
      </c>
      <c r="Z104" s="6">
        <f>VLOOKUP($S$13,角色设定!$AB$9:$AJ$21,MATCH(Z$17,角色设定!$AB$9:$AJ$9,0),0)</f>
        <v>0.9</v>
      </c>
      <c r="AA104" s="6"/>
      <c r="AB104" s="6"/>
      <c r="AC104" s="6">
        <f>T104*战斗公式!$E$39*(1+W104*(X104-1))*Y104</f>
        <v>1008709.2675859248</v>
      </c>
      <c r="AD104" s="6">
        <f>U104*战斗公式!$E$41*(1+V104*战斗公式!$E$40)</f>
        <v>1106951.1852794772</v>
      </c>
      <c r="AE104" s="22">
        <f t="shared" si="36"/>
        <v>2115660.4528654022</v>
      </c>
      <c r="AF104" s="22">
        <f t="shared" si="43"/>
        <v>100745.73585073417</v>
      </c>
      <c r="AG104" s="22"/>
      <c r="AH104" s="9">
        <f t="shared" si="37"/>
        <v>9414.6198308019666</v>
      </c>
      <c r="AI104" s="9">
        <f t="shared" si="38"/>
        <v>88793.549910758651</v>
      </c>
      <c r="AJ104" s="9">
        <f t="shared" si="39"/>
        <v>69737.924672607027</v>
      </c>
      <c r="AK104" s="9">
        <f t="shared" si="44"/>
        <v>448.31523003818984</v>
      </c>
      <c r="AL104" s="9">
        <f t="shared" si="45"/>
        <v>1253.9194287714636</v>
      </c>
      <c r="AM104" s="9">
        <f t="shared" si="46"/>
        <v>3320.8535558384465</v>
      </c>
    </row>
    <row r="105" spans="4:39" ht="14.25" customHeight="1" x14ac:dyDescent="0.2">
      <c r="D105" s="1">
        <v>88</v>
      </c>
      <c r="E105" s="6">
        <f t="shared" si="40"/>
        <v>511.41144759911907</v>
      </c>
      <c r="F105" s="6">
        <f t="shared" si="41"/>
        <v>4300.505354810768</v>
      </c>
      <c r="G105" s="6">
        <f t="shared" si="42"/>
        <v>395.1815731447731</v>
      </c>
      <c r="H105" s="6">
        <v>0.4</v>
      </c>
      <c r="I105" s="6">
        <v>1.5</v>
      </c>
      <c r="J105" s="6">
        <v>1</v>
      </c>
      <c r="K105" s="26">
        <f t="shared" si="35"/>
        <v>1.0308183319067463</v>
      </c>
      <c r="L105" s="6">
        <f t="shared" si="29"/>
        <v>44748.501664922915</v>
      </c>
      <c r="M105" s="6">
        <f t="shared" si="30"/>
        <v>405001.88196144113</v>
      </c>
      <c r="N105" s="6">
        <f t="shared" si="31"/>
        <v>59277.235971715963</v>
      </c>
      <c r="O105" s="6">
        <f t="shared" si="47"/>
        <v>0.4</v>
      </c>
      <c r="P105" s="6">
        <f t="shared" si="48"/>
        <v>1.5</v>
      </c>
      <c r="Q105" s="6">
        <f t="shared" si="49"/>
        <v>1</v>
      </c>
      <c r="R105" s="6"/>
      <c r="S105" s="38">
        <v>88</v>
      </c>
      <c r="T105" s="6">
        <f>VLOOKUP($S$13,角色设定!$AB$9:$AJ$21,MATCH(E$17,角色设定!$AB$9:$AJ$9,0),0)*Z105*$L$15*E105/Y105/(1+W105*(X105-1))</f>
        <v>35304.824365507367</v>
      </c>
      <c r="U105" s="6">
        <f>VLOOKUP($S$13,角色设定!$AB$9:$AJ$21,MATCH(F$17,角色设定!$AB$9:$AJ$9,0),0)*F105*$L$15/(1+V105/$N$16)</f>
        <v>321505.77848255081</v>
      </c>
      <c r="V105" s="6">
        <f>VLOOKUP($S$13,角色设定!$AB$9:$AJ$21,MATCH(V$17,角色设定!$AB$9:$AJ$9,0),0)*G105*$L$15</f>
        <v>261517.21752227627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1</v>
      </c>
      <c r="Z105" s="6">
        <f>VLOOKUP($S$13,角色设定!$AB$9:$AJ$21,MATCH(Z$17,角色设定!$AB$9:$AJ$9,0),0)</f>
        <v>0.9</v>
      </c>
      <c r="AA105" s="6"/>
      <c r="AB105" s="6"/>
      <c r="AC105" s="6">
        <f>T105*战斗公式!$E$39*(1+W105*(X105-1))*Y105</f>
        <v>1059144.7309652211</v>
      </c>
      <c r="AD105" s="6">
        <f>U105*战斗公式!$E$41*(1+V105*战斗公式!$E$40)</f>
        <v>1162298.7445434509</v>
      </c>
      <c r="AE105" s="22">
        <f t="shared" si="36"/>
        <v>2221443.4755086722</v>
      </c>
      <c r="AF105" s="22">
        <f t="shared" si="43"/>
        <v>105783.02264326997</v>
      </c>
      <c r="AG105" s="22"/>
      <c r="AH105" s="9">
        <f t="shared" si="37"/>
        <v>9885.3508223420631</v>
      </c>
      <c r="AI105" s="9">
        <f t="shared" si="38"/>
        <v>90021.617975114234</v>
      </c>
      <c r="AJ105" s="9">
        <f t="shared" si="39"/>
        <v>73224.820906237364</v>
      </c>
      <c r="AK105" s="9">
        <f t="shared" si="44"/>
        <v>470.73099154009651</v>
      </c>
      <c r="AL105" s="9">
        <f t="shared" si="45"/>
        <v>1228.0680643555825</v>
      </c>
      <c r="AM105" s="9">
        <f t="shared" si="46"/>
        <v>3486.8962336303375</v>
      </c>
    </row>
    <row r="106" spans="4:39" ht="14.25" customHeight="1" x14ac:dyDescent="0.2">
      <c r="D106" s="1">
        <v>89</v>
      </c>
      <c r="E106" s="6">
        <f t="shared" si="40"/>
        <v>536.98201997907506</v>
      </c>
      <c r="F106" s="6">
        <f t="shared" si="41"/>
        <v>4515.5306225513068</v>
      </c>
      <c r="G106" s="6">
        <f t="shared" si="42"/>
        <v>414.94065180201176</v>
      </c>
      <c r="H106" s="6">
        <v>0.4</v>
      </c>
      <c r="I106" s="6">
        <v>1.5</v>
      </c>
      <c r="J106" s="6">
        <v>1</v>
      </c>
      <c r="K106" s="26">
        <f t="shared" si="35"/>
        <v>1.030238310667815</v>
      </c>
      <c r="L106" s="6">
        <f t="shared" si="29"/>
        <v>46985.926748169069</v>
      </c>
      <c r="M106" s="6">
        <f t="shared" si="30"/>
        <v>417483.36438258574</v>
      </c>
      <c r="N106" s="6">
        <f t="shared" si="31"/>
        <v>62241.097770301763</v>
      </c>
      <c r="O106" s="6">
        <f t="shared" si="47"/>
        <v>0.4</v>
      </c>
      <c r="P106" s="6">
        <f t="shared" si="48"/>
        <v>1.5</v>
      </c>
      <c r="Q106" s="6">
        <f t="shared" si="49"/>
        <v>1</v>
      </c>
      <c r="R106" s="6"/>
      <c r="S106" s="38">
        <v>89</v>
      </c>
      <c r="T106" s="6">
        <f>VLOOKUP($S$13,角色设定!$AB$9:$AJ$21,MATCH(E$17,角色设定!$AB$9:$AJ$9,0),0)*Z106*$L$15*E106/Y106/(1+W106*(X106-1))</f>
        <v>37070.065583782736</v>
      </c>
      <c r="U106" s="6">
        <f>VLOOKUP($S$13,角色设定!$AB$9:$AJ$21,MATCH(F$17,角色设定!$AB$9:$AJ$9,0),0)*F106*$L$15/(1+V106/$N$16)</f>
        <v>325797.17889839911</v>
      </c>
      <c r="V106" s="6">
        <f>VLOOKUP($S$13,角色设定!$AB$9:$AJ$21,MATCH(V$17,角色设定!$AB$9:$AJ$9,0),0)*G106*$L$15</f>
        <v>274593.07839839009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1</v>
      </c>
      <c r="Z106" s="6">
        <f>VLOOKUP($S$13,角色设定!$AB$9:$AJ$21,MATCH(Z$17,角色设定!$AB$9:$AJ$9,0),0)</f>
        <v>0.9</v>
      </c>
      <c r="AA106" s="6"/>
      <c r="AB106" s="6"/>
      <c r="AC106" s="6">
        <f>T106*战斗公式!$E$39*(1+W106*(X106-1))*Y106</f>
        <v>1112101.9675134821</v>
      </c>
      <c r="AD106" s="6">
        <f>U106*战斗公式!$E$41*(1+V106*战斗公式!$E$40)</f>
        <v>1220413.6817706237</v>
      </c>
      <c r="AE106" s="22">
        <f t="shared" si="36"/>
        <v>2332515.6492841057</v>
      </c>
      <c r="AF106" s="22">
        <f t="shared" si="43"/>
        <v>111072.17377543356</v>
      </c>
      <c r="AG106" s="22"/>
      <c r="AH106" s="9">
        <f t="shared" si="37"/>
        <v>10379.618363459167</v>
      </c>
      <c r="AI106" s="9">
        <f t="shared" si="38"/>
        <v>91223.210091551766</v>
      </c>
      <c r="AJ106" s="9">
        <f t="shared" si="39"/>
        <v>76886.061951549229</v>
      </c>
      <c r="AK106" s="9">
        <f t="shared" si="44"/>
        <v>494.26754111710397</v>
      </c>
      <c r="AL106" s="9">
        <f t="shared" si="45"/>
        <v>1201.5921164375322</v>
      </c>
      <c r="AM106" s="9">
        <f t="shared" si="46"/>
        <v>3661.2410453118646</v>
      </c>
    </row>
    <row r="107" spans="4:39" ht="14.25" customHeight="1" x14ac:dyDescent="0.2">
      <c r="D107" s="1">
        <v>90</v>
      </c>
      <c r="E107" s="6">
        <f t="shared" si="40"/>
        <v>563.83112097802882</v>
      </c>
      <c r="F107" s="6">
        <f t="shared" si="41"/>
        <v>4741.3071536788721</v>
      </c>
      <c r="G107" s="6">
        <f t="shared" si="42"/>
        <v>435.68768439211237</v>
      </c>
      <c r="H107" s="6">
        <v>0.4</v>
      </c>
      <c r="I107" s="6">
        <v>1.5</v>
      </c>
      <c r="J107" s="6">
        <v>1</v>
      </c>
      <c r="K107" s="26">
        <f t="shared" si="35"/>
        <v>1.0296523305240246</v>
      </c>
      <c r="L107" s="6">
        <f t="shared" si="29"/>
        <v>49335.22308557752</v>
      </c>
      <c r="M107" s="6">
        <f t="shared" si="30"/>
        <v>430107.35605343099</v>
      </c>
      <c r="N107" s="6">
        <f t="shared" si="31"/>
        <v>65353.152658816856</v>
      </c>
      <c r="O107" s="6">
        <f t="shared" si="47"/>
        <v>0.4</v>
      </c>
      <c r="P107" s="6">
        <f t="shared" si="48"/>
        <v>1.5</v>
      </c>
      <c r="Q107" s="6">
        <f t="shared" si="49"/>
        <v>1</v>
      </c>
      <c r="R107" s="6"/>
      <c r="S107" s="38">
        <v>90</v>
      </c>
      <c r="T107" s="6">
        <f>VLOOKUP($S$13,角色设定!$AB$9:$AJ$21,MATCH(E$17,角色设定!$AB$9:$AJ$9,0),0)*Z107*$L$15*E107/Y107/(1+W107*(X107-1))</f>
        <v>38923.568862971879</v>
      </c>
      <c r="U107" s="6">
        <f>VLOOKUP($S$13,角色设定!$AB$9:$AJ$21,MATCH(F$17,角色设定!$AB$9:$AJ$9,0),0)*F107*$L$15/(1+V107/$N$16)</f>
        <v>329992.10687690513</v>
      </c>
      <c r="V107" s="6">
        <f>VLOOKUP($S$13,角色设定!$AB$9:$AJ$21,MATCH(V$17,角色设定!$AB$9:$AJ$9,0),0)*G107*$L$15</f>
        <v>288322.73231830966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1</v>
      </c>
      <c r="Z107" s="6">
        <f>VLOOKUP($S$13,角色设定!$AB$9:$AJ$21,MATCH(Z$17,角色设定!$AB$9:$AJ$9,0),0)</f>
        <v>0.9</v>
      </c>
      <c r="AA107" s="6"/>
      <c r="AB107" s="6"/>
      <c r="AC107" s="6">
        <f>T107*战斗公式!$E$39*(1+W107*(X107-1))*Y107</f>
        <v>1167707.0658891562</v>
      </c>
      <c r="AD107" s="6">
        <f>U107*战斗公式!$E$41*(1+V107*战斗公式!$E$40)</f>
        <v>1281434.3658591548</v>
      </c>
      <c r="AE107" s="22">
        <f t="shared" si="36"/>
        <v>2449141.431748311</v>
      </c>
      <c r="AF107" s="22">
        <f t="shared" si="43"/>
        <v>116625.78246420529</v>
      </c>
      <c r="AG107" s="22"/>
      <c r="AH107" s="9">
        <f t="shared" si="37"/>
        <v>10898.599281632127</v>
      </c>
      <c r="AI107" s="9">
        <f t="shared" si="38"/>
        <v>92397.789925533449</v>
      </c>
      <c r="AJ107" s="9">
        <f t="shared" si="39"/>
        <v>80730.365049126718</v>
      </c>
      <c r="AK107" s="9">
        <f t="shared" si="44"/>
        <v>518.98091817295972</v>
      </c>
      <c r="AL107" s="9">
        <f t="shared" si="45"/>
        <v>1174.5798339816829</v>
      </c>
      <c r="AM107" s="9">
        <f t="shared" si="46"/>
        <v>3844.3030975774891</v>
      </c>
    </row>
    <row r="108" spans="4:39" ht="14.25" customHeight="1" x14ac:dyDescent="0.2">
      <c r="D108" s="1">
        <v>91</v>
      </c>
      <c r="E108" s="6">
        <f t="shared" si="40"/>
        <v>592.0226770269303</v>
      </c>
      <c r="F108" s="6">
        <f t="shared" si="41"/>
        <v>4978.3725113628161</v>
      </c>
      <c r="G108" s="6">
        <f t="shared" si="42"/>
        <v>457.47206861171799</v>
      </c>
      <c r="H108" s="6">
        <v>0.4</v>
      </c>
      <c r="I108" s="6">
        <v>1.5</v>
      </c>
      <c r="J108" s="6">
        <v>1</v>
      </c>
      <c r="K108" s="26">
        <f t="shared" si="35"/>
        <v>1.0290610067637562</v>
      </c>
      <c r="L108" s="6">
        <f t="shared" si="29"/>
        <v>51801.9842398564</v>
      </c>
      <c r="M108" s="6">
        <f t="shared" si="30"/>
        <v>442861.04153594165</v>
      </c>
      <c r="N108" s="6">
        <f t="shared" si="31"/>
        <v>68620.810291757691</v>
      </c>
      <c r="O108" s="6">
        <f t="shared" si="47"/>
        <v>0.4</v>
      </c>
      <c r="P108" s="6">
        <f t="shared" si="48"/>
        <v>1.5</v>
      </c>
      <c r="Q108" s="6">
        <f t="shared" si="49"/>
        <v>1</v>
      </c>
      <c r="R108" s="6"/>
      <c r="S108" s="38">
        <v>91</v>
      </c>
      <c r="T108" s="6">
        <f>VLOOKUP($S$13,角色设定!$AB$9:$AJ$21,MATCH(E$17,角色设定!$AB$9:$AJ$9,0),0)*Z108*$L$15*E108/Y108/(1+W108*(X108-1))</f>
        <v>40869.747306120473</v>
      </c>
      <c r="U108" s="6">
        <f>VLOOKUP($S$13,角色设定!$AB$9:$AJ$21,MATCH(F$17,角色设定!$AB$9:$AJ$9,0),0)*F108*$L$15/(1+V108/$N$16)</f>
        <v>334088.95637829753</v>
      </c>
      <c r="V108" s="6">
        <f>VLOOKUP($S$13,角色设定!$AB$9:$AJ$21,MATCH(V$17,角色设定!$AB$9:$AJ$9,0),0)*G108*$L$15</f>
        <v>302738.86893422512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1</v>
      </c>
      <c r="Z108" s="6">
        <f>VLOOKUP($S$13,角色设定!$AB$9:$AJ$21,MATCH(Z$17,角色设定!$AB$9:$AJ$9,0),0)</f>
        <v>0.9</v>
      </c>
      <c r="AA108" s="6"/>
      <c r="AB108" s="6"/>
      <c r="AC108" s="6">
        <f>T108*战斗公式!$E$39*(1+W108*(X108-1))*Y108</f>
        <v>1226092.4191836142</v>
      </c>
      <c r="AD108" s="6">
        <f>U108*战斗公式!$E$41*(1+V108*战斗公式!$E$40)</f>
        <v>1345506.0841521122</v>
      </c>
      <c r="AE108" s="22">
        <f t="shared" si="36"/>
        <v>2571598.5033357264</v>
      </c>
      <c r="AF108" s="22">
        <f t="shared" si="43"/>
        <v>122457.07158741541</v>
      </c>
      <c r="AG108" s="22"/>
      <c r="AH108" s="9">
        <f t="shared" si="37"/>
        <v>11443.529245713733</v>
      </c>
      <c r="AI108" s="9">
        <f t="shared" si="38"/>
        <v>93544.907785923322</v>
      </c>
      <c r="AJ108" s="9">
        <f t="shared" si="39"/>
        <v>84766.883301583046</v>
      </c>
      <c r="AK108" s="9">
        <f t="shared" si="44"/>
        <v>544.92996408160616</v>
      </c>
      <c r="AL108" s="9">
        <f t="shared" si="45"/>
        <v>1147.1178603898734</v>
      </c>
      <c r="AM108" s="9">
        <f t="shared" si="46"/>
        <v>4036.5182524563279</v>
      </c>
    </row>
    <row r="109" spans="4:39" ht="14.25" customHeight="1" x14ac:dyDescent="0.2">
      <c r="D109" s="1">
        <v>92</v>
      </c>
      <c r="E109" s="6">
        <f t="shared" si="40"/>
        <v>621.6238108782768</v>
      </c>
      <c r="F109" s="6">
        <f t="shared" si="41"/>
        <v>5227.2911369309568</v>
      </c>
      <c r="G109" s="6">
        <f t="shared" si="42"/>
        <v>480.34567204230393</v>
      </c>
      <c r="H109" s="6">
        <v>0.4</v>
      </c>
      <c r="I109" s="6">
        <v>1.5</v>
      </c>
      <c r="J109" s="6">
        <v>1</v>
      </c>
      <c r="K109" s="26">
        <f t="shared" si="35"/>
        <v>1.028464978765907</v>
      </c>
      <c r="L109" s="6">
        <f t="shared" si="29"/>
        <v>54392.083451849219</v>
      </c>
      <c r="M109" s="6">
        <f t="shared" si="30"/>
        <v>455731.0292594218</v>
      </c>
      <c r="N109" s="6">
        <f t="shared" si="31"/>
        <v>72051.850806345596</v>
      </c>
      <c r="O109" s="6">
        <f t="shared" si="47"/>
        <v>0.4</v>
      </c>
      <c r="P109" s="6">
        <f t="shared" si="48"/>
        <v>1.5</v>
      </c>
      <c r="Q109" s="6">
        <f t="shared" si="49"/>
        <v>1</v>
      </c>
      <c r="R109" s="6"/>
      <c r="S109" s="38">
        <v>92</v>
      </c>
      <c r="T109" s="6">
        <f>VLOOKUP($S$13,角色设定!$AB$9:$AJ$21,MATCH(E$17,角色设定!$AB$9:$AJ$9,0),0)*Z109*$L$15*E109/Y109/(1+W109*(X109-1))</f>
        <v>42913.2346714265</v>
      </c>
      <c r="U109" s="6">
        <f>VLOOKUP($S$13,角色设定!$AB$9:$AJ$21,MATCH(F$17,角色设定!$AB$9:$AJ$9,0),0)*F109*$L$15/(1+V109/$N$16)</f>
        <v>338086.42340653681</v>
      </c>
      <c r="V109" s="6">
        <f>VLOOKUP($S$13,角色设定!$AB$9:$AJ$21,MATCH(V$17,角色设定!$AB$9:$AJ$9,0),0)*G109*$L$15</f>
        <v>317875.8123809364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1</v>
      </c>
      <c r="Z109" s="6">
        <f>VLOOKUP($S$13,角色设定!$AB$9:$AJ$21,MATCH(Z$17,角色设定!$AB$9:$AJ$9,0),0)</f>
        <v>0.9</v>
      </c>
      <c r="AA109" s="6"/>
      <c r="AB109" s="6"/>
      <c r="AC109" s="6">
        <f>T109*战斗公式!$E$39*(1+W109*(X109-1))*Y109</f>
        <v>1287397.0401427948</v>
      </c>
      <c r="AD109" s="6">
        <f>U109*战斗公式!$E$41*(1+V109*战斗公式!$E$40)</f>
        <v>1412781.3883597183</v>
      </c>
      <c r="AE109" s="22">
        <f t="shared" si="36"/>
        <v>2700178.4285025131</v>
      </c>
      <c r="AF109" s="22">
        <f t="shared" si="43"/>
        <v>128579.92516678665</v>
      </c>
      <c r="AG109" s="22"/>
      <c r="AH109" s="9">
        <f t="shared" si="37"/>
        <v>12015.705707999421</v>
      </c>
      <c r="AI109" s="9">
        <f t="shared" si="38"/>
        <v>94664.198553830312</v>
      </c>
      <c r="AJ109" s="9">
        <f t="shared" si="39"/>
        <v>89005.227466662196</v>
      </c>
      <c r="AK109" s="9">
        <f t="shared" si="44"/>
        <v>572.1764622856881</v>
      </c>
      <c r="AL109" s="9">
        <f t="shared" si="45"/>
        <v>1119.2907679069904</v>
      </c>
      <c r="AM109" s="9">
        <f t="shared" si="46"/>
        <v>4238.3441650791501</v>
      </c>
    </row>
    <row r="110" spans="4:39" ht="14.25" customHeight="1" x14ac:dyDescent="0.2">
      <c r="D110" s="1">
        <v>93</v>
      </c>
      <c r="E110" s="6">
        <f t="shared" si="40"/>
        <v>652.70500142219066</v>
      </c>
      <c r="F110" s="6">
        <f t="shared" si="41"/>
        <v>5488.6556937775049</v>
      </c>
      <c r="G110" s="6">
        <f t="shared" si="42"/>
        <v>504.36295564441917</v>
      </c>
      <c r="H110" s="6">
        <v>0.4</v>
      </c>
      <c r="I110" s="6">
        <v>1.5</v>
      </c>
      <c r="J110" s="6">
        <v>1</v>
      </c>
      <c r="K110" s="26">
        <f t="shared" si="35"/>
        <v>1.027864907393502</v>
      </c>
      <c r="L110" s="6">
        <f t="shared" si="29"/>
        <v>57111.687624441678</v>
      </c>
      <c r="M110" s="6">
        <f t="shared" si="30"/>
        <v>468703.40333025623</v>
      </c>
      <c r="N110" s="6">
        <f t="shared" si="31"/>
        <v>75654.443346662869</v>
      </c>
      <c r="O110" s="6">
        <f t="shared" si="47"/>
        <v>0.4</v>
      </c>
      <c r="P110" s="6">
        <f t="shared" si="48"/>
        <v>1.5</v>
      </c>
      <c r="Q110" s="6">
        <f t="shared" si="49"/>
        <v>1</v>
      </c>
      <c r="R110" s="6"/>
      <c r="S110" s="38">
        <v>93</v>
      </c>
      <c r="T110" s="6">
        <f>VLOOKUP($S$13,角色设定!$AB$9:$AJ$21,MATCH(E$17,角色设定!$AB$9:$AJ$9,0),0)*Z110*$L$15*E110/Y110/(1+W110*(X110-1))</f>
        <v>45058.896404997824</v>
      </c>
      <c r="U110" s="6">
        <f>VLOOKUP($S$13,角色设定!$AB$9:$AJ$21,MATCH(F$17,角色设定!$AB$9:$AJ$9,0),0)*F110*$L$15/(1+V110/$N$16)</f>
        <v>341983.49711880606</v>
      </c>
      <c r="V110" s="6">
        <f>VLOOKUP($S$13,角色设定!$AB$9:$AJ$21,MATCH(V$17,角色设定!$AB$9:$AJ$9,0),0)*G110*$L$15</f>
        <v>333769.60299998324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1</v>
      </c>
      <c r="Z110" s="6">
        <f>VLOOKUP($S$13,角色设定!$AB$9:$AJ$21,MATCH(Z$17,角色设定!$AB$9:$AJ$9,0),0)</f>
        <v>0.9</v>
      </c>
      <c r="AA110" s="6"/>
      <c r="AB110" s="6"/>
      <c r="AC110" s="6">
        <f>T110*战斗公式!$E$39*(1+W110*(X110-1))*Y110</f>
        <v>1351766.8921499348</v>
      </c>
      <c r="AD110" s="6">
        <f>U110*战斗公式!$E$41*(1+V110*战斗公式!$E$40)</f>
        <v>1483420.4577777043</v>
      </c>
      <c r="AE110" s="22">
        <f t="shared" si="36"/>
        <v>2835187.3499276391</v>
      </c>
      <c r="AF110" s="22">
        <f t="shared" si="43"/>
        <v>135008.92142512603</v>
      </c>
      <c r="AG110" s="22"/>
      <c r="AH110" s="9">
        <f t="shared" si="37"/>
        <v>12616.490993399391</v>
      </c>
      <c r="AI110" s="9">
        <f t="shared" si="38"/>
        <v>95755.379193265704</v>
      </c>
      <c r="AJ110" s="9">
        <f t="shared" si="39"/>
        <v>93455.48883999532</v>
      </c>
      <c r="AK110" s="9">
        <f t="shared" si="44"/>
        <v>600.78528539997023</v>
      </c>
      <c r="AL110" s="9">
        <f t="shared" si="45"/>
        <v>1091.1806394353916</v>
      </c>
      <c r="AM110" s="9">
        <f t="shared" si="46"/>
        <v>4450.2613733331236</v>
      </c>
    </row>
    <row r="111" spans="4:39" ht="14.25" customHeight="1" x14ac:dyDescent="0.2">
      <c r="D111" s="1">
        <v>94</v>
      </c>
      <c r="E111" s="6">
        <f t="shared" si="40"/>
        <v>685.34025149330023</v>
      </c>
      <c r="F111" s="6">
        <f t="shared" si="41"/>
        <v>5763.0884784663804</v>
      </c>
      <c r="G111" s="6">
        <f t="shared" si="42"/>
        <v>529.5811034266402</v>
      </c>
      <c r="H111" s="6">
        <v>0.4</v>
      </c>
      <c r="I111" s="6">
        <v>1.5</v>
      </c>
      <c r="J111" s="6">
        <v>1</v>
      </c>
      <c r="K111" s="26">
        <f t="shared" si="35"/>
        <v>1.0272614721821605</v>
      </c>
      <c r="L111" s="6">
        <f t="shared" si="29"/>
        <v>59967.27200566377</v>
      </c>
      <c r="M111" s="6">
        <f t="shared" si="30"/>
        <v>481763.78025907301</v>
      </c>
      <c r="N111" s="6">
        <f t="shared" si="31"/>
        <v>79437.165513996035</v>
      </c>
      <c r="O111" s="6">
        <f t="shared" si="47"/>
        <v>0.4</v>
      </c>
      <c r="P111" s="6">
        <f t="shared" si="48"/>
        <v>1.5</v>
      </c>
      <c r="Q111" s="6">
        <f t="shared" si="49"/>
        <v>1</v>
      </c>
      <c r="R111" s="6"/>
      <c r="S111" s="38">
        <v>94</v>
      </c>
      <c r="T111" s="6">
        <f>VLOOKUP($S$13,角色设定!$AB$9:$AJ$21,MATCH(E$17,角色设定!$AB$9:$AJ$9,0),0)*Z111*$L$15*E111/Y111/(1+W111*(X111-1))</f>
        <v>47311.841225247721</v>
      </c>
      <c r="U111" s="6">
        <f>VLOOKUP($S$13,角色设定!$AB$9:$AJ$21,MATCH(F$17,角色设定!$AB$9:$AJ$9,0),0)*F111*$L$15/(1+V111/$N$16)</f>
        <v>345779.44961595483</v>
      </c>
      <c r="V111" s="6">
        <f>VLOOKUP($S$13,角色设定!$AB$9:$AJ$21,MATCH(V$17,角色设定!$AB$9:$AJ$9,0),0)*G111*$L$15</f>
        <v>350458.08314998244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1</v>
      </c>
      <c r="Z111" s="6">
        <f>VLOOKUP($S$13,角色设定!$AB$9:$AJ$21,MATCH(Z$17,角色设定!$AB$9:$AJ$9,0),0)</f>
        <v>0.9</v>
      </c>
      <c r="AA111" s="6"/>
      <c r="AB111" s="6"/>
      <c r="AC111" s="6">
        <f>T111*战斗公式!$E$39*(1+W111*(X111-1))*Y111</f>
        <v>1419355.2367574314</v>
      </c>
      <c r="AD111" s="6">
        <f>U111*战斗公式!$E$41*(1+V111*战斗公式!$E$40)</f>
        <v>1557591.4806665895</v>
      </c>
      <c r="AE111" s="22">
        <f t="shared" si="36"/>
        <v>2976946.7174240211</v>
      </c>
      <c r="AF111" s="22">
        <f t="shared" si="43"/>
        <v>141759.36749638198</v>
      </c>
      <c r="AG111" s="22"/>
      <c r="AH111" s="9">
        <f t="shared" si="37"/>
        <v>13247.315543069362</v>
      </c>
      <c r="AI111" s="9">
        <f t="shared" si="38"/>
        <v>96818.245892467356</v>
      </c>
      <c r="AJ111" s="9">
        <f t="shared" si="39"/>
        <v>98128.263281995096</v>
      </c>
      <c r="AK111" s="9">
        <f t="shared" si="44"/>
        <v>630.82454966997102</v>
      </c>
      <c r="AL111" s="9">
        <f t="shared" si="45"/>
        <v>1062.8666992016515</v>
      </c>
      <c r="AM111" s="9">
        <f t="shared" si="46"/>
        <v>4672.7744419997762</v>
      </c>
    </row>
    <row r="112" spans="4:39" ht="14.25" customHeight="1" x14ac:dyDescent="0.2">
      <c r="D112" s="1">
        <v>95</v>
      </c>
      <c r="E112" s="6">
        <f t="shared" si="40"/>
        <v>719.60726406796527</v>
      </c>
      <c r="F112" s="6">
        <f t="shared" si="41"/>
        <v>6051.2429023896993</v>
      </c>
      <c r="G112" s="6">
        <f t="shared" si="42"/>
        <v>556.06015859797219</v>
      </c>
      <c r="H112" s="6">
        <v>0.4</v>
      </c>
      <c r="I112" s="6">
        <v>1.5</v>
      </c>
      <c r="J112" s="6">
        <v>1</v>
      </c>
      <c r="K112" s="26">
        <f t="shared" si="35"/>
        <v>1.0266553683474962</v>
      </c>
      <c r="L112" s="6">
        <f t="shared" si="29"/>
        <v>62965.635605946954</v>
      </c>
      <c r="M112" s="6">
        <f t="shared" si="30"/>
        <v>494897.37015297823</v>
      </c>
      <c r="N112" s="6">
        <f t="shared" si="31"/>
        <v>83409.023789695828</v>
      </c>
      <c r="O112" s="6">
        <f t="shared" si="47"/>
        <v>0.4</v>
      </c>
      <c r="P112" s="6">
        <f t="shared" si="48"/>
        <v>1.5</v>
      </c>
      <c r="Q112" s="6">
        <f t="shared" si="49"/>
        <v>1</v>
      </c>
      <c r="R112" s="6"/>
      <c r="S112" s="38">
        <v>95</v>
      </c>
      <c r="T112" s="6">
        <f>VLOOKUP($S$13,角色设定!$AB$9:$AJ$21,MATCH(E$17,角色设定!$AB$9:$AJ$9,0),0)*Z112*$L$15*E112/Y112/(1+W112*(X112-1))</f>
        <v>49677.43328651011</v>
      </c>
      <c r="U112" s="6">
        <f>VLOOKUP($S$13,角色设定!$AB$9:$AJ$21,MATCH(F$17,角色设定!$AB$9:$AJ$9,0),0)*F112*$L$15/(1+V112/$N$16)</f>
        <v>349473.82459051732</v>
      </c>
      <c r="V112" s="6">
        <f>VLOOKUP($S$13,角色设定!$AB$9:$AJ$21,MATCH(V$17,角色设定!$AB$9:$AJ$9,0),0)*G112*$L$15</f>
        <v>367980.98730748153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1</v>
      </c>
      <c r="Z112" s="6">
        <f>VLOOKUP($S$13,角色设定!$AB$9:$AJ$21,MATCH(Z$17,角色设定!$AB$9:$AJ$9,0),0)</f>
        <v>0.9</v>
      </c>
      <c r="AA112" s="6"/>
      <c r="AB112" s="6"/>
      <c r="AC112" s="6">
        <f>T112*战斗公式!$E$39*(1+W112*(X112-1))*Y112</f>
        <v>1490322.9985953032</v>
      </c>
      <c r="AD112" s="6">
        <f>U112*战斗公式!$E$41*(1+V112*战斗公式!$E$40)</f>
        <v>1635471.0546999192</v>
      </c>
      <c r="AE112" s="22">
        <f t="shared" si="36"/>
        <v>3125794.0532952221</v>
      </c>
      <c r="AF112" s="22">
        <f t="shared" si="43"/>
        <v>148847.33587120101</v>
      </c>
      <c r="AG112" s="22"/>
      <c r="AH112" s="9">
        <f t="shared" si="37"/>
        <v>13909.681320222831</v>
      </c>
      <c r="AI112" s="9">
        <f t="shared" si="38"/>
        <v>97852.670885344865</v>
      </c>
      <c r="AJ112" s="9">
        <f t="shared" si="39"/>
        <v>103034.67644609483</v>
      </c>
      <c r="AK112" s="9">
        <f t="shared" si="44"/>
        <v>662.36577715346903</v>
      </c>
      <c r="AL112" s="9">
        <f t="shared" si="45"/>
        <v>1034.4249928775098</v>
      </c>
      <c r="AM112" s="9">
        <f t="shared" si="46"/>
        <v>4906.4131640997366</v>
      </c>
    </row>
    <row r="113" spans="4:39" ht="14.25" customHeight="1" x14ac:dyDescent="0.2">
      <c r="D113" s="1">
        <v>96</v>
      </c>
      <c r="E113" s="6">
        <f t="shared" si="40"/>
        <v>755.58762727136354</v>
      </c>
      <c r="F113" s="6">
        <f t="shared" si="41"/>
        <v>6353.805047509185</v>
      </c>
      <c r="G113" s="6">
        <f t="shared" si="42"/>
        <v>583.86316652787082</v>
      </c>
      <c r="H113" s="6">
        <v>0.4</v>
      </c>
      <c r="I113" s="6">
        <v>1.5</v>
      </c>
      <c r="J113" s="6">
        <v>1</v>
      </c>
      <c r="K113" s="26">
        <f t="shared" si="35"/>
        <v>1.0260473036385143</v>
      </c>
      <c r="L113" s="6">
        <f t="shared" si="29"/>
        <v>66113.917386244313</v>
      </c>
      <c r="M113" s="6">
        <f t="shared" si="30"/>
        <v>508089.04184861307</v>
      </c>
      <c r="N113" s="6">
        <f t="shared" si="31"/>
        <v>87579.474979180624</v>
      </c>
      <c r="O113" s="6">
        <f t="shared" si="47"/>
        <v>0.4</v>
      </c>
      <c r="P113" s="6">
        <f t="shared" si="48"/>
        <v>1.5</v>
      </c>
      <c r="Q113" s="6">
        <f t="shared" si="49"/>
        <v>1</v>
      </c>
      <c r="R113" s="6"/>
      <c r="S113" s="38">
        <v>96</v>
      </c>
      <c r="T113" s="6">
        <f>VLOOKUP($S$13,角色设定!$AB$9:$AJ$21,MATCH(E$17,角色设定!$AB$9:$AJ$9,0),0)*Z113*$L$15*E113/Y113/(1+W113*(X113-1))</f>
        <v>52161.304950835613</v>
      </c>
      <c r="U113" s="6">
        <f>VLOOKUP($S$13,角色设定!$AB$9:$AJ$21,MATCH(F$17,角色设定!$AB$9:$AJ$9,0),0)*F113*$L$15/(1+V113/$N$16)</f>
        <v>353066.42500830104</v>
      </c>
      <c r="V113" s="6">
        <f>VLOOKUP($S$13,角色设定!$AB$9:$AJ$21,MATCH(V$17,角色设定!$AB$9:$AJ$9,0),0)*G113*$L$15</f>
        <v>386380.03667285561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1</v>
      </c>
      <c r="Z113" s="6">
        <f>VLOOKUP($S$13,角色设定!$AB$9:$AJ$21,MATCH(Z$17,角色设定!$AB$9:$AJ$9,0),0)</f>
        <v>0.9</v>
      </c>
      <c r="AA113" s="6"/>
      <c r="AB113" s="6"/>
      <c r="AC113" s="6">
        <f>T113*战斗公式!$E$39*(1+W113*(X113-1))*Y113</f>
        <v>1564839.1485250683</v>
      </c>
      <c r="AD113" s="6">
        <f>U113*战斗公式!$E$41*(1+V113*战斗公式!$E$40)</f>
        <v>1717244.6074349149</v>
      </c>
      <c r="AE113" s="22">
        <f t="shared" si="36"/>
        <v>3282083.755959983</v>
      </c>
      <c r="AF113" s="22">
        <f t="shared" si="43"/>
        <v>156289.70266476087</v>
      </c>
      <c r="AG113" s="22"/>
      <c r="AH113" s="9">
        <f t="shared" si="37"/>
        <v>14605.165386233974</v>
      </c>
      <c r="AI113" s="9">
        <f t="shared" si="38"/>
        <v>98858.599002324307</v>
      </c>
      <c r="AJ113" s="9">
        <f t="shared" si="39"/>
        <v>108186.41026839959</v>
      </c>
      <c r="AK113" s="9">
        <f t="shared" si="44"/>
        <v>695.4840660111422</v>
      </c>
      <c r="AL113" s="9">
        <f t="shared" si="45"/>
        <v>1005.9281169794413</v>
      </c>
      <c r="AM113" s="9">
        <f t="shared" si="46"/>
        <v>5151.7338223047554</v>
      </c>
    </row>
    <row r="114" spans="4:39" ht="14.25" customHeight="1" x14ac:dyDescent="0.2">
      <c r="D114" s="1">
        <v>97</v>
      </c>
      <c r="E114" s="6">
        <f t="shared" si="40"/>
        <v>793.36700863493172</v>
      </c>
      <c r="F114" s="6">
        <f t="shared" si="41"/>
        <v>6671.4952998846447</v>
      </c>
      <c r="G114" s="6">
        <f t="shared" si="42"/>
        <v>613.0563248542644</v>
      </c>
      <c r="H114" s="6">
        <v>0.4</v>
      </c>
      <c r="I114" s="6">
        <v>1.5</v>
      </c>
      <c r="J114" s="6">
        <v>1</v>
      </c>
      <c r="K114" s="26">
        <f t="shared" si="35"/>
        <v>1.0254379950666379</v>
      </c>
      <c r="L114" s="6">
        <f t="shared" si="29"/>
        <v>69419.613255556527</v>
      </c>
      <c r="M114" s="6">
        <f t="shared" ref="M114:M117" si="50">F114/(1+N114/$N$16)*$L$15</f>
        <v>521323.39139704563</v>
      </c>
      <c r="N114" s="6">
        <f t="shared" si="31"/>
        <v>91958.448728139658</v>
      </c>
      <c r="O114" s="6">
        <f t="shared" si="47"/>
        <v>0.4</v>
      </c>
      <c r="P114" s="6">
        <f t="shared" si="48"/>
        <v>1.5</v>
      </c>
      <c r="Q114" s="6">
        <f t="shared" si="49"/>
        <v>1</v>
      </c>
      <c r="R114" s="6"/>
      <c r="S114" s="38">
        <v>97</v>
      </c>
      <c r="T114" s="6">
        <f>VLOOKUP($S$13,角色设定!$AB$9:$AJ$21,MATCH(E$17,角色设定!$AB$9:$AJ$9,0),0)*Z114*$L$15*E114/Y114/(1+W114*(X114-1))</f>
        <v>54769.370198377394</v>
      </c>
      <c r="U114" s="6">
        <f>VLOOKUP($S$13,角色设定!$AB$9:$AJ$21,MATCH(F$17,角色设定!$AB$9:$AJ$9,0),0)*F114*$L$15/(1+V114/$N$16)</f>
        <v>356557.29999642656</v>
      </c>
      <c r="V114" s="6">
        <f>VLOOKUP($S$13,角色设定!$AB$9:$AJ$21,MATCH(V$17,角色设定!$AB$9:$AJ$9,0),0)*G114*$L$15</f>
        <v>405699.0385064985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1</v>
      </c>
      <c r="Z114" s="6">
        <f>VLOOKUP($S$13,角色设定!$AB$9:$AJ$21,MATCH(Z$17,角色设定!$AB$9:$AJ$9,0),0)</f>
        <v>0.9</v>
      </c>
      <c r="AA114" s="6"/>
      <c r="AB114" s="6"/>
      <c r="AC114" s="6">
        <f>T114*战斗公式!$E$39*(1+W114*(X114-1))*Y114</f>
        <v>1643081.1059513215</v>
      </c>
      <c r="AD114" s="6">
        <f>U114*战斗公式!$E$41*(1+V114*战斗公式!$E$40)</f>
        <v>1803106.8378066607</v>
      </c>
      <c r="AE114" s="22">
        <f t="shared" si="36"/>
        <v>3446187.943757982</v>
      </c>
      <c r="AF114" s="22">
        <f t="shared" si="43"/>
        <v>164104.18779799901</v>
      </c>
      <c r="AG114" s="22"/>
      <c r="AH114" s="9">
        <f t="shared" si="37"/>
        <v>15335.423655545672</v>
      </c>
      <c r="AI114" s="9">
        <f t="shared" si="38"/>
        <v>99836.043998999448</v>
      </c>
      <c r="AJ114" s="9">
        <f t="shared" si="39"/>
        <v>113595.7307818196</v>
      </c>
      <c r="AK114" s="9">
        <f t="shared" si="44"/>
        <v>730.25826931169831</v>
      </c>
      <c r="AL114" s="9">
        <f t="shared" si="45"/>
        <v>977.44499667514174</v>
      </c>
      <c r="AM114" s="9">
        <f t="shared" si="46"/>
        <v>5409.3205134200107</v>
      </c>
    </row>
    <row r="115" spans="4:39" ht="14.25" customHeight="1" x14ac:dyDescent="0.2">
      <c r="D115" s="1">
        <v>98</v>
      </c>
      <c r="E115" s="6">
        <f t="shared" si="40"/>
        <v>833.03535906667832</v>
      </c>
      <c r="F115" s="6">
        <f t="shared" si="41"/>
        <v>7005.070064878877</v>
      </c>
      <c r="G115" s="6">
        <f t="shared" si="42"/>
        <v>643.70914109697765</v>
      </c>
      <c r="H115" s="6">
        <v>0.4</v>
      </c>
      <c r="I115" s="6">
        <v>1.5</v>
      </c>
      <c r="J115" s="6">
        <v>1</v>
      </c>
      <c r="K115" s="26">
        <f t="shared" si="35"/>
        <v>1.0248281655421068</v>
      </c>
      <c r="L115" s="6">
        <f t="shared" si="29"/>
        <v>72890.593918334343</v>
      </c>
      <c r="M115" s="6">
        <f t="shared" si="50"/>
        <v>534584.81325552659</v>
      </c>
      <c r="N115" s="6">
        <f t="shared" si="31"/>
        <v>96556.371164546654</v>
      </c>
      <c r="O115" s="6">
        <f t="shared" si="47"/>
        <v>0.4</v>
      </c>
      <c r="P115" s="6">
        <f t="shared" si="48"/>
        <v>1.5</v>
      </c>
      <c r="Q115" s="6">
        <f t="shared" si="49"/>
        <v>1</v>
      </c>
      <c r="R115" s="6"/>
      <c r="S115" s="38">
        <v>98</v>
      </c>
      <c r="T115" s="6">
        <f>VLOOKUP($S$13,角色设定!$AB$9:$AJ$21,MATCH(E$17,角色设定!$AB$9:$AJ$9,0),0)*Z115*$L$15*E115/Y115/(1+W115*(X115-1))</f>
        <v>57507.838708296258</v>
      </c>
      <c r="U115" s="6">
        <f>VLOOKUP($S$13,角色设定!$AB$9:$AJ$21,MATCH(F$17,角色设定!$AB$9:$AJ$9,0),0)*F115*$L$15/(1+V115/$N$16)</f>
        <v>359946.73110538209</v>
      </c>
      <c r="V115" s="6">
        <f>VLOOKUP($S$13,角色设定!$AB$9:$AJ$21,MATCH(V$17,角色设定!$AB$9:$AJ$9,0),0)*G115*$L$15</f>
        <v>425983.99043182336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1</v>
      </c>
      <c r="Z115" s="6">
        <f>VLOOKUP($S$13,角色设定!$AB$9:$AJ$21,MATCH(Z$17,角色设定!$AB$9:$AJ$9,0),0)</f>
        <v>0.9</v>
      </c>
      <c r="AA115" s="6"/>
      <c r="AB115" s="6"/>
      <c r="AC115" s="6">
        <f>T115*战斗公式!$E$39*(1+W115*(X115-1))*Y115</f>
        <v>1725235.1612488877</v>
      </c>
      <c r="AD115" s="6">
        <f>U115*战斗公式!$E$41*(1+V115*战斗公式!$E$40)</f>
        <v>1893262.1796969941</v>
      </c>
      <c r="AE115" s="22">
        <f t="shared" si="36"/>
        <v>3618497.3409458818</v>
      </c>
      <c r="AF115" s="22">
        <f t="shared" si="43"/>
        <v>172309.3971878998</v>
      </c>
      <c r="AG115" s="22"/>
      <c r="AH115" s="9">
        <f t="shared" si="37"/>
        <v>16102.194838322954</v>
      </c>
      <c r="AI115" s="9">
        <f t="shared" si="38"/>
        <v>100785.08470950699</v>
      </c>
      <c r="AJ115" s="9">
        <f t="shared" si="39"/>
        <v>119275.51732091056</v>
      </c>
      <c r="AK115" s="9">
        <f t="shared" si="44"/>
        <v>766.77118277728187</v>
      </c>
      <c r="AL115" s="9">
        <f t="shared" si="45"/>
        <v>949.04071050754283</v>
      </c>
      <c r="AM115" s="9">
        <f t="shared" si="46"/>
        <v>5679.7865390909574</v>
      </c>
    </row>
    <row r="116" spans="4:39" ht="14.25" customHeight="1" x14ac:dyDescent="0.2">
      <c r="D116" s="1">
        <v>99</v>
      </c>
      <c r="E116" s="6">
        <f t="shared" si="40"/>
        <v>874.68712702001233</v>
      </c>
      <c r="F116" s="6">
        <f t="shared" si="41"/>
        <v>7355.3235681228216</v>
      </c>
      <c r="G116" s="6">
        <f t="shared" si="42"/>
        <v>675.89459815182659</v>
      </c>
      <c r="H116" s="6">
        <v>0.4</v>
      </c>
      <c r="I116" s="6">
        <v>1.5</v>
      </c>
      <c r="J116" s="6">
        <v>1</v>
      </c>
      <c r="K116" s="26">
        <f>M117/M116</f>
        <v>1.0242185404510606</v>
      </c>
      <c r="L116" s="6">
        <f t="shared" si="29"/>
        <v>76535.12361425109</v>
      </c>
      <c r="M116" s="6">
        <f t="shared" si="50"/>
        <v>547857.57349533099</v>
      </c>
      <c r="N116" s="6">
        <f t="shared" si="31"/>
        <v>101384.18972277398</v>
      </c>
      <c r="O116" s="6">
        <f t="shared" si="47"/>
        <v>0.4</v>
      </c>
      <c r="P116" s="6">
        <f t="shared" si="48"/>
        <v>1.5</v>
      </c>
      <c r="Q116" s="6">
        <f t="shared" si="49"/>
        <v>1</v>
      </c>
      <c r="R116" s="6"/>
      <c r="S116" s="38">
        <v>99</v>
      </c>
      <c r="T116" s="6">
        <f>VLOOKUP($S$13,角色设定!$AB$9:$AJ$21,MATCH(E$17,角色设定!$AB$9:$AJ$9,0),0)*Z116*$L$15*E116/Y116/(1+W116*(X116-1))</f>
        <v>60383.230643711082</v>
      </c>
      <c r="U116" s="6">
        <f>VLOOKUP($S$13,角色设定!$AB$9:$AJ$21,MATCH(F$17,角色设定!$AB$9:$AJ$9,0),0)*F116*$L$15/(1+V116/$N$16)</f>
        <v>363235.21810546715</v>
      </c>
      <c r="V116" s="6">
        <f>VLOOKUP($S$13,角色设定!$AB$9:$AJ$21,MATCH(V$17,角色设定!$AB$9:$AJ$9,0),0)*G116*$L$15</f>
        <v>447283.18995341461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1</v>
      </c>
      <c r="Z116" s="6">
        <f>VLOOKUP($S$13,角色设定!$AB$9:$AJ$21,MATCH(Z$17,角色设定!$AB$9:$AJ$9,0),0)</f>
        <v>0.9</v>
      </c>
      <c r="AA116" s="6"/>
      <c r="AB116" s="6"/>
      <c r="AC116" s="6">
        <f>T116*战斗公式!$E$39*(1+W116*(X116-1))*Y116</f>
        <v>1811496.9193113323</v>
      </c>
      <c r="AD116" s="6">
        <f>U116*战斗公式!$E$41*(1+V116*战斗公式!$E$40)</f>
        <v>1987925.2886818436</v>
      </c>
      <c r="AE116" s="22">
        <f t="shared" si="36"/>
        <v>3799422.2079931758</v>
      </c>
      <c r="AF116" s="22">
        <f t="shared" si="43"/>
        <v>180924.86704729404</v>
      </c>
      <c r="AG116" s="22"/>
      <c r="AH116" s="9">
        <f t="shared" si="37"/>
        <v>16907.304580239106</v>
      </c>
      <c r="AI116" s="9">
        <f t="shared" si="38"/>
        <v>101705.86106953082</v>
      </c>
      <c r="AJ116" s="9">
        <f t="shared" si="39"/>
        <v>125239.2931869561</v>
      </c>
      <c r="AK116" s="9">
        <f t="shared" si="44"/>
        <v>805.10974191615242</v>
      </c>
      <c r="AL116" s="9">
        <f t="shared" si="45"/>
        <v>920.77636002382496</v>
      </c>
      <c r="AM116" s="9">
        <f t="shared" si="46"/>
        <v>5963.7758660455438</v>
      </c>
    </row>
    <row r="117" spans="4:39" ht="14.25" customHeight="1" x14ac:dyDescent="0.2">
      <c r="D117" s="1">
        <v>100</v>
      </c>
      <c r="E117" s="6">
        <f t="shared" si="40"/>
        <v>918.42148337101298</v>
      </c>
      <c r="F117" s="6">
        <f t="shared" si="41"/>
        <v>7723.0897465289627</v>
      </c>
      <c r="G117" s="6">
        <f t="shared" si="42"/>
        <v>709.6893280594179</v>
      </c>
      <c r="H117" s="6">
        <v>0.4</v>
      </c>
      <c r="I117" s="6">
        <v>1.5</v>
      </c>
      <c r="J117" s="6">
        <v>1</v>
      </c>
      <c r="K117" s="26"/>
      <c r="L117" s="6">
        <f t="shared" si="29"/>
        <v>80361.879794963621</v>
      </c>
      <c r="M117" s="6">
        <f t="shared" si="50"/>
        <v>561125.88430044753</v>
      </c>
      <c r="N117" s="6">
        <f t="shared" si="31"/>
        <v>106453.39920891268</v>
      </c>
      <c r="O117" s="6">
        <f t="shared" si="47"/>
        <v>0.4</v>
      </c>
      <c r="P117" s="6">
        <f t="shared" si="48"/>
        <v>1.5</v>
      </c>
      <c r="Q117" s="6">
        <f t="shared" si="49"/>
        <v>1</v>
      </c>
      <c r="R117" s="6"/>
      <c r="S117" s="38">
        <v>100</v>
      </c>
      <c r="T117" s="6">
        <f>VLOOKUP($S$13,角色设定!$AB$9:$AJ$21,MATCH(E$17,角色设定!$AB$9:$AJ$9,0),0)*Z117*$L$15*E117/Y117/(1+W117*(X117-1))</f>
        <v>63402.392175896639</v>
      </c>
      <c r="U117" s="6">
        <f>VLOOKUP($S$13,角色设定!$AB$9:$AJ$21,MATCH(F$17,角色设定!$AB$9:$AJ$9,0),0)*F117*$L$15/(1+V117/$N$16)</f>
        <v>366423.46446925245</v>
      </c>
      <c r="V117" s="6">
        <f>VLOOKUP($S$13,角色设定!$AB$9:$AJ$21,MATCH(V$17,角色设定!$AB$9:$AJ$9,0),0)*G117*$L$15</f>
        <v>469647.34945108532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1</v>
      </c>
      <c r="Z117" s="6">
        <f>VLOOKUP($S$13,角色设定!$AB$9:$AJ$21,MATCH(Z$17,角色设定!$AB$9:$AJ$9,0),0)</f>
        <v>0.9</v>
      </c>
      <c r="AA117" s="6"/>
      <c r="AB117" s="6"/>
      <c r="AC117" s="6">
        <f>T117*战斗公式!$E$39*(1+W117*(X117-1))*Y117</f>
        <v>1902071.7652768991</v>
      </c>
      <c r="AD117" s="6">
        <f>U117*战斗公式!$E$41*(1+V117*战斗公式!$E$40)</f>
        <v>2087321.5531159362</v>
      </c>
      <c r="AE117" s="22">
        <f t="shared" si="36"/>
        <v>3989393.3183928356</v>
      </c>
      <c r="AF117" s="22">
        <f t="shared" si="43"/>
        <v>189971.11039965972</v>
      </c>
      <c r="AG117" s="22"/>
      <c r="AH117" s="9">
        <f t="shared" si="37"/>
        <v>17752.66980925106</v>
      </c>
      <c r="AI117" s="9">
        <f t="shared" si="38"/>
        <v>102598.57005139069</v>
      </c>
      <c r="AJ117" s="9">
        <f t="shared" si="39"/>
        <v>131501.2578463039</v>
      </c>
      <c r="AK117" s="9">
        <f t="shared" si="44"/>
        <v>845.36522901195349</v>
      </c>
      <c r="AL117" s="9">
        <f t="shared" si="45"/>
        <v>892.70898185987608</v>
      </c>
      <c r="AM117" s="9">
        <f t="shared" si="46"/>
        <v>6261.9646593477955</v>
      </c>
    </row>
    <row r="118" spans="4:39" ht="14.25" customHeight="1" x14ac:dyDescent="0.2">
      <c r="M118" s="6">
        <f>M117/L117</f>
        <v>6.9824882858901711</v>
      </c>
      <c r="N118" s="6">
        <f>M117/N117</f>
        <v>5.271094098172</v>
      </c>
      <c r="U118" s="6">
        <f>U117/T117</f>
        <v>5.7793318500142297</v>
      </c>
      <c r="V118" s="6">
        <f>U117/V117</f>
        <v>0.78020979975192251</v>
      </c>
      <c r="AI118" s="1">
        <f t="shared" ref="AI118" si="51">M118*$F$5*2</f>
        <v>3.9101934400984963</v>
      </c>
      <c r="AJ118" s="1">
        <f t="shared" ref="AJ118" si="52">N118*$F$5*2</f>
        <v>2.9518126949763204</v>
      </c>
      <c r="AK118" s="9">
        <f t="shared" si="44"/>
        <v>-17752.66980925106</v>
      </c>
      <c r="AL118" s="9">
        <f t="shared" si="45"/>
        <v>-102594.6598579506</v>
      </c>
      <c r="AM118" s="9">
        <f t="shared" si="46"/>
        <v>-131498.30603360891</v>
      </c>
    </row>
    <row r="119" spans="4:39" ht="14.25" customHeight="1" x14ac:dyDescent="0.2">
      <c r="L119" s="6">
        <f>L117/100</f>
        <v>803.61879794963625</v>
      </c>
      <c r="M119" s="6">
        <f>M117/100</f>
        <v>5611.2588430044752</v>
      </c>
      <c r="N119" s="6">
        <f t="shared" ref="N119" si="53">N117/100</f>
        <v>1064.5339920891267</v>
      </c>
    </row>
    <row r="121" spans="4:39" ht="14.25" customHeight="1" x14ac:dyDescent="0.2">
      <c r="L121" s="8">
        <f>L119*0.4</f>
        <v>321.44751917985451</v>
      </c>
      <c r="M121" s="8">
        <f>M119*0.4</f>
        <v>2244.5035372017901</v>
      </c>
      <c r="N121" s="8">
        <f>N119*4</f>
        <v>4258.135968356507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F6" sqref="F6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47" t="s">
        <v>185</v>
      </c>
      <c r="B1" s="48"/>
      <c r="AB1" s="9"/>
    </row>
    <row r="2" spans="1:33" ht="14.25" customHeight="1" x14ac:dyDescent="0.2">
      <c r="A2" s="49"/>
      <c r="B2" s="50"/>
      <c r="E2" s="24"/>
      <c r="AB2" s="9"/>
    </row>
    <row r="3" spans="1:33" ht="14.25" customHeight="1" x14ac:dyDescent="0.2">
      <c r="C3" s="3" t="s">
        <v>184</v>
      </c>
      <c r="D3" s="25" t="s">
        <v>119</v>
      </c>
      <c r="E3" s="3" t="s">
        <v>123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20"/>
      <c r="G6" s="20"/>
      <c r="H6" s="20"/>
      <c r="I6" s="20"/>
      <c r="J6" s="20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6"/>
      <c r="G7" s="36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6"/>
      <c r="G8" s="36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6"/>
      <c r="G9" s="36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6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2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40" t="s">
        <v>187</v>
      </c>
      <c r="D16" s="41" t="s">
        <v>186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167</v>
      </c>
      <c r="D17" s="1">
        <v>0.6</v>
      </c>
      <c r="E17" s="26"/>
      <c r="AC17" s="22"/>
    </row>
    <row r="18" spans="2:37" ht="14.25" customHeight="1" x14ac:dyDescent="0.2">
      <c r="C18" s="6" t="s">
        <v>188</v>
      </c>
      <c r="D18" s="1">
        <v>0.8</v>
      </c>
    </row>
    <row r="19" spans="2:37" ht="14.25" customHeight="1" x14ac:dyDescent="0.2">
      <c r="C19" s="6" t="s">
        <v>189</v>
      </c>
      <c r="D19" s="1">
        <v>1</v>
      </c>
      <c r="E19" s="6"/>
      <c r="F19" s="6"/>
      <c r="G19" s="6"/>
      <c r="H19" s="6"/>
      <c r="I19" s="26"/>
      <c r="J19" s="6"/>
      <c r="K19" s="6"/>
      <c r="L19" s="6"/>
      <c r="M19" s="6"/>
      <c r="N19" s="6"/>
      <c r="O19" s="6"/>
      <c r="P19" s="6"/>
      <c r="Q19" s="38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2"/>
      <c r="AF19" s="9"/>
      <c r="AG19" s="9"/>
      <c r="AH19" s="9"/>
    </row>
    <row r="20" spans="2:37" ht="14.25" customHeight="1" x14ac:dyDescent="0.2">
      <c r="C20" s="6" t="s">
        <v>190</v>
      </c>
      <c r="D20" s="1">
        <v>1.2</v>
      </c>
      <c r="E20" s="6"/>
      <c r="F20" s="6"/>
      <c r="G20" s="6"/>
      <c r="H20" s="6"/>
      <c r="I20" s="26"/>
      <c r="J20" s="6"/>
      <c r="K20" s="6"/>
      <c r="L20" s="6"/>
      <c r="M20" s="6"/>
      <c r="N20" s="6"/>
      <c r="O20" s="6"/>
      <c r="P20" s="6"/>
      <c r="Q20" s="38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2"/>
      <c r="AD20" s="22"/>
      <c r="AE20" s="22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6"/>
      <c r="J21" s="6"/>
      <c r="K21" s="6"/>
      <c r="L21" s="6"/>
      <c r="M21" s="6"/>
      <c r="N21" s="6"/>
      <c r="O21" s="6"/>
      <c r="P21" s="6"/>
      <c r="Q21" s="38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2"/>
      <c r="AD21" s="22"/>
      <c r="AE21" s="22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6"/>
      <c r="J22" s="6"/>
      <c r="K22" s="6"/>
      <c r="L22" s="6"/>
      <c r="M22" s="6"/>
      <c r="N22" s="6"/>
      <c r="O22" s="6"/>
      <c r="P22" s="6"/>
      <c r="Q22" s="38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2"/>
      <c r="AD22" s="22"/>
      <c r="AE22" s="22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6"/>
      <c r="J23" s="6"/>
      <c r="K23" s="6"/>
      <c r="L23" s="6"/>
      <c r="M23" s="6"/>
      <c r="N23" s="6"/>
      <c r="O23" s="6"/>
      <c r="P23" s="6"/>
      <c r="Q23" s="38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2"/>
      <c r="AD23" s="22"/>
      <c r="AE23" s="22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6"/>
      <c r="J24" s="6"/>
      <c r="K24" s="6"/>
      <c r="L24" s="6"/>
      <c r="M24" s="6"/>
      <c r="N24" s="6"/>
      <c r="O24" s="6"/>
      <c r="P24" s="6"/>
      <c r="Q24" s="38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2"/>
      <c r="AD24" s="22"/>
      <c r="AE24" s="22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6"/>
      <c r="J25" s="6"/>
      <c r="K25" s="6"/>
      <c r="L25" s="6"/>
      <c r="M25" s="6"/>
      <c r="N25" s="6"/>
      <c r="O25" s="6"/>
      <c r="P25" s="6"/>
      <c r="Q25" s="38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2"/>
      <c r="AD25" s="22"/>
      <c r="AE25" s="22"/>
      <c r="AF25" s="9"/>
      <c r="AG25" s="9"/>
      <c r="AH25" s="9"/>
      <c r="AI25" s="9"/>
      <c r="AJ25" s="9"/>
      <c r="AK25" s="9"/>
    </row>
    <row r="26" spans="2:37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/>
      <c r="M26" s="6"/>
      <c r="N26" s="6"/>
      <c r="O26" s="6"/>
      <c r="P26" s="6"/>
      <c r="Q26" s="38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2"/>
      <c r="AD26" s="22"/>
      <c r="AE26" s="22"/>
      <c r="AF26" s="9"/>
      <c r="AG26" s="9"/>
      <c r="AH26" s="9"/>
      <c r="AI26" s="9"/>
      <c r="AJ26" s="9"/>
      <c r="AK26" s="9"/>
    </row>
    <row r="27" spans="2:37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/>
      <c r="M27" s="6"/>
      <c r="N27" s="6"/>
      <c r="O27" s="6"/>
      <c r="P27" s="6"/>
      <c r="Q27" s="38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2"/>
      <c r="AD27" s="22"/>
      <c r="AE27" s="22"/>
      <c r="AF27" s="9"/>
      <c r="AG27" s="9"/>
      <c r="AH27" s="9"/>
      <c r="AI27" s="9"/>
      <c r="AJ27" s="9"/>
      <c r="AK27" s="9"/>
    </row>
    <row r="28" spans="2:37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/>
      <c r="M28" s="6"/>
      <c r="N28" s="6"/>
      <c r="O28" s="6"/>
      <c r="P28" s="6"/>
      <c r="Q28" s="38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2"/>
      <c r="AD28" s="22"/>
      <c r="AE28" s="22"/>
      <c r="AF28" s="9"/>
      <c r="AG28" s="9"/>
      <c r="AH28" s="9"/>
      <c r="AI28" s="9"/>
      <c r="AJ28" s="9"/>
      <c r="AK28" s="9"/>
    </row>
    <row r="29" spans="2:37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/>
      <c r="M29" s="6"/>
      <c r="N29" s="6"/>
      <c r="O29" s="6"/>
      <c r="P29" s="6"/>
      <c r="Q29" s="38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2"/>
      <c r="AD29" s="22"/>
      <c r="AE29" s="22"/>
      <c r="AF29" s="9"/>
      <c r="AG29" s="9"/>
      <c r="AH29" s="9"/>
      <c r="AI29" s="9"/>
      <c r="AJ29" s="9"/>
      <c r="AK29" s="9"/>
    </row>
    <row r="30" spans="2:37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/>
      <c r="M30" s="6"/>
      <c r="N30" s="6"/>
      <c r="O30" s="6"/>
      <c r="P30" s="6"/>
      <c r="Q30" s="38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2"/>
      <c r="AD30" s="22"/>
      <c r="AE30" s="22"/>
      <c r="AF30" s="9"/>
      <c r="AG30" s="9"/>
      <c r="AH30" s="9"/>
      <c r="AI30" s="9"/>
      <c r="AJ30" s="9"/>
      <c r="AK30" s="9"/>
    </row>
    <row r="31" spans="2:37" ht="14.25" customHeight="1" x14ac:dyDescent="0.2">
      <c r="B31" s="33"/>
      <c r="C31" s="6"/>
      <c r="E31" s="6"/>
      <c r="F31" s="6"/>
      <c r="G31" s="6"/>
      <c r="H31" s="6"/>
      <c r="I31" s="26"/>
      <c r="J31" s="6"/>
      <c r="K31" s="6"/>
      <c r="L31" s="6"/>
      <c r="M31" s="6"/>
      <c r="N31" s="6"/>
      <c r="O31" s="6"/>
      <c r="P31" s="6"/>
      <c r="Q31" s="38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2"/>
      <c r="AD31" s="22"/>
      <c r="AE31" s="22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6"/>
      <c r="J32" s="6"/>
      <c r="K32" s="6"/>
      <c r="L32" s="6"/>
      <c r="M32" s="6"/>
      <c r="N32" s="6"/>
      <c r="O32" s="6"/>
      <c r="P32" s="6"/>
      <c r="Q32" s="38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2"/>
      <c r="AD32" s="22"/>
      <c r="AE32" s="22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6"/>
      <c r="J33" s="6"/>
      <c r="K33" s="6"/>
      <c r="L33" s="6"/>
      <c r="M33" s="6"/>
      <c r="N33" s="6"/>
      <c r="O33" s="6"/>
      <c r="P33" s="6"/>
      <c r="Q33" s="38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2"/>
      <c r="AD33" s="22"/>
      <c r="AE33" s="22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6"/>
      <c r="J34" s="6"/>
      <c r="K34" s="6"/>
      <c r="L34" s="6"/>
      <c r="M34" s="6"/>
      <c r="N34" s="6"/>
      <c r="O34" s="6"/>
      <c r="P34" s="6"/>
      <c r="Q34" s="38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2"/>
      <c r="AD34" s="22"/>
      <c r="AE34" s="22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6"/>
      <c r="J35" s="6"/>
      <c r="K35" s="6"/>
      <c r="L35" s="6"/>
      <c r="M35" s="6"/>
      <c r="N35" s="6"/>
      <c r="O35" s="6"/>
      <c r="P35" s="6"/>
      <c r="Q35" s="38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2"/>
      <c r="AD35" s="22"/>
      <c r="AE35" s="22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6"/>
      <c r="J36" s="6"/>
      <c r="K36" s="6"/>
      <c r="L36" s="6"/>
      <c r="M36" s="6"/>
      <c r="N36" s="6"/>
      <c r="O36" s="6"/>
      <c r="P36" s="6"/>
      <c r="Q36" s="38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2"/>
      <c r="AD36" s="22"/>
      <c r="AE36" s="22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6"/>
      <c r="J37" s="6"/>
      <c r="K37" s="6"/>
      <c r="L37" s="6"/>
      <c r="M37" s="6"/>
      <c r="N37" s="6"/>
      <c r="O37" s="6"/>
      <c r="P37" s="6"/>
      <c r="Q37" s="38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2"/>
      <c r="AD37" s="22"/>
      <c r="AE37" s="22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6"/>
      <c r="J38" s="6"/>
      <c r="K38" s="6"/>
      <c r="L38" s="6"/>
      <c r="M38" s="6"/>
      <c r="N38" s="6"/>
      <c r="O38" s="6"/>
      <c r="P38" s="6"/>
      <c r="Q38" s="38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2"/>
      <c r="AD38" s="22"/>
      <c r="AE38" s="22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6"/>
      <c r="J39" s="6"/>
      <c r="K39" s="6"/>
      <c r="L39" s="6"/>
      <c r="M39" s="6"/>
      <c r="N39" s="6"/>
      <c r="O39" s="6"/>
      <c r="P39" s="6"/>
      <c r="Q39" s="38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2"/>
      <c r="AD39" s="22"/>
      <c r="AE39" s="22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6"/>
      <c r="J40" s="6"/>
      <c r="K40" s="6"/>
      <c r="L40" s="6"/>
      <c r="M40" s="6"/>
      <c r="N40" s="6"/>
      <c r="O40" s="6"/>
      <c r="P40" s="6"/>
      <c r="Q40" s="38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2"/>
      <c r="AD40" s="22"/>
      <c r="AE40" s="22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6"/>
      <c r="J41" s="6"/>
      <c r="K41" s="6"/>
      <c r="L41" s="6"/>
      <c r="M41" s="6"/>
      <c r="N41" s="6"/>
      <c r="O41" s="6"/>
      <c r="P41" s="6"/>
      <c r="Q41" s="38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2"/>
      <c r="AD41" s="22"/>
      <c r="AE41" s="22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6"/>
      <c r="J42" s="6"/>
      <c r="K42" s="6"/>
      <c r="L42" s="6"/>
      <c r="M42" s="6"/>
      <c r="N42" s="6"/>
      <c r="O42" s="6"/>
      <c r="P42" s="6"/>
      <c r="Q42" s="38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2"/>
      <c r="AD42" s="22"/>
      <c r="AE42" s="22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6"/>
      <c r="J43" s="6"/>
      <c r="K43" s="6"/>
      <c r="L43" s="6"/>
      <c r="M43" s="6"/>
      <c r="N43" s="6"/>
      <c r="O43" s="6"/>
      <c r="P43" s="6"/>
      <c r="Q43" s="38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2"/>
      <c r="AD43" s="22"/>
      <c r="AE43" s="22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6"/>
      <c r="J44" s="6"/>
      <c r="K44" s="6"/>
      <c r="L44" s="6"/>
      <c r="M44" s="6"/>
      <c r="N44" s="6"/>
      <c r="O44" s="6"/>
      <c r="P44" s="6"/>
      <c r="Q44" s="38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2"/>
      <c r="AD44" s="22"/>
      <c r="AE44" s="22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6"/>
      <c r="J45" s="6"/>
      <c r="K45" s="6"/>
      <c r="L45" s="6"/>
      <c r="M45" s="6"/>
      <c r="N45" s="6"/>
      <c r="O45" s="6"/>
      <c r="P45" s="6"/>
      <c r="Q45" s="38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2"/>
      <c r="AD45" s="22"/>
      <c r="AE45" s="22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6"/>
      <c r="J46" s="6"/>
      <c r="K46" s="6"/>
      <c r="L46" s="6"/>
      <c r="M46" s="6"/>
      <c r="N46" s="6"/>
      <c r="O46" s="6"/>
      <c r="P46" s="6"/>
      <c r="Q46" s="38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2"/>
      <c r="AD46" s="22"/>
      <c r="AE46" s="22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6"/>
      <c r="J47" s="6"/>
      <c r="K47" s="6"/>
      <c r="L47" s="6"/>
      <c r="M47" s="6"/>
      <c r="N47" s="6"/>
      <c r="O47" s="6"/>
      <c r="P47" s="6"/>
      <c r="Q47" s="38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2"/>
      <c r="AD47" s="22"/>
      <c r="AE47" s="22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6"/>
      <c r="J48" s="6"/>
      <c r="K48" s="6"/>
      <c r="L48" s="6"/>
      <c r="M48" s="6"/>
      <c r="N48" s="6"/>
      <c r="O48" s="6"/>
      <c r="P48" s="6"/>
      <c r="Q48" s="38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2"/>
      <c r="AD48" s="22"/>
      <c r="AE48" s="22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6"/>
      <c r="J49" s="6"/>
      <c r="K49" s="6"/>
      <c r="L49" s="6"/>
      <c r="M49" s="6"/>
      <c r="N49" s="6"/>
      <c r="O49" s="6"/>
      <c r="P49" s="6"/>
      <c r="Q49" s="38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2"/>
      <c r="AD49" s="22"/>
      <c r="AE49" s="22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6"/>
      <c r="J50" s="6"/>
      <c r="K50" s="6"/>
      <c r="L50" s="6"/>
      <c r="M50" s="6"/>
      <c r="N50" s="6"/>
      <c r="O50" s="6"/>
      <c r="P50" s="6"/>
      <c r="Q50" s="38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2"/>
      <c r="AD50" s="22"/>
      <c r="AE50" s="22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6"/>
      <c r="J51" s="6"/>
      <c r="K51" s="6"/>
      <c r="L51" s="6"/>
      <c r="M51" s="6"/>
      <c r="N51" s="6"/>
      <c r="O51" s="6"/>
      <c r="P51" s="6"/>
      <c r="Q51" s="38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2"/>
      <c r="AD51" s="22"/>
      <c r="AE51" s="22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6"/>
      <c r="J52" s="6"/>
      <c r="K52" s="6"/>
      <c r="L52" s="6"/>
      <c r="M52" s="6"/>
      <c r="N52" s="6"/>
      <c r="O52" s="6"/>
      <c r="P52" s="6"/>
      <c r="Q52" s="38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2"/>
      <c r="AD52" s="22"/>
      <c r="AE52" s="22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6"/>
      <c r="J53" s="6"/>
      <c r="K53" s="6"/>
      <c r="L53" s="6"/>
      <c r="M53" s="6"/>
      <c r="N53" s="6"/>
      <c r="O53" s="6"/>
      <c r="P53" s="6"/>
      <c r="Q53" s="38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2"/>
      <c r="AD53" s="22"/>
      <c r="AE53" s="22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6"/>
      <c r="J54" s="6"/>
      <c r="K54" s="6"/>
      <c r="L54" s="6"/>
      <c r="M54" s="6"/>
      <c r="N54" s="6"/>
      <c r="O54" s="6"/>
      <c r="P54" s="6"/>
      <c r="Q54" s="38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2"/>
      <c r="AD54" s="22"/>
      <c r="AE54" s="22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6"/>
      <c r="J55" s="6"/>
      <c r="K55" s="6"/>
      <c r="L55" s="6"/>
      <c r="M55" s="6"/>
      <c r="N55" s="6"/>
      <c r="O55" s="6"/>
      <c r="P55" s="6"/>
      <c r="Q55" s="38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2"/>
      <c r="AD55" s="22"/>
      <c r="AE55" s="22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6"/>
      <c r="J56" s="6"/>
      <c r="K56" s="6"/>
      <c r="L56" s="6"/>
      <c r="M56" s="6"/>
      <c r="N56" s="6"/>
      <c r="O56" s="6"/>
      <c r="P56" s="6"/>
      <c r="Q56" s="38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2"/>
      <c r="AD56" s="22"/>
      <c r="AE56" s="22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6"/>
      <c r="J57" s="6"/>
      <c r="K57" s="6"/>
      <c r="L57" s="6"/>
      <c r="M57" s="6"/>
      <c r="N57" s="6"/>
      <c r="O57" s="6"/>
      <c r="P57" s="6"/>
      <c r="Q57" s="38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2"/>
      <c r="AD57" s="22"/>
      <c r="AE57" s="22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6"/>
      <c r="J58" s="6"/>
      <c r="K58" s="6"/>
      <c r="L58" s="6"/>
      <c r="M58" s="6"/>
      <c r="N58" s="6"/>
      <c r="O58" s="6"/>
      <c r="P58" s="6"/>
      <c r="Q58" s="38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2"/>
      <c r="AD58" s="22"/>
      <c r="AE58" s="22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6"/>
      <c r="J59" s="6"/>
      <c r="K59" s="6"/>
      <c r="L59" s="6"/>
      <c r="M59" s="6"/>
      <c r="N59" s="6"/>
      <c r="O59" s="6"/>
      <c r="P59" s="6"/>
      <c r="Q59" s="38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2"/>
      <c r="AD59" s="22"/>
      <c r="AE59" s="22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6"/>
      <c r="J60" s="6"/>
      <c r="K60" s="6"/>
      <c r="L60" s="6"/>
      <c r="M60" s="6"/>
      <c r="N60" s="6"/>
      <c r="O60" s="6"/>
      <c r="P60" s="6"/>
      <c r="Q60" s="38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2"/>
      <c r="AD60" s="22"/>
      <c r="AE60" s="22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6"/>
      <c r="J61" s="6"/>
      <c r="K61" s="6"/>
      <c r="L61" s="6"/>
      <c r="M61" s="6"/>
      <c r="N61" s="6"/>
      <c r="O61" s="6"/>
      <c r="P61" s="6"/>
      <c r="Q61" s="38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2"/>
      <c r="AD61" s="22"/>
      <c r="AE61" s="22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6"/>
      <c r="J62" s="6"/>
      <c r="K62" s="6"/>
      <c r="L62" s="6"/>
      <c r="M62" s="6"/>
      <c r="N62" s="6"/>
      <c r="O62" s="6"/>
      <c r="P62" s="6"/>
      <c r="Q62" s="38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2"/>
      <c r="AD62" s="22"/>
      <c r="AE62" s="22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6"/>
      <c r="J63" s="6"/>
      <c r="K63" s="6"/>
      <c r="L63" s="6"/>
      <c r="M63" s="6"/>
      <c r="N63" s="6"/>
      <c r="O63" s="6"/>
      <c r="P63" s="6"/>
      <c r="Q63" s="38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2"/>
      <c r="AD63" s="22"/>
      <c r="AE63" s="22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6"/>
      <c r="J64" s="6"/>
      <c r="K64" s="6"/>
      <c r="L64" s="6"/>
      <c r="M64" s="6"/>
      <c r="N64" s="6"/>
      <c r="O64" s="6"/>
      <c r="P64" s="6"/>
      <c r="Q64" s="38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2"/>
      <c r="AD64" s="22"/>
      <c r="AE64" s="22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6"/>
      <c r="J65" s="6"/>
      <c r="K65" s="6"/>
      <c r="L65" s="6"/>
      <c r="M65" s="6"/>
      <c r="N65" s="6"/>
      <c r="O65" s="6"/>
      <c r="P65" s="6"/>
      <c r="Q65" s="38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2"/>
      <c r="AD65" s="22"/>
      <c r="AE65" s="22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6"/>
      <c r="J66" s="6"/>
      <c r="K66" s="6"/>
      <c r="L66" s="6"/>
      <c r="M66" s="6"/>
      <c r="N66" s="6"/>
      <c r="O66" s="6"/>
      <c r="P66" s="6"/>
      <c r="Q66" s="38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2"/>
      <c r="AD66" s="22"/>
      <c r="AE66" s="22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6"/>
      <c r="J67" s="6"/>
      <c r="K67" s="6"/>
      <c r="L67" s="6"/>
      <c r="M67" s="6"/>
      <c r="N67" s="6"/>
      <c r="O67" s="6"/>
      <c r="P67" s="6"/>
      <c r="Q67" s="38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2"/>
      <c r="AD67" s="22"/>
      <c r="AE67" s="22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6"/>
      <c r="J68" s="6"/>
      <c r="K68" s="6"/>
      <c r="L68" s="6"/>
      <c r="M68" s="6"/>
      <c r="N68" s="6"/>
      <c r="O68" s="6"/>
      <c r="P68" s="6"/>
      <c r="Q68" s="38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2"/>
      <c r="AD68" s="22"/>
      <c r="AE68" s="22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6"/>
      <c r="J69" s="6"/>
      <c r="K69" s="6"/>
      <c r="L69" s="6"/>
      <c r="M69" s="6"/>
      <c r="N69" s="6"/>
      <c r="O69" s="6"/>
      <c r="P69" s="6"/>
      <c r="Q69" s="38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2"/>
      <c r="AD69" s="22"/>
      <c r="AE69" s="22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6"/>
      <c r="J70" s="6"/>
      <c r="K70" s="6"/>
      <c r="L70" s="6"/>
      <c r="M70" s="6"/>
      <c r="N70" s="6"/>
      <c r="O70" s="6"/>
      <c r="P70" s="6"/>
      <c r="Q70" s="38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2"/>
      <c r="AD70" s="22"/>
      <c r="AE70" s="22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6"/>
      <c r="J71" s="6"/>
      <c r="K71" s="6"/>
      <c r="L71" s="6"/>
      <c r="M71" s="6"/>
      <c r="N71" s="6"/>
      <c r="O71" s="6"/>
      <c r="P71" s="6"/>
      <c r="Q71" s="38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2"/>
      <c r="AD71" s="22"/>
      <c r="AE71" s="22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6"/>
      <c r="J72" s="6"/>
      <c r="K72" s="6"/>
      <c r="L72" s="6"/>
      <c r="M72" s="6"/>
      <c r="N72" s="6"/>
      <c r="O72" s="6"/>
      <c r="P72" s="6"/>
      <c r="Q72" s="38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2"/>
      <c r="AD72" s="22"/>
      <c r="AE72" s="22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6"/>
      <c r="J73" s="6"/>
      <c r="K73" s="6"/>
      <c r="L73" s="6"/>
      <c r="M73" s="6"/>
      <c r="N73" s="6"/>
      <c r="O73" s="6"/>
      <c r="P73" s="6"/>
      <c r="Q73" s="38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2"/>
      <c r="AD73" s="22"/>
      <c r="AE73" s="22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6"/>
      <c r="J74" s="6"/>
      <c r="K74" s="6"/>
      <c r="L74" s="6"/>
      <c r="M74" s="6"/>
      <c r="N74" s="6"/>
      <c r="O74" s="6"/>
      <c r="P74" s="6"/>
      <c r="Q74" s="38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2"/>
      <c r="AD74" s="22"/>
      <c r="AE74" s="22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6"/>
      <c r="J75" s="6"/>
      <c r="K75" s="6"/>
      <c r="L75" s="6"/>
      <c r="M75" s="6"/>
      <c r="N75" s="6"/>
      <c r="O75" s="6"/>
      <c r="P75" s="6"/>
      <c r="Q75" s="38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2"/>
      <c r="AD75" s="22"/>
      <c r="AE75" s="22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6"/>
      <c r="J76" s="6"/>
      <c r="K76" s="6"/>
      <c r="L76" s="6"/>
      <c r="M76" s="6"/>
      <c r="N76" s="6"/>
      <c r="O76" s="6"/>
      <c r="P76" s="6"/>
      <c r="Q76" s="38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2"/>
      <c r="AD76" s="22"/>
      <c r="AE76" s="22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6"/>
      <c r="J77" s="6"/>
      <c r="K77" s="6"/>
      <c r="L77" s="6"/>
      <c r="M77" s="6"/>
      <c r="N77" s="6"/>
      <c r="O77" s="6"/>
      <c r="P77" s="6"/>
      <c r="Q77" s="38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2"/>
      <c r="AD77" s="22"/>
      <c r="AE77" s="22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6"/>
      <c r="J78" s="6"/>
      <c r="K78" s="6"/>
      <c r="L78" s="6"/>
      <c r="M78" s="6"/>
      <c r="N78" s="6"/>
      <c r="O78" s="6"/>
      <c r="P78" s="6"/>
      <c r="Q78" s="38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2"/>
      <c r="AD78" s="22"/>
      <c r="AE78" s="22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6"/>
      <c r="J79" s="6"/>
      <c r="K79" s="6"/>
      <c r="L79" s="6"/>
      <c r="M79" s="6"/>
      <c r="N79" s="6"/>
      <c r="O79" s="6"/>
      <c r="P79" s="6"/>
      <c r="Q79" s="38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2"/>
      <c r="AD79" s="22"/>
      <c r="AE79" s="22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6"/>
      <c r="J80" s="6"/>
      <c r="K80" s="6"/>
      <c r="L80" s="6"/>
      <c r="M80" s="6"/>
      <c r="N80" s="6"/>
      <c r="O80" s="6"/>
      <c r="P80" s="6"/>
      <c r="Q80" s="38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2"/>
      <c r="AD80" s="22"/>
      <c r="AE80" s="22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6"/>
      <c r="J81" s="6"/>
      <c r="K81" s="6"/>
      <c r="L81" s="6"/>
      <c r="M81" s="6"/>
      <c r="N81" s="6"/>
      <c r="O81" s="6"/>
      <c r="P81" s="6"/>
      <c r="Q81" s="38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2"/>
      <c r="AD81" s="22"/>
      <c r="AE81" s="22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6"/>
      <c r="J82" s="6"/>
      <c r="K82" s="6"/>
      <c r="L82" s="6"/>
      <c r="M82" s="6"/>
      <c r="N82" s="6"/>
      <c r="O82" s="6"/>
      <c r="P82" s="6"/>
      <c r="Q82" s="38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2"/>
      <c r="AD82" s="22"/>
      <c r="AE82" s="22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6"/>
      <c r="J83" s="6"/>
      <c r="K83" s="6"/>
      <c r="L83" s="6"/>
      <c r="M83" s="6"/>
      <c r="N83" s="6"/>
      <c r="O83" s="6"/>
      <c r="P83" s="6"/>
      <c r="Q83" s="38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2"/>
      <c r="AD83" s="22"/>
      <c r="AE83" s="22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6"/>
      <c r="J84" s="6"/>
      <c r="K84" s="6"/>
      <c r="L84" s="6"/>
      <c r="M84" s="6"/>
      <c r="N84" s="6"/>
      <c r="O84" s="6"/>
      <c r="P84" s="6"/>
      <c r="Q84" s="38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2"/>
      <c r="AD84" s="22"/>
      <c r="AE84" s="22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6"/>
      <c r="J85" s="6"/>
      <c r="K85" s="6"/>
      <c r="L85" s="6"/>
      <c r="M85" s="6"/>
      <c r="N85" s="6"/>
      <c r="O85" s="6"/>
      <c r="P85" s="6"/>
      <c r="Q85" s="38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2"/>
      <c r="AD85" s="22"/>
      <c r="AE85" s="22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6"/>
      <c r="J86" s="6"/>
      <c r="K86" s="6"/>
      <c r="L86" s="6"/>
      <c r="M86" s="6"/>
      <c r="N86" s="6"/>
      <c r="O86" s="6"/>
      <c r="P86" s="6"/>
      <c r="Q86" s="38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2"/>
      <c r="AD86" s="22"/>
      <c r="AE86" s="22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6"/>
      <c r="J87" s="6"/>
      <c r="K87" s="6"/>
      <c r="L87" s="6"/>
      <c r="M87" s="6"/>
      <c r="N87" s="6"/>
      <c r="O87" s="6"/>
      <c r="P87" s="6"/>
      <c r="Q87" s="38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2"/>
      <c r="AD87" s="22"/>
      <c r="AE87" s="22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6"/>
      <c r="J88" s="6"/>
      <c r="K88" s="6"/>
      <c r="L88" s="6"/>
      <c r="M88" s="6"/>
      <c r="N88" s="6"/>
      <c r="O88" s="6"/>
      <c r="P88" s="6"/>
      <c r="Q88" s="38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2"/>
      <c r="AD88" s="22"/>
      <c r="AE88" s="22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6"/>
      <c r="J89" s="6"/>
      <c r="K89" s="6"/>
      <c r="L89" s="6"/>
      <c r="M89" s="6"/>
      <c r="N89" s="6"/>
      <c r="O89" s="6"/>
      <c r="P89" s="6"/>
      <c r="Q89" s="38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2"/>
      <c r="AD89" s="22"/>
      <c r="AE89" s="22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6"/>
      <c r="J90" s="6"/>
      <c r="K90" s="6"/>
      <c r="L90" s="6"/>
      <c r="M90" s="6"/>
      <c r="N90" s="6"/>
      <c r="O90" s="6"/>
      <c r="P90" s="6"/>
      <c r="Q90" s="38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2"/>
      <c r="AD90" s="22"/>
      <c r="AE90" s="22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6"/>
      <c r="J91" s="6"/>
      <c r="K91" s="6"/>
      <c r="L91" s="6"/>
      <c r="M91" s="6"/>
      <c r="N91" s="6"/>
      <c r="O91" s="6"/>
      <c r="P91" s="6"/>
      <c r="Q91" s="38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2"/>
      <c r="AD91" s="22"/>
      <c r="AE91" s="22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6"/>
      <c r="J92" s="6"/>
      <c r="K92" s="6"/>
      <c r="L92" s="6"/>
      <c r="M92" s="6"/>
      <c r="N92" s="6"/>
      <c r="O92" s="6"/>
      <c r="P92" s="6"/>
      <c r="Q92" s="38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2"/>
      <c r="AD92" s="22"/>
      <c r="AE92" s="22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6"/>
      <c r="J93" s="6"/>
      <c r="K93" s="6"/>
      <c r="L93" s="6"/>
      <c r="M93" s="6"/>
      <c r="N93" s="6"/>
      <c r="O93" s="6"/>
      <c r="P93" s="6"/>
      <c r="Q93" s="38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2"/>
      <c r="AD93" s="22"/>
      <c r="AE93" s="22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6"/>
      <c r="J94" s="6"/>
      <c r="K94" s="6"/>
      <c r="L94" s="6"/>
      <c r="M94" s="6"/>
      <c r="N94" s="6"/>
      <c r="O94" s="6"/>
      <c r="P94" s="6"/>
      <c r="Q94" s="38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2"/>
      <c r="AD94" s="22"/>
      <c r="AE94" s="22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6"/>
      <c r="J95" s="6"/>
      <c r="K95" s="6"/>
      <c r="L95" s="6"/>
      <c r="M95" s="6"/>
      <c r="N95" s="6"/>
      <c r="O95" s="6"/>
      <c r="P95" s="6"/>
      <c r="Q95" s="38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2"/>
      <c r="AD95" s="22"/>
      <c r="AE95" s="22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6"/>
      <c r="J96" s="6"/>
      <c r="K96" s="6"/>
      <c r="L96" s="6"/>
      <c r="M96" s="6"/>
      <c r="N96" s="6"/>
      <c r="O96" s="6"/>
      <c r="P96" s="6"/>
      <c r="Q96" s="38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2"/>
      <c r="AD96" s="22"/>
      <c r="AE96" s="22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6"/>
      <c r="J97" s="6"/>
      <c r="K97" s="6"/>
      <c r="L97" s="6"/>
      <c r="M97" s="6"/>
      <c r="N97" s="6"/>
      <c r="O97" s="6"/>
      <c r="P97" s="6"/>
      <c r="Q97" s="38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2"/>
      <c r="AD97" s="22"/>
      <c r="AE97" s="22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6"/>
      <c r="J98" s="6"/>
      <c r="K98" s="6"/>
      <c r="L98" s="6"/>
      <c r="M98" s="6"/>
      <c r="N98" s="6"/>
      <c r="O98" s="6"/>
      <c r="P98" s="6"/>
      <c r="Q98" s="38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2"/>
      <c r="AD98" s="22"/>
      <c r="AE98" s="22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6"/>
      <c r="J99" s="6"/>
      <c r="K99" s="6"/>
      <c r="L99" s="6"/>
      <c r="M99" s="6"/>
      <c r="N99" s="6"/>
      <c r="O99" s="6"/>
      <c r="P99" s="6"/>
      <c r="Q99" s="38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2"/>
      <c r="AD99" s="22"/>
      <c r="AE99" s="22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6"/>
      <c r="J100" s="6"/>
      <c r="K100" s="6"/>
      <c r="L100" s="6"/>
      <c r="M100" s="6"/>
      <c r="N100" s="6"/>
      <c r="O100" s="6"/>
      <c r="P100" s="6"/>
      <c r="Q100" s="38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2"/>
      <c r="AD100" s="22"/>
      <c r="AE100" s="22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6"/>
      <c r="J101" s="6"/>
      <c r="K101" s="6"/>
      <c r="L101" s="6"/>
      <c r="M101" s="6"/>
      <c r="N101" s="6"/>
      <c r="O101" s="6"/>
      <c r="P101" s="6"/>
      <c r="Q101" s="38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2"/>
      <c r="AD101" s="22"/>
      <c r="AE101" s="22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6"/>
      <c r="J102" s="6"/>
      <c r="K102" s="6"/>
      <c r="L102" s="6"/>
      <c r="M102" s="6"/>
      <c r="N102" s="6"/>
      <c r="O102" s="6"/>
      <c r="P102" s="6"/>
      <c r="Q102" s="38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2"/>
      <c r="AD102" s="22"/>
      <c r="AE102" s="22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6"/>
      <c r="J103" s="6"/>
      <c r="K103" s="6"/>
      <c r="L103" s="6"/>
      <c r="M103" s="6"/>
      <c r="N103" s="6"/>
      <c r="O103" s="6"/>
      <c r="P103" s="6"/>
      <c r="Q103" s="38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2"/>
      <c r="AD103" s="22"/>
      <c r="AE103" s="22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6"/>
      <c r="J104" s="6"/>
      <c r="K104" s="6"/>
      <c r="L104" s="6"/>
      <c r="M104" s="6"/>
      <c r="N104" s="6"/>
      <c r="O104" s="6"/>
      <c r="P104" s="6"/>
      <c r="Q104" s="38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2"/>
      <c r="AD104" s="22"/>
      <c r="AE104" s="22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2"/>
      <c r="AD105" s="22"/>
      <c r="AE105" s="22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2"/>
      <c r="AD106" s="22"/>
      <c r="AE106" s="22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2"/>
      <c r="AD107" s="22"/>
      <c r="AE107" s="22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2"/>
      <c r="AD108" s="22"/>
      <c r="AE108" s="22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2"/>
      <c r="AD109" s="22"/>
      <c r="AE109" s="22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2"/>
      <c r="AD110" s="22"/>
      <c r="AE110" s="22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2"/>
      <c r="AD111" s="22"/>
      <c r="AE111" s="22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2"/>
      <c r="AD112" s="22"/>
      <c r="AE112" s="22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2"/>
      <c r="AD113" s="22"/>
      <c r="AE113" s="22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2"/>
      <c r="AD114" s="22"/>
      <c r="AE114" s="22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2"/>
      <c r="AD115" s="22"/>
      <c r="AE115" s="22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2"/>
      <c r="AD116" s="22"/>
      <c r="AE116" s="22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2"/>
      <c r="AD117" s="22"/>
      <c r="AE117" s="22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6"/>
      <c r="J118" s="6"/>
      <c r="K118" s="6"/>
      <c r="L118" s="6"/>
      <c r="M118" s="6"/>
      <c r="N118" s="6"/>
      <c r="O118" s="6"/>
      <c r="P118" s="6"/>
      <c r="Q118" s="38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2"/>
      <c r="AD118" s="22"/>
      <c r="AE118" s="22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5" sqref="I5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47" t="s">
        <v>182</v>
      </c>
      <c r="B1" s="48"/>
      <c r="M1" s="3" t="s">
        <v>157</v>
      </c>
      <c r="N1" s="1" t="s">
        <v>263</v>
      </c>
      <c r="AC1" s="9"/>
    </row>
    <row r="2" spans="1:34" ht="14.25" customHeight="1" x14ac:dyDescent="0.2">
      <c r="A2" s="49"/>
      <c r="B2" s="50"/>
      <c r="M2" s="3" t="s">
        <v>187</v>
      </c>
      <c r="N2" s="1" t="s">
        <v>195</v>
      </c>
      <c r="O2" s="2" t="s">
        <v>200</v>
      </c>
      <c r="Y2" s="20">
        <f>角色设定!J26</f>
        <v>0.4</v>
      </c>
      <c r="Z2" s="20">
        <f>角色设定!K26</f>
        <v>1.5</v>
      </c>
      <c r="AC2" s="9"/>
    </row>
    <row r="3" spans="1:34" ht="14.25" customHeight="1" x14ac:dyDescent="0.2">
      <c r="C3" s="3" t="s">
        <v>192</v>
      </c>
      <c r="D3" s="2" t="s">
        <v>198</v>
      </c>
      <c r="L3" s="3" t="s">
        <v>193</v>
      </c>
      <c r="M3" s="3" t="s">
        <v>184</v>
      </c>
      <c r="N3" s="1">
        <v>10</v>
      </c>
      <c r="O3" s="66" t="str">
        <f>N2</f>
        <v>SSR</v>
      </c>
      <c r="P3" s="67"/>
      <c r="Q3" s="67"/>
      <c r="R3" s="67"/>
      <c r="S3" s="67"/>
      <c r="T3" s="37"/>
      <c r="U3" s="37"/>
      <c r="V3" s="66" t="s">
        <v>196</v>
      </c>
      <c r="W3" s="67"/>
      <c r="X3" s="67"/>
      <c r="Y3" s="67"/>
      <c r="Z3" s="67"/>
      <c r="AA3" s="67"/>
      <c r="AB3" s="68"/>
      <c r="AC3" s="9"/>
    </row>
    <row r="4" spans="1:34" s="3" customFormat="1" ht="14.25" customHeight="1" x14ac:dyDescent="0.2">
      <c r="D4" s="3" t="s">
        <v>157</v>
      </c>
      <c r="E4" s="3" t="s">
        <v>151</v>
      </c>
      <c r="F4" s="3" t="s">
        <v>153</v>
      </c>
      <c r="G4" s="3" t="s">
        <v>154</v>
      </c>
      <c r="H4" s="3" t="s">
        <v>145</v>
      </c>
      <c r="I4" s="3" t="s">
        <v>148</v>
      </c>
      <c r="J4" s="3" t="s">
        <v>175</v>
      </c>
      <c r="K4" s="1"/>
      <c r="L4" s="6">
        <f>MIN(L5:L104)</f>
        <v>0.21845874393053835</v>
      </c>
      <c r="M4" s="3" t="s">
        <v>194</v>
      </c>
      <c r="N4" s="3" t="s">
        <v>173</v>
      </c>
      <c r="O4" s="3" t="s">
        <v>174</v>
      </c>
      <c r="P4" s="3" t="s">
        <v>145</v>
      </c>
      <c r="Q4" s="3" t="s">
        <v>146</v>
      </c>
      <c r="R4" s="3" t="s">
        <v>147</v>
      </c>
      <c r="S4" s="3" t="s">
        <v>148</v>
      </c>
      <c r="T4" s="3" t="s">
        <v>88</v>
      </c>
      <c r="U4" s="3" t="s">
        <v>197</v>
      </c>
      <c r="V4" s="3" t="s">
        <v>173</v>
      </c>
      <c r="W4" s="3" t="s">
        <v>174</v>
      </c>
      <c r="X4" s="3" t="s">
        <v>145</v>
      </c>
      <c r="Y4" s="25" t="s">
        <v>146</v>
      </c>
      <c r="Z4" s="25" t="s">
        <v>147</v>
      </c>
      <c r="AA4" s="3" t="s">
        <v>148</v>
      </c>
      <c r="AB4" s="3" t="s">
        <v>175</v>
      </c>
      <c r="AC4" s="9"/>
    </row>
    <row r="5" spans="1:34" ht="14.25" customHeight="1" x14ac:dyDescent="0.2">
      <c r="D5" s="32" t="s">
        <v>263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0.24545454545454548</v>
      </c>
      <c r="G5" s="6">
        <f>VLOOKUP($D5,角色设定!$AB:$AJ,MATCH(G$4,角色设定!$AB$9:$AJ$9,0),0)*IF($E5=G$4,角色成长!$F$5,角色成长!$H$5)</f>
        <v>0.50450450450450457</v>
      </c>
      <c r="H5" s="6">
        <f>VLOOKUP($D5,角色设定!$AB:$AJ,MATCH(H$4,角色设定!$AB$9:$AJ$9,0),0)</f>
        <v>4.4117647058823524</v>
      </c>
      <c r="I5" s="1">
        <f>VLOOKUP($D5,角色设定!$AB:$AJ,MATCH(I$4,角色设定!$AB$9:$AJ$9,0),0)</f>
        <v>1</v>
      </c>
      <c r="J5" s="1">
        <f>VLOOKUP($D5,角色设定!$AB:$AJ,MATCH(J$4,角色设定!$AB$9:$AJ$9,0),0)</f>
        <v>0.9</v>
      </c>
      <c r="L5" s="6">
        <f>O5/P5</f>
        <v>1.1994645247657296</v>
      </c>
      <c r="M5" s="1">
        <v>1</v>
      </c>
      <c r="N5" s="6">
        <f>VLOOKUP($N$2,角色品星!$C$16:$D$20,2,0)*VLOOKUP($N$3,角色品星!$C$3:$E$14,3,0)*V5</f>
        <v>202.5</v>
      </c>
      <c r="O5" s="6">
        <f>VLOOKUP($N$2,角色品星!$C$16:$D$20,2,0)*VLOOKUP($N$3,角色品星!$C$3:$E$14,3,0)*W5</f>
        <v>4497.9919678714859</v>
      </c>
      <c r="P5" s="6">
        <f>VLOOKUP($N$2,角色品星!$C$16:$D$20,2,0)*VLOOKUP($N$3,角色品星!$C$3:$E$14,3,0)*X5</f>
        <v>3749.9999999999995</v>
      </c>
      <c r="Q5" s="24">
        <f>Y5</f>
        <v>0.05</v>
      </c>
      <c r="R5" s="24">
        <f t="shared" ref="R5:S5" si="0">Z5</f>
        <v>1.5</v>
      </c>
      <c r="S5" s="24">
        <f t="shared" si="0"/>
        <v>1</v>
      </c>
      <c r="T5" s="42">
        <f>N5*(1+Q5*(R5-1))*S5*战斗公式!$E$39+(P5*战斗公式!$E$40+1)*O5*战斗公式!$E$41</f>
        <v>9855.7291666666661</v>
      </c>
      <c r="U5" s="42">
        <f>T6-T5</f>
        <v>492.78645833333576</v>
      </c>
      <c r="V5" s="6">
        <f>VLOOKUP($N$1,$D$4:$J$15,MATCH(F$4,$D$4:$J$4,0),0)*角色成长!E18*角色成长!$L$15*AB5/AA5/(1+$Y$2*($Z$2-1))</f>
        <v>202.5</v>
      </c>
      <c r="W5" s="6">
        <f>VLOOKUP($N$1,$D$4:$J$15,MATCH(G$4,$D$4:$J$4,0),0)*角色成长!F18*角色成长!$L$15/(1+X5/角色成长!$N$16)</f>
        <v>4497.9919678714859</v>
      </c>
      <c r="X5" s="6">
        <f>VLOOKUP($N$1,$D$4:$J$15,MATCH(H$4,$D$4:$J$4,0),0)*角色成长!G18*角色成长!$L$15</f>
        <v>3749.9999999999995</v>
      </c>
      <c r="Y5" s="1">
        <v>0.05</v>
      </c>
      <c r="Z5" s="1">
        <v>1.5</v>
      </c>
      <c r="AA5" s="1">
        <f>VLOOKUP($N$1,$D$4:$J$15,MATCH(I$4,$D$4:$J$4,0),0)*角色成长!J18</f>
        <v>1</v>
      </c>
      <c r="AB5" s="1">
        <f t="shared" ref="AB5:AB36" si="1">VLOOKUP($N$1,$D$4:$J$15,MATCH(J$4,$D$4:$J$4,0),0)</f>
        <v>0.9</v>
      </c>
    </row>
    <row r="6" spans="1:34" ht="14.25" customHeight="1" x14ac:dyDescent="0.2">
      <c r="D6" s="32" t="s">
        <v>264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0.27272727272727276</v>
      </c>
      <c r="G6" s="6">
        <f>VLOOKUP($D6,角色设定!$AB:$AJ,MATCH(G$4,角色设定!$AB$9:$AJ$9,0),0)*IF($E6=G$4,角色成长!$F$5,角色成长!$H$5)</f>
        <v>0.45405405405405413</v>
      </c>
      <c r="H6" s="6">
        <f>VLOOKUP($D6,角色设定!$AB:$AJ,MATCH(H$4,角色设定!$AB$9:$AJ$9,0),0)</f>
        <v>3.5294117647058822</v>
      </c>
      <c r="I6" s="1">
        <f>VLOOKUP($D6,角色设定!$AB:$AJ,MATCH(I$4,角色设定!$AB$9:$AJ$9,0),0)</f>
        <v>1</v>
      </c>
      <c r="J6" s="1">
        <f>VLOOKUP($D6,角色设定!$AB:$AJ,MATCH(J$4,角色设定!$AB$9:$AJ$9,0),0)</f>
        <v>0.9</v>
      </c>
      <c r="L6" s="6">
        <f t="shared" ref="L6:L69" si="2">O6/P6</f>
        <v>1.1973007282688586</v>
      </c>
      <c r="M6" s="1">
        <v>2</v>
      </c>
      <c r="N6" s="6">
        <f>VLOOKUP($N$2,角色品星!$C$16:$D$20,2,0)*VLOOKUP($N$3,角色品星!$C$3:$E$14,3,0)*V6</f>
        <v>212.62500000000006</v>
      </c>
      <c r="O6" s="6">
        <f>VLOOKUP($N$2,角色品星!$C$16:$D$20,2,0)*VLOOKUP($N$3,角色品星!$C$3:$E$14,3,0)*W6</f>
        <v>4714.3716175586305</v>
      </c>
      <c r="P6" s="6">
        <f>VLOOKUP($N$2,角色品星!$C$16:$D$20,2,0)*VLOOKUP($N$3,角色品星!$C$3:$E$14,3,0)*X6</f>
        <v>3937.4999999999995</v>
      </c>
      <c r="Q6" s="24">
        <f t="shared" ref="Q6:Q69" si="3">Y6</f>
        <v>0.05</v>
      </c>
      <c r="R6" s="24">
        <f t="shared" ref="R6:R69" si="4">Z6</f>
        <v>1.5</v>
      </c>
      <c r="S6" s="24">
        <f t="shared" ref="S6:S69" si="5">AA6</f>
        <v>1</v>
      </c>
      <c r="T6" s="42">
        <f>N6*(1+Q6*(R6-1))*S6*战斗公式!$E$39+(P6*战斗公式!$E$40+1)*O6*战斗公式!$E$41</f>
        <v>10348.515625000002</v>
      </c>
      <c r="U6" s="42">
        <f t="shared" ref="U6:U69" si="6">T7-T6</f>
        <v>517.42578125000182</v>
      </c>
      <c r="V6" s="6">
        <f>VLOOKUP($N$1,$D$4:$J$15,MATCH(F$4,$D$4:$J$4,0),0)*角色成长!E19*角色成长!$L$15*AB6/AA6/(1+$Y$2*($Z$2-1))</f>
        <v>212.62500000000006</v>
      </c>
      <c r="W6" s="6">
        <f>VLOOKUP($N$1,$D$4:$J$15,MATCH(G$4,$D$4:$J$4,0),0)*角色成长!F19*角色成长!$L$15/(1+X6/角色成长!$N$16)</f>
        <v>4714.3716175586305</v>
      </c>
      <c r="X6" s="6">
        <f>VLOOKUP($N$1,$D$4:$J$15,MATCH(H$4,$D$4:$J$4,0),0)*角色成长!G19*角色成长!$L$15</f>
        <v>3937.4999999999995</v>
      </c>
      <c r="Y6" s="1">
        <v>0.05</v>
      </c>
      <c r="Z6" s="1">
        <v>1.5</v>
      </c>
      <c r="AA6" s="1">
        <f>VLOOKUP($N$1,$D$4:$J$15,MATCH(I$4,$D$4:$J$4,0),0)*角色成长!J19</f>
        <v>1</v>
      </c>
      <c r="AB6" s="1">
        <f t="shared" si="1"/>
        <v>0.9</v>
      </c>
    </row>
    <row r="7" spans="1:34" ht="14.25" customHeight="1" x14ac:dyDescent="0.2">
      <c r="D7" s="32" t="s">
        <v>265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0.21000000000000002</v>
      </c>
      <c r="G7" s="6">
        <f>VLOOKUP($D7,角色设定!$AB:$AJ,MATCH(G$4,角色设定!$AB$9:$AJ$9,0),0)*IF($E7=G$4,角色成长!$F$5,角色成长!$H$5)</f>
        <v>0.58968058968058967</v>
      </c>
      <c r="H7" s="6">
        <f>VLOOKUP($D7,角色设定!$AB:$AJ,MATCH(H$4,角色设定!$AB$9:$AJ$9,0),0)</f>
        <v>4.0588235294117645</v>
      </c>
      <c r="I7" s="1">
        <f>VLOOKUP($D7,角色设定!$AB:$AJ,MATCH(I$4,角色设定!$AB$9:$AJ$9,0),0)</f>
        <v>1.1000000000000001</v>
      </c>
      <c r="J7" s="1">
        <f>VLOOKUP($D7,角色设定!$AB:$AJ,MATCH(J$4,角色设定!$AB$9:$AJ$9,0),0)</f>
        <v>0.9</v>
      </c>
      <c r="L7" s="6">
        <f t="shared" si="2"/>
        <v>1.1950371281764016</v>
      </c>
      <c r="M7" s="1">
        <v>3</v>
      </c>
      <c r="N7" s="6">
        <f>VLOOKUP($N$2,角色品星!$C$16:$D$20,2,0)*VLOOKUP($N$3,角色品星!$C$3:$E$14,3,0)*V7</f>
        <v>223.25625000000008</v>
      </c>
      <c r="O7" s="6">
        <f>VLOOKUP($N$2,角色品星!$C$16:$D$20,2,0)*VLOOKUP($N$3,角色品星!$C$3:$E$14,3,0)*W7</f>
        <v>4940.7316268043105</v>
      </c>
      <c r="P7" s="6">
        <f>VLOOKUP($N$2,角色品星!$C$16:$D$20,2,0)*VLOOKUP($N$3,角色品星!$C$3:$E$14,3,0)*X7</f>
        <v>4134.375</v>
      </c>
      <c r="Q7" s="24">
        <f t="shared" si="3"/>
        <v>0.05</v>
      </c>
      <c r="R7" s="24">
        <f t="shared" si="4"/>
        <v>1.5</v>
      </c>
      <c r="S7" s="24">
        <f t="shared" si="5"/>
        <v>1</v>
      </c>
      <c r="T7" s="42">
        <f>N7*(1+Q7*(R7-1))*S7*战斗公式!$E$39+(P7*战斗公式!$E$40+1)*O7*战斗公式!$E$41</f>
        <v>10865.941406250004</v>
      </c>
      <c r="U7" s="42">
        <f t="shared" si="6"/>
        <v>543.29707031249927</v>
      </c>
      <c r="V7" s="6">
        <f>VLOOKUP($N$1,$D$4:$J$15,MATCH(F$4,$D$4:$J$4,0),0)*角色成长!E20*角色成长!$L$15*AB7/AA7/(1+$Y$2*($Z$2-1))</f>
        <v>223.25625000000008</v>
      </c>
      <c r="W7" s="6">
        <f>VLOOKUP($N$1,$D$4:$J$15,MATCH(G$4,$D$4:$J$4,0),0)*角色成长!F20*角色成长!$L$15/(1+X7/角色成长!$N$16)</f>
        <v>4940.7316268043105</v>
      </c>
      <c r="X7" s="6">
        <f>VLOOKUP($N$1,$D$4:$J$15,MATCH(H$4,$D$4:$J$4,0),0)*角色成长!G20*角色成长!$L$15</f>
        <v>4134.375</v>
      </c>
      <c r="Y7" s="1">
        <v>0.05</v>
      </c>
      <c r="Z7" s="1">
        <v>1.5</v>
      </c>
      <c r="AA7" s="1">
        <f>VLOOKUP($N$1,$D$4:$J$15,MATCH(I$4,$D$4:$J$4,0),0)*角色成长!J20</f>
        <v>1</v>
      </c>
      <c r="AB7" s="1">
        <f t="shared" si="1"/>
        <v>0.9</v>
      </c>
    </row>
    <row r="8" spans="1:34" ht="14.25" customHeight="1" x14ac:dyDescent="0.2">
      <c r="D8" s="32" t="s">
        <v>266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0.22909090909090912</v>
      </c>
      <c r="G8" s="6">
        <f>VLOOKUP($D8,角色设定!$AB:$AJ,MATCH(G$4,角色设定!$AB$9:$AJ$9,0),0)*IF($E8=G$4,角色成长!$F$5,角色成长!$H$5)</f>
        <v>0.54054054054054057</v>
      </c>
      <c r="H8" s="6">
        <f>VLOOKUP($D8,角色设定!$AB:$AJ,MATCH(H$4,角色设定!$AB$9:$AJ$9,0),0)</f>
        <v>3.9705882352941173</v>
      </c>
      <c r="I8" s="1">
        <f>VLOOKUP($D8,角色设定!$AB:$AJ,MATCH(I$4,角色设定!$AB$9:$AJ$9,0),0)</f>
        <v>1.1000000000000001</v>
      </c>
      <c r="J8" s="1">
        <f>VLOOKUP($D8,角色设定!$AB:$AJ,MATCH(J$4,角色设定!$AB$9:$AJ$9,0),0)</f>
        <v>0.9</v>
      </c>
      <c r="K8" s="6"/>
      <c r="L8" s="6">
        <f t="shared" si="2"/>
        <v>1.1926695415193926</v>
      </c>
      <c r="M8" s="1">
        <v>4</v>
      </c>
      <c r="N8" s="6">
        <f>VLOOKUP($N$2,角色品星!$C$16:$D$20,2,0)*VLOOKUP($N$3,角色品星!$C$3:$E$14,3,0)*V8</f>
        <v>234.41906250000008</v>
      </c>
      <c r="O8" s="6">
        <f>VLOOKUP($N$2,角色品星!$C$16:$D$20,2,0)*VLOOKUP($N$3,角色品星!$C$3:$E$14,3,0)*W8</f>
        <v>5177.4902925052011</v>
      </c>
      <c r="P8" s="6">
        <f>VLOOKUP($N$2,角色品星!$C$16:$D$20,2,0)*VLOOKUP($N$3,角色品星!$C$3:$E$14,3,0)*X8</f>
        <v>4341.09375</v>
      </c>
      <c r="Q8" s="24">
        <f t="shared" si="3"/>
        <v>0.05</v>
      </c>
      <c r="R8" s="24">
        <f t="shared" si="4"/>
        <v>1.5</v>
      </c>
      <c r="S8" s="24">
        <f t="shared" si="5"/>
        <v>1</v>
      </c>
      <c r="T8" s="42">
        <f>N8*(1+Q8*(R8-1))*S8*战斗公式!$E$39+(P8*战斗公式!$E$40+1)*O8*战斗公式!$E$41</f>
        <v>11409.238476562503</v>
      </c>
      <c r="U8" s="42">
        <f t="shared" si="6"/>
        <v>570.46192382812296</v>
      </c>
      <c r="V8" s="6">
        <f>VLOOKUP($N$1,$D$4:$J$15,MATCH(F$4,$D$4:$J$4,0),0)*角色成长!E21*角色成长!$L$15*AB8/AA8/(1+$Y$2*($Z$2-1))</f>
        <v>234.41906250000008</v>
      </c>
      <c r="W8" s="6">
        <f>VLOOKUP($N$1,$D$4:$J$15,MATCH(G$4,$D$4:$J$4,0),0)*角色成长!F21*角色成长!$L$15/(1+X8/角色成长!$N$16)</f>
        <v>5177.4902925052011</v>
      </c>
      <c r="X8" s="6">
        <f>VLOOKUP($N$1,$D$4:$J$15,MATCH(H$4,$D$4:$J$4,0),0)*角色成长!G21*角色成长!$L$15</f>
        <v>4341.09375</v>
      </c>
      <c r="Y8" s="1">
        <v>0.05</v>
      </c>
      <c r="Z8" s="1">
        <v>1.5</v>
      </c>
      <c r="AA8" s="1">
        <f>VLOOKUP($N$1,$D$4:$J$15,MATCH(I$4,$D$4:$J$4,0),0)*角色成长!J21</f>
        <v>1</v>
      </c>
      <c r="AB8" s="1">
        <f t="shared" si="1"/>
        <v>0.9</v>
      </c>
    </row>
    <row r="9" spans="1:34" ht="14.25" customHeight="1" x14ac:dyDescent="0.2">
      <c r="D9" s="32" t="s">
        <v>267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0.40090909090909094</v>
      </c>
      <c r="G9" s="6">
        <f>VLOOKUP($D9,角色设定!$AB:$AJ,MATCH(G$4,角色设定!$AB$9:$AJ$9,0),0)*IF($E9=G$4,角色成长!$F$5,角色成长!$H$5)</f>
        <v>0.24710424710424711</v>
      </c>
      <c r="H9" s="6">
        <f>VLOOKUP($D9,角色设定!$AB:$AJ,MATCH(H$4,角色设定!$AB$9:$AJ$9,0),0)</f>
        <v>0.88235294117647056</v>
      </c>
      <c r="I9" s="1">
        <f>VLOOKUP($D9,角色设定!$AB:$AJ,MATCH(I$4,角色设定!$AB$9:$AJ$9,0),0)</f>
        <v>0.8</v>
      </c>
      <c r="J9" s="1">
        <f>VLOOKUP($D9,角色设定!$AB:$AJ,MATCH(J$4,角色设定!$AB$9:$AJ$9,0),0)</f>
        <v>0.8</v>
      </c>
      <c r="L9" s="6">
        <f t="shared" si="2"/>
        <v>1.1901936511321407</v>
      </c>
      <c r="M9" s="1">
        <v>5</v>
      </c>
      <c r="N9" s="6">
        <f>VLOOKUP($N$2,角色品星!$C$16:$D$20,2,0)*VLOOKUP($N$3,角色品星!$C$3:$E$14,3,0)*V9</f>
        <v>246.14001562500007</v>
      </c>
      <c r="O9" s="6">
        <f>VLOOKUP($N$2,角色品星!$C$16:$D$20,2,0)*VLOOKUP($N$3,角色品星!$C$3:$E$14,3,0)*W9</f>
        <v>5425.0793312303877</v>
      </c>
      <c r="P9" s="6">
        <f>VLOOKUP($N$2,角色品星!$C$16:$D$20,2,0)*VLOOKUP($N$3,角色品星!$C$3:$E$14,3,0)*X9</f>
        <v>4558.1484375</v>
      </c>
      <c r="Q9" s="24">
        <f t="shared" si="3"/>
        <v>0.05</v>
      </c>
      <c r="R9" s="24">
        <f t="shared" si="4"/>
        <v>1.5</v>
      </c>
      <c r="S9" s="24">
        <f t="shared" si="5"/>
        <v>1</v>
      </c>
      <c r="T9" s="42">
        <f>N9*(1+Q9*(R9-1))*S9*战斗公式!$E$39+(P9*战斗公式!$E$40+1)*O9*战斗公式!$E$41</f>
        <v>11979.700400390626</v>
      </c>
      <c r="U9" s="42">
        <f t="shared" si="6"/>
        <v>598.98502001953602</v>
      </c>
      <c r="V9" s="6">
        <f>VLOOKUP($N$1,$D$4:$J$15,MATCH(F$4,$D$4:$J$4,0),0)*角色成长!E22*角色成长!$L$15*AB9/AA9/(1+$Y$2*($Z$2-1))</f>
        <v>246.14001562500007</v>
      </c>
      <c r="W9" s="6">
        <f>VLOOKUP($N$1,$D$4:$J$15,MATCH(G$4,$D$4:$J$4,0),0)*角色成长!F22*角色成长!$L$15/(1+X9/角色成长!$N$16)</f>
        <v>5425.0793312303877</v>
      </c>
      <c r="X9" s="6">
        <f>VLOOKUP($N$1,$D$4:$J$15,MATCH(H$4,$D$4:$J$4,0),0)*角色成长!G22*角色成长!$L$15</f>
        <v>4558.1484375</v>
      </c>
      <c r="Y9" s="1">
        <v>0.05</v>
      </c>
      <c r="Z9" s="1">
        <v>1.5</v>
      </c>
      <c r="AA9" s="1">
        <f>VLOOKUP($N$1,$D$4:$J$15,MATCH(I$4,$D$4:$J$4,0),0)*角色成长!J22</f>
        <v>1</v>
      </c>
      <c r="AB9" s="1">
        <f t="shared" si="1"/>
        <v>0.9</v>
      </c>
    </row>
    <row r="10" spans="1:34" ht="14.25" customHeight="1" x14ac:dyDescent="0.2">
      <c r="D10" s="32" t="s">
        <v>268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0.38181818181818189</v>
      </c>
      <c r="G10" s="6">
        <f>VLOOKUP($D10,角色设定!$AB:$AJ,MATCH(G$4,角色设定!$AB$9:$AJ$9,0),0)*IF($E10=G$4,角色成长!$F$5,角色成长!$H$5)</f>
        <v>0.25945945945945947</v>
      </c>
      <c r="H10" s="6">
        <f>VLOOKUP($D10,角色设定!$AB:$AJ,MATCH(H$4,角色设定!$AB$9:$AJ$9,0),0)</f>
        <v>1.3235294117647058</v>
      </c>
      <c r="I10" s="1">
        <f>VLOOKUP($D10,角色设定!$AB:$AJ,MATCH(I$4,角色设定!$AB$9:$AJ$9,0),0)</f>
        <v>0.8</v>
      </c>
      <c r="J10" s="1">
        <f>VLOOKUP($D10,角色设定!$AB:$AJ,MATCH(J$4,角色设定!$AB$9:$AJ$9,0),0)</f>
        <v>0.8</v>
      </c>
      <c r="L10" s="6">
        <f t="shared" si="2"/>
        <v>1.1876050054928247</v>
      </c>
      <c r="M10" s="1">
        <v>6</v>
      </c>
      <c r="N10" s="6">
        <f>VLOOKUP($N$2,角色品星!$C$16:$D$20,2,0)*VLOOKUP($N$3,角色品星!$C$3:$E$14,3,0)*V10</f>
        <v>258.44701640625016</v>
      </c>
      <c r="O10" s="6">
        <f>VLOOKUP($N$2,角色品星!$C$16:$D$20,2,0)*VLOOKUP($N$3,角色品星!$C$3:$E$14,3,0)*W10</f>
        <v>5683.9438951620132</v>
      </c>
      <c r="P10" s="6">
        <f>VLOOKUP($N$2,角色品星!$C$16:$D$20,2,0)*VLOOKUP($N$3,角色品星!$C$3:$E$14,3,0)*X10</f>
        <v>4786.0558593750002</v>
      </c>
      <c r="Q10" s="24">
        <f t="shared" si="3"/>
        <v>0.05</v>
      </c>
      <c r="R10" s="24">
        <f t="shared" si="4"/>
        <v>1.5</v>
      </c>
      <c r="S10" s="24">
        <f t="shared" si="5"/>
        <v>1</v>
      </c>
      <c r="T10" s="42">
        <f>N10*(1+Q10*(R10-1))*S10*战斗公式!$E$39+(P10*战斗公式!$E$40+1)*O10*战斗公式!$E$41</f>
        <v>12578.685420410162</v>
      </c>
      <c r="U10" s="42">
        <f t="shared" si="6"/>
        <v>628.93427102050919</v>
      </c>
      <c r="V10" s="6">
        <f>VLOOKUP($N$1,$D$4:$J$15,MATCH(F$4,$D$4:$J$4,0),0)*角色成长!E23*角色成长!$L$15*AB10/AA10/(1+$Y$2*($Z$2-1))</f>
        <v>258.44701640625016</v>
      </c>
      <c r="W10" s="6">
        <f>VLOOKUP($N$1,$D$4:$J$15,MATCH(G$4,$D$4:$J$4,0),0)*角色成长!F23*角色成长!$L$15/(1+X10/角色成长!$N$16)</f>
        <v>5683.9438951620132</v>
      </c>
      <c r="X10" s="6">
        <f>VLOOKUP($N$1,$D$4:$J$15,MATCH(H$4,$D$4:$J$4,0),0)*角色成长!G23*角色成长!$L$15</f>
        <v>4786.0558593750002</v>
      </c>
      <c r="Y10" s="1">
        <v>0.05</v>
      </c>
      <c r="Z10" s="1">
        <v>1.5</v>
      </c>
      <c r="AA10" s="1">
        <f>VLOOKUP($N$1,$D$4:$J$15,MATCH(I$4,$D$4:$J$4,0),0)*角色成长!J23</f>
        <v>1</v>
      </c>
      <c r="AB10" s="1">
        <f t="shared" si="1"/>
        <v>0.9</v>
      </c>
    </row>
    <row r="11" spans="1:34" ht="14.25" customHeight="1" x14ac:dyDescent="0.2">
      <c r="D11" s="32" t="s">
        <v>269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0.36654545454545456</v>
      </c>
      <c r="G11" s="6">
        <f>VLOOKUP($D11,角色设定!$AB:$AJ,MATCH(G$4,角色设定!$AB$9:$AJ$9,0),0)*IF($E11=G$4,角色成长!$F$5,角色成长!$H$5)</f>
        <v>0.27027027027027034</v>
      </c>
      <c r="H11" s="6">
        <f>VLOOKUP($D11,角色设定!$AB:$AJ,MATCH(H$4,角色设定!$AB$9:$AJ$9,0),0)</f>
        <v>0.88235294117647056</v>
      </c>
      <c r="I11" s="1">
        <f>VLOOKUP($D11,角色设定!$AB:$AJ,MATCH(I$4,角色设定!$AB$9:$AJ$9,0),0)</f>
        <v>1</v>
      </c>
      <c r="J11" s="1">
        <f>VLOOKUP($D11,角色设定!$AB:$AJ,MATCH(J$4,角色设定!$AB$9:$AJ$9,0),0)</f>
        <v>0.8</v>
      </c>
      <c r="L11" s="6">
        <f t="shared" si="2"/>
        <v>1.1848990190681665</v>
      </c>
      <c r="M11" s="1">
        <v>7</v>
      </c>
      <c r="N11" s="6">
        <f>VLOOKUP($N$2,角色品星!$C$16:$D$20,2,0)*VLOOKUP($N$3,角色品星!$C$3:$E$14,3,0)*V11</f>
        <v>271.3693672265627</v>
      </c>
      <c r="O11" s="6">
        <f>VLOOKUP($N$2,角色品星!$C$16:$D$20,2,0)*VLOOKUP($N$3,角色品星!$C$3:$E$14,3,0)*W11</f>
        <v>5954.5425376278326</v>
      </c>
      <c r="P11" s="6">
        <f>VLOOKUP($N$2,角色品星!$C$16:$D$20,2,0)*VLOOKUP($N$3,角色品星!$C$3:$E$14,3,0)*X11</f>
        <v>5025.3586523437498</v>
      </c>
      <c r="Q11" s="24">
        <f t="shared" si="3"/>
        <v>0.05</v>
      </c>
      <c r="R11" s="24">
        <f t="shared" si="4"/>
        <v>1.5</v>
      </c>
      <c r="S11" s="24">
        <f t="shared" si="5"/>
        <v>1</v>
      </c>
      <c r="T11" s="42">
        <f>N11*(1+Q11*(R11-1))*S11*战斗公式!$E$39+(P11*战斗公式!$E$40+1)*O11*战斗公式!$E$41</f>
        <v>13207.619691430671</v>
      </c>
      <c r="U11" s="42">
        <f t="shared" si="6"/>
        <v>660.38098457153319</v>
      </c>
      <c r="V11" s="6">
        <f>VLOOKUP($N$1,$D$4:$J$15,MATCH(F$4,$D$4:$J$4,0),0)*角色成长!E24*角色成长!$L$15*AB11/AA11/(1+$Y$2*($Z$2-1))</f>
        <v>271.3693672265627</v>
      </c>
      <c r="W11" s="6">
        <f>VLOOKUP($N$1,$D$4:$J$15,MATCH(G$4,$D$4:$J$4,0),0)*角色成长!F24*角色成长!$L$15/(1+X11/角色成长!$N$16)</f>
        <v>5954.5425376278326</v>
      </c>
      <c r="X11" s="6">
        <f>VLOOKUP($N$1,$D$4:$J$15,MATCH(H$4,$D$4:$J$4,0),0)*角色成长!G24*角色成长!$L$15</f>
        <v>5025.3586523437498</v>
      </c>
      <c r="Y11" s="1">
        <v>0.05</v>
      </c>
      <c r="Z11" s="1">
        <v>1.5</v>
      </c>
      <c r="AA11" s="1">
        <f>VLOOKUP($N$1,$D$4:$J$15,MATCH(I$4,$D$4:$J$4,0),0)*角色成长!J24</f>
        <v>1</v>
      </c>
      <c r="AB11" s="1">
        <f t="shared" si="1"/>
        <v>0.9</v>
      </c>
      <c r="AC11" s="9"/>
    </row>
    <row r="12" spans="1:34" ht="14.25" customHeight="1" x14ac:dyDescent="0.2">
      <c r="D12" s="32" t="s">
        <v>270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0.37418181818181823</v>
      </c>
      <c r="G12" s="6">
        <f>VLOOKUP($D12,角色设定!$AB:$AJ,MATCH(G$4,角色设定!$AB$9:$AJ$9,0),0)*IF($E12=G$4,角色成长!$F$5,角色成长!$H$5)</f>
        <v>0.26475455046883617</v>
      </c>
      <c r="H12" s="6">
        <f>VLOOKUP($D12,角色设定!$AB:$AJ,MATCH(H$4,角色设定!$AB$9:$AJ$9,0),0)</f>
        <v>1.0588235294117647</v>
      </c>
      <c r="I12" s="1">
        <f>VLOOKUP($D12,角色设定!$AB:$AJ,MATCH(I$4,角色设定!$AB$9:$AJ$9,0),0)</f>
        <v>1</v>
      </c>
      <c r="J12" s="1">
        <f>VLOOKUP($D12,角色设定!$AB:$AJ,MATCH(J$4,角色设定!$AB$9:$AJ$9,0),0)</f>
        <v>0.8</v>
      </c>
      <c r="L12" s="6">
        <f t="shared" si="2"/>
        <v>1.1820709732184915</v>
      </c>
      <c r="M12" s="1">
        <v>8</v>
      </c>
      <c r="N12" s="6">
        <f>VLOOKUP($N$2,角色品星!$C$16:$D$20,2,0)*VLOOKUP($N$3,角色品星!$C$3:$E$14,3,0)*V12</f>
        <v>284.93783558789085</v>
      </c>
      <c r="O12" s="6">
        <f>VLOOKUP($N$2,角色品星!$C$16:$D$20,2,0)*VLOOKUP($N$3,角色品星!$C$3:$E$14,3,0)*W12</f>
        <v>6237.3471225953417</v>
      </c>
      <c r="P12" s="6">
        <f>VLOOKUP($N$2,角色品星!$C$16:$D$20,2,0)*VLOOKUP($N$3,角色品星!$C$3:$E$14,3,0)*X12</f>
        <v>5276.6265849609381</v>
      </c>
      <c r="Q12" s="24">
        <f t="shared" si="3"/>
        <v>0.05</v>
      </c>
      <c r="R12" s="24">
        <f t="shared" si="4"/>
        <v>1.5</v>
      </c>
      <c r="S12" s="24">
        <f t="shared" si="5"/>
        <v>1</v>
      </c>
      <c r="T12" s="42">
        <f>N12*(1+Q12*(R12-1))*S12*战斗公式!$E$39+(P12*战斗公式!$E$40+1)*O12*战斗公式!$E$41</f>
        <v>13868.000676002204</v>
      </c>
      <c r="U12" s="42">
        <f t="shared" si="6"/>
        <v>693.40003380010967</v>
      </c>
      <c r="V12" s="6">
        <f>VLOOKUP($N$1,$D$4:$J$15,MATCH(F$4,$D$4:$J$4,0),0)*角色成长!E25*角色成长!$L$15*AB12/AA12/(1+$Y$2*($Z$2-1))</f>
        <v>284.93783558789085</v>
      </c>
      <c r="W12" s="6">
        <f>VLOOKUP($N$1,$D$4:$J$15,MATCH(G$4,$D$4:$J$4,0),0)*角色成长!F25*角色成长!$L$15/(1+X12/角色成长!$N$16)</f>
        <v>6237.3471225953417</v>
      </c>
      <c r="X12" s="6">
        <f>VLOOKUP($N$1,$D$4:$J$15,MATCH(H$4,$D$4:$J$4,0),0)*角色成长!G25*角色成长!$L$15</f>
        <v>5276.6265849609381</v>
      </c>
      <c r="Y12" s="1">
        <v>0.05</v>
      </c>
      <c r="Z12" s="1">
        <v>1.5</v>
      </c>
      <c r="AA12" s="1">
        <f>VLOOKUP($N$1,$D$4:$J$15,MATCH(I$4,$D$4:$J$4,0),0)*角色成长!J25</f>
        <v>1</v>
      </c>
      <c r="AB12" s="1">
        <f t="shared" si="1"/>
        <v>0.9</v>
      </c>
      <c r="AC12" s="9"/>
    </row>
    <row r="13" spans="1:34" ht="14.25" customHeight="1" x14ac:dyDescent="0.2">
      <c r="C13" s="3"/>
      <c r="D13" s="32" t="s">
        <v>271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0.3589090909090909</v>
      </c>
      <c r="G13" s="6">
        <f>VLOOKUP($D13,角色设定!$AB:$AJ,MATCH(G$4,角色设定!$AB$9:$AJ$9,0),0)*IF($E13=G$4,角色成长!$F$5,角色成长!$H$5)</f>
        <v>0.27602070155261654</v>
      </c>
      <c r="H13" s="6">
        <f>VLOOKUP($D13,角色设定!$AB:$AJ,MATCH(H$4,角色设定!$AB$9:$AJ$9,0),0)</f>
        <v>1.2352941176470587</v>
      </c>
      <c r="I13" s="1">
        <f>VLOOKUP($D13,角色设定!$AB:$AJ,MATCH(I$4,角色设定!$AB$9:$AJ$9,0),0)</f>
        <v>0.9</v>
      </c>
      <c r="J13" s="1">
        <f>VLOOKUP($D13,角色设定!$AB:$AJ,MATCH(J$4,角色设定!$AB$9:$AJ$9,0),0)</f>
        <v>0.8</v>
      </c>
      <c r="L13" s="6">
        <f t="shared" si="2"/>
        <v>1.1791160177228153</v>
      </c>
      <c r="M13" s="1">
        <v>9</v>
      </c>
      <c r="N13" s="6">
        <f>VLOOKUP($N$2,角色品星!$C$16:$D$20,2,0)*VLOOKUP($N$3,角色品星!$C$3:$E$14,3,0)*V13</f>
        <v>299.18472736728535</v>
      </c>
      <c r="O13" s="6">
        <f>VLOOKUP($N$2,角色品星!$C$16:$D$20,2,0)*VLOOKUP($N$3,角色品星!$C$3:$E$14,3,0)*W13</f>
        <v>6532.8426721629539</v>
      </c>
      <c r="P13" s="6">
        <f>VLOOKUP($N$2,角色品星!$C$16:$D$20,2,0)*VLOOKUP($N$3,角色品星!$C$3:$E$14,3,0)*X13</f>
        <v>5540.4579142089851</v>
      </c>
      <c r="Q13" s="24">
        <f t="shared" si="3"/>
        <v>0.05</v>
      </c>
      <c r="R13" s="24">
        <f t="shared" si="4"/>
        <v>1.5</v>
      </c>
      <c r="S13" s="24">
        <f t="shared" si="5"/>
        <v>1</v>
      </c>
      <c r="T13" s="42">
        <f>N13*(1+Q13*(R13-1))*S13*战斗公式!$E$39+(P13*战斗公式!$E$40+1)*O13*战斗公式!$E$41</f>
        <v>14561.400709802314</v>
      </c>
      <c r="U13" s="42">
        <f t="shared" si="6"/>
        <v>728.07003549011642</v>
      </c>
      <c r="V13" s="6">
        <f>VLOOKUP($N$1,$D$4:$J$15,MATCH(F$4,$D$4:$J$4,0),0)*角色成长!E26*角色成长!$L$15*AB13/AA13/(1+$Y$2*($Z$2-1))</f>
        <v>299.18472736728535</v>
      </c>
      <c r="W13" s="6">
        <f>VLOOKUP($N$1,$D$4:$J$15,MATCH(G$4,$D$4:$J$4,0),0)*角色成长!F26*角色成长!$L$15/(1+X13/角色成长!$N$16)</f>
        <v>6532.8426721629539</v>
      </c>
      <c r="X13" s="6">
        <f>VLOOKUP($N$1,$D$4:$J$15,MATCH(H$4,$D$4:$J$4,0),0)*角色成长!G26*角色成长!$L$15</f>
        <v>5540.4579142089851</v>
      </c>
      <c r="Y13" s="1">
        <v>0.05</v>
      </c>
      <c r="Z13" s="1">
        <v>1.5</v>
      </c>
      <c r="AA13" s="1">
        <f>VLOOKUP($N$1,$D$4:$J$15,MATCH(I$4,$D$4:$J$4,0),0)*角色成长!J26</f>
        <v>1</v>
      </c>
      <c r="AB13" s="1">
        <f t="shared" si="1"/>
        <v>0.9</v>
      </c>
      <c r="AC13" s="4"/>
    </row>
    <row r="14" spans="1:34" ht="14.25" customHeight="1" x14ac:dyDescent="0.2">
      <c r="D14" s="32" t="s">
        <v>272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0.34363636363636368</v>
      </c>
      <c r="G14" s="6">
        <f>VLOOKUP($D14,角色设定!$AB:$AJ,MATCH(G$4,角色设定!$AB$9:$AJ$9,0),0)*IF($E14=G$4,角色成长!$F$5,角色成长!$H$5)</f>
        <v>0.28828828828828829</v>
      </c>
      <c r="H14" s="6">
        <f>VLOOKUP($D14,角色设定!$AB:$AJ,MATCH(H$4,角色设定!$AB$9:$AJ$9,0),0)</f>
        <v>1.7647058823529411</v>
      </c>
      <c r="I14" s="1">
        <f>VLOOKUP($D14,角色设定!$AB:$AJ,MATCH(I$4,角色设定!$AB$9:$AJ$9,0),0)</f>
        <v>0.9</v>
      </c>
      <c r="J14" s="1">
        <f>VLOOKUP($D14,角色设定!$AB:$AJ,MATCH(J$4,角色设定!$AB$9:$AJ$9,0),0)</f>
        <v>0.8</v>
      </c>
      <c r="L14" s="6">
        <f t="shared" si="2"/>
        <v>1.1760291729868788</v>
      </c>
      <c r="M14" s="1">
        <v>10</v>
      </c>
      <c r="N14" s="6">
        <f>VLOOKUP($N$2,角色品星!$C$16:$D$20,2,0)*VLOOKUP($N$3,角色品星!$C$3:$E$14,3,0)*V14</f>
        <v>314.14396373564966</v>
      </c>
      <c r="O14" s="6">
        <f>VLOOKUP($N$2,角色品星!$C$16:$D$20,2,0)*VLOOKUP($N$3,角色品星!$C$3:$E$14,3,0)*W14</f>
        <v>6841.5271457565896</v>
      </c>
      <c r="P14" s="6">
        <f>VLOOKUP($N$2,角色品星!$C$16:$D$20,2,0)*VLOOKUP($N$3,角色品星!$C$3:$E$14,3,0)*X14</f>
        <v>5817.4808099194343</v>
      </c>
      <c r="Q14" s="24">
        <f t="shared" si="3"/>
        <v>0.05</v>
      </c>
      <c r="R14" s="24">
        <f t="shared" si="4"/>
        <v>1.5</v>
      </c>
      <c r="S14" s="24">
        <f t="shared" si="5"/>
        <v>1</v>
      </c>
      <c r="T14" s="42">
        <f>N14*(1+Q14*(R14-1))*S14*战斗公式!$E$39+(P14*战斗公式!$E$40+1)*O14*战斗公式!$E$41</f>
        <v>15289.47074529243</v>
      </c>
      <c r="U14" s="42">
        <f t="shared" si="6"/>
        <v>764.47353726462097</v>
      </c>
      <c r="V14" s="6">
        <f>VLOOKUP($N$1,$D$4:$J$15,MATCH(F$4,$D$4:$J$4,0),0)*角色成长!E27*角色成长!$L$15*AB14/AA14/(1+$Y$2*($Z$2-1))</f>
        <v>314.14396373564966</v>
      </c>
      <c r="W14" s="6">
        <f>VLOOKUP($N$1,$D$4:$J$15,MATCH(G$4,$D$4:$J$4,0),0)*角色成长!F27*角色成长!$L$15/(1+X14/角色成长!$N$16)</f>
        <v>6841.5271457565896</v>
      </c>
      <c r="X14" s="6">
        <f>VLOOKUP($N$1,$D$4:$J$15,MATCH(H$4,$D$4:$J$4,0),0)*角色成长!G27*角色成长!$L$15</f>
        <v>5817.4808099194343</v>
      </c>
      <c r="Y14" s="1">
        <v>0.05</v>
      </c>
      <c r="Z14" s="1">
        <v>1.5</v>
      </c>
      <c r="AA14" s="1">
        <f>VLOOKUP($N$1,$D$4:$J$15,MATCH(I$4,$D$4:$J$4,0),0)*角色成长!J27</f>
        <v>1</v>
      </c>
      <c r="AB14" s="1">
        <f t="shared" si="1"/>
        <v>0.9</v>
      </c>
      <c r="AG14" s="9"/>
      <c r="AH14" s="9"/>
    </row>
    <row r="15" spans="1:34" ht="14.25" customHeight="1" x14ac:dyDescent="0.2">
      <c r="C15" s="6"/>
      <c r="D15" s="32" t="s">
        <v>273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0.19636363636363641</v>
      </c>
      <c r="G15" s="6">
        <f>VLOOKUP($D15,角色设定!$AB:$AJ,MATCH(G$4,角色设定!$AB$9:$AJ$9,0),0)*IF($E15=G$4,角色成长!$F$5,角色成长!$H$5)</f>
        <v>0.3603603603603604</v>
      </c>
      <c r="H15" s="6">
        <f>VLOOKUP($D15,角色设定!$AB:$AJ,MATCH(H$4,角色设定!$AB$9:$AJ$9,0),0)</f>
        <v>1.4117647058823528</v>
      </c>
      <c r="I15" s="1">
        <f>VLOOKUP($D15,角色设定!$AB:$AJ,MATCH(I$4,角色设定!$AB$9:$AJ$9,0),0)</f>
        <v>1</v>
      </c>
      <c r="J15" s="1">
        <f>VLOOKUP($D15,角色设定!$AB:$AJ,MATCH(J$4,角色设定!$AB$9:$AJ$9,0),0)</f>
        <v>0.9</v>
      </c>
      <c r="L15" s="6">
        <f t="shared" si="2"/>
        <v>1.1728053330001968</v>
      </c>
      <c r="M15" s="1">
        <v>11</v>
      </c>
      <c r="N15" s="6">
        <f>VLOOKUP($N$2,角色品星!$C$16:$D$20,2,0)*VLOOKUP($N$3,角色品星!$C$3:$E$14,3,0)*V15</f>
        <v>329.85116192243214</v>
      </c>
      <c r="O15" s="6">
        <f>VLOOKUP($N$2,角色品星!$C$16:$D$20,2,0)*VLOOKUP($N$3,角色品星!$C$3:$E$14,3,0)*W15</f>
        <v>7163.9111444248074</v>
      </c>
      <c r="P15" s="6">
        <f>VLOOKUP($N$2,角色品星!$C$16:$D$20,2,0)*VLOOKUP($N$3,角色品星!$C$3:$E$14,3,0)*X15</f>
        <v>6108.354850415406</v>
      </c>
      <c r="Q15" s="24">
        <f t="shared" si="3"/>
        <v>0.05</v>
      </c>
      <c r="R15" s="24">
        <f t="shared" si="4"/>
        <v>1.5</v>
      </c>
      <c r="S15" s="24">
        <f t="shared" si="5"/>
        <v>1</v>
      </c>
      <c r="T15" s="42">
        <f>N15*(1+Q15*(R15-1))*S15*战斗公式!$E$39+(P15*战斗公式!$E$40+1)*O15*战斗公式!$E$41</f>
        <v>16053.944282557051</v>
      </c>
      <c r="U15" s="42">
        <f t="shared" si="6"/>
        <v>802.69721412785657</v>
      </c>
      <c r="V15" s="6">
        <f>VLOOKUP($N$1,$D$4:$J$15,MATCH(F$4,$D$4:$J$4,0),0)*角色成长!E28*角色成长!$L$15*AB15/AA15/(1+$Y$2*($Z$2-1))</f>
        <v>329.85116192243214</v>
      </c>
      <c r="W15" s="6">
        <f>VLOOKUP($N$1,$D$4:$J$15,MATCH(G$4,$D$4:$J$4,0),0)*角色成长!F28*角色成长!$L$15/(1+X15/角色成长!$N$16)</f>
        <v>7163.9111444248074</v>
      </c>
      <c r="X15" s="6">
        <f>VLOOKUP($N$1,$D$4:$J$15,MATCH(H$4,$D$4:$J$4,0),0)*角色成长!G28*角色成长!$L$15</f>
        <v>6108.354850415406</v>
      </c>
      <c r="Y15" s="1">
        <v>0.05</v>
      </c>
      <c r="Z15" s="1">
        <v>1.5</v>
      </c>
      <c r="AA15" s="1">
        <f>VLOOKUP($N$1,$D$4:$J$15,MATCH(I$4,$D$4:$J$4,0),0)*角色成长!J28</f>
        <v>1</v>
      </c>
      <c r="AB15" s="1">
        <f t="shared" si="1"/>
        <v>0.9</v>
      </c>
    </row>
    <row r="16" spans="1:34" ht="14.25" customHeight="1" x14ac:dyDescent="0.2">
      <c r="C16" s="6"/>
      <c r="E16" s="26"/>
      <c r="F16" s="26"/>
      <c r="G16" s="26"/>
      <c r="L16" s="6">
        <f t="shared" si="2"/>
        <v>1.1694392691111601</v>
      </c>
      <c r="M16" s="1">
        <v>12</v>
      </c>
      <c r="N16" s="6">
        <f>VLOOKUP($N$2,角色品星!$C$16:$D$20,2,0)*VLOOKUP($N$3,角色品星!$C$3:$E$14,3,0)*V16</f>
        <v>346.34372001855377</v>
      </c>
      <c r="O16" s="6">
        <f>VLOOKUP($N$2,角色品星!$C$16:$D$20,2,0)*VLOOKUP($N$3,角色品星!$C$3:$E$14,3,0)*W16</f>
        <v>7500.5175333284724</v>
      </c>
      <c r="P16" s="6">
        <f>VLOOKUP($N$2,角色品星!$C$16:$D$20,2,0)*VLOOKUP($N$3,角色品星!$C$3:$E$14,3,0)*X16</f>
        <v>6413.7725929361759</v>
      </c>
      <c r="Q16" s="24">
        <f t="shared" si="3"/>
        <v>0.05</v>
      </c>
      <c r="R16" s="24">
        <f t="shared" si="4"/>
        <v>1.5</v>
      </c>
      <c r="S16" s="24">
        <f t="shared" si="5"/>
        <v>1</v>
      </c>
      <c r="T16" s="42">
        <f>N16*(1+Q16*(R16-1))*S16*战斗公式!$E$39+(P16*战斗公式!$E$40+1)*O16*战斗公式!$E$41</f>
        <v>16856.641496684908</v>
      </c>
      <c r="U16" s="42">
        <f t="shared" si="6"/>
        <v>842.83207483424849</v>
      </c>
      <c r="V16" s="6">
        <f>VLOOKUP($N$1,$D$4:$J$15,MATCH(F$4,$D$4:$J$4,0),0)*角色成长!E29*角色成长!$L$15*AB16/AA16/(1+$Y$2*($Z$2-1))</f>
        <v>346.34372001855377</v>
      </c>
      <c r="W16" s="6">
        <f>VLOOKUP($N$1,$D$4:$J$15,MATCH(G$4,$D$4:$J$4,0),0)*角色成长!F29*角色成长!$L$15/(1+X16/角色成长!$N$16)</f>
        <v>7500.5175333284724</v>
      </c>
      <c r="X16" s="6">
        <f>VLOOKUP($N$1,$D$4:$J$15,MATCH(H$4,$D$4:$J$4,0),0)*角色成长!G29*角色成长!$L$15</f>
        <v>6413.7725929361759</v>
      </c>
      <c r="Y16" s="1">
        <v>0.05</v>
      </c>
      <c r="Z16" s="1">
        <v>1.5</v>
      </c>
      <c r="AA16" s="1">
        <f>VLOOKUP($N$1,$D$4:$J$15,MATCH(I$4,$D$4:$J$4,0),0)*角色成长!J29</f>
        <v>1</v>
      </c>
      <c r="AB16" s="1">
        <f t="shared" si="1"/>
        <v>0.9</v>
      </c>
      <c r="AD16" s="22"/>
    </row>
    <row r="17" spans="2:38" ht="14.25" customHeight="1" x14ac:dyDescent="0.2">
      <c r="C17" s="6"/>
      <c r="L17" s="6">
        <f t="shared" si="2"/>
        <v>1.1659256346919604</v>
      </c>
      <c r="M17" s="1">
        <v>13</v>
      </c>
      <c r="N17" s="6">
        <f>VLOOKUP($N$2,角色品星!$C$16:$D$20,2,0)*VLOOKUP($N$3,角色品星!$C$3:$E$14,3,0)*V17</f>
        <v>363.6609060194815</v>
      </c>
      <c r="O17" s="6">
        <f>VLOOKUP($N$2,角色品星!$C$16:$D$20,2,0)*VLOOKUP($N$3,角色品星!$C$3:$E$14,3,0)*W17</f>
        <v>7851.8809752484631</v>
      </c>
      <c r="P17" s="6">
        <f>VLOOKUP($N$2,角色品星!$C$16:$D$20,2,0)*VLOOKUP($N$3,角色品星!$C$3:$E$14,3,0)*X17</f>
        <v>6734.4612225829851</v>
      </c>
      <c r="Q17" s="24">
        <f t="shared" si="3"/>
        <v>0.05</v>
      </c>
      <c r="R17" s="24">
        <f t="shared" si="4"/>
        <v>1.5</v>
      </c>
      <c r="S17" s="24">
        <f t="shared" si="5"/>
        <v>1</v>
      </c>
      <c r="T17" s="42">
        <f>N17*(1+Q17*(R17-1))*S17*战斗公式!$E$39+(P17*战斗公式!$E$40+1)*O17*战斗公式!$E$41</f>
        <v>17699.473571519156</v>
      </c>
      <c r="U17" s="42">
        <f t="shared" si="6"/>
        <v>884.97367857595236</v>
      </c>
      <c r="V17" s="6">
        <f>VLOOKUP($N$1,$D$4:$J$15,MATCH(F$4,$D$4:$J$4,0),0)*角色成长!E30*角色成长!$L$15*AB17/AA17/(1+$Y$2*($Z$2-1))</f>
        <v>363.6609060194815</v>
      </c>
      <c r="W17" s="6">
        <f>VLOOKUP($N$1,$D$4:$J$15,MATCH(G$4,$D$4:$J$4,0),0)*角色成长!F30*角色成长!$L$15/(1+X17/角色成长!$N$16)</f>
        <v>7851.8809752484631</v>
      </c>
      <c r="X17" s="6">
        <f>VLOOKUP($N$1,$D$4:$J$15,MATCH(H$4,$D$4:$J$4,0),0)*角色成长!G30*角色成长!$L$15</f>
        <v>6734.4612225829851</v>
      </c>
      <c r="Y17" s="1">
        <v>0.05</v>
      </c>
      <c r="Z17" s="1">
        <v>1.5</v>
      </c>
      <c r="AA17" s="1">
        <f>VLOOKUP($N$1,$D$4:$J$15,MATCH(I$4,$D$4:$J$4,0),0)*角色成长!J30</f>
        <v>1</v>
      </c>
      <c r="AB17" s="1">
        <f t="shared" si="1"/>
        <v>0.9</v>
      </c>
    </row>
    <row r="18" spans="2:38" ht="14.25" customHeight="1" x14ac:dyDescent="0.2">
      <c r="C18" s="6"/>
      <c r="E18" s="6"/>
      <c r="F18" s="6"/>
      <c r="G18" s="6"/>
      <c r="H18" s="6"/>
      <c r="I18" s="26"/>
      <c r="J18" s="6"/>
      <c r="K18" s="6"/>
      <c r="L18" s="6">
        <f t="shared" si="2"/>
        <v>1.1622589707674993</v>
      </c>
      <c r="M18" s="1">
        <v>14</v>
      </c>
      <c r="N18" s="6">
        <f>VLOOKUP($N$2,角色品星!$C$16:$D$20,2,0)*VLOOKUP($N$3,角色品星!$C$3:$E$14,3,0)*V18</f>
        <v>381.84395132045546</v>
      </c>
      <c r="O18" s="6">
        <f>VLOOKUP($N$2,角色品星!$C$16:$D$20,2,0)*VLOOKUP($N$3,角色品星!$C$3:$E$14,3,0)*W18</f>
        <v>8218.5473676945821</v>
      </c>
      <c r="P18" s="6">
        <f>VLOOKUP($N$2,角色品星!$C$16:$D$20,2,0)*VLOOKUP($N$3,角色品星!$C$3:$E$14,3,0)*X18</f>
        <v>7071.1842837121349</v>
      </c>
      <c r="Q18" s="24">
        <f t="shared" si="3"/>
        <v>0.05</v>
      </c>
      <c r="R18" s="24">
        <f t="shared" si="4"/>
        <v>1.5</v>
      </c>
      <c r="S18" s="24">
        <f t="shared" si="5"/>
        <v>1</v>
      </c>
      <c r="T18" s="42">
        <f>N18*(1+Q18*(R18-1))*S18*战斗公式!$E$39+(P18*战斗公式!$E$40+1)*O18*战斗公式!$E$41</f>
        <v>18584.447250095109</v>
      </c>
      <c r="U18" s="42">
        <f t="shared" si="6"/>
        <v>929.22236250475544</v>
      </c>
      <c r="V18" s="6">
        <f>VLOOKUP($N$1,$D$4:$J$15,MATCH(F$4,$D$4:$J$4,0),0)*角色成长!E31*角色成长!$L$15*AB18/AA18/(1+$Y$2*($Z$2-1))</f>
        <v>381.84395132045546</v>
      </c>
      <c r="W18" s="6">
        <f>VLOOKUP($N$1,$D$4:$J$15,MATCH(G$4,$D$4:$J$4,0),0)*角色成长!F31*角色成长!$L$15/(1+X18/角色成长!$N$16)</f>
        <v>8218.5473676945821</v>
      </c>
      <c r="X18" s="6">
        <f>VLOOKUP($N$1,$D$4:$J$15,MATCH(H$4,$D$4:$J$4,0),0)*角色成长!G31*角色成长!$L$15</f>
        <v>7071.1842837121349</v>
      </c>
      <c r="Y18" s="1">
        <v>0.05</v>
      </c>
      <c r="Z18" s="1">
        <v>1.5</v>
      </c>
      <c r="AA18" s="1">
        <f>VLOOKUP($N$1,$D$4:$J$15,MATCH(I$4,$D$4:$J$4,0),0)*角色成长!J31</f>
        <v>1</v>
      </c>
      <c r="AB18" s="1">
        <f t="shared" si="1"/>
        <v>0.9</v>
      </c>
      <c r="AC18" s="6"/>
      <c r="AD18" s="22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6"/>
      <c r="J19" s="6"/>
      <c r="K19" s="6"/>
      <c r="L19" s="6">
        <f t="shared" si="2"/>
        <v>1.1584337126844508</v>
      </c>
      <c r="M19" s="1">
        <v>15</v>
      </c>
      <c r="N19" s="6">
        <f>VLOOKUP($N$2,角色品星!$C$16:$D$20,2,0)*VLOOKUP($N$3,角色品星!$C$3:$E$14,3,0)*V19</f>
        <v>400.93614888647829</v>
      </c>
      <c r="O19" s="6">
        <f>VLOOKUP($N$2,角色品星!$C$16:$D$20,2,0)*VLOOKUP($N$3,角色品星!$C$3:$E$14,3,0)*W19</f>
        <v>8601.073175999416</v>
      </c>
      <c r="P19" s="6">
        <f>VLOOKUP($N$2,角色品星!$C$16:$D$20,2,0)*VLOOKUP($N$3,角色品星!$C$3:$E$14,3,0)*X19</f>
        <v>7424.7434978977408</v>
      </c>
      <c r="Q19" s="24">
        <f t="shared" si="3"/>
        <v>0.05</v>
      </c>
      <c r="R19" s="24">
        <f t="shared" si="4"/>
        <v>1.5</v>
      </c>
      <c r="S19" s="24">
        <f t="shared" si="5"/>
        <v>1</v>
      </c>
      <c r="T19" s="42">
        <f>N19*(1+Q19*(R19-1))*S19*战斗公式!$E$39+(P19*战斗公式!$E$40+1)*O19*战斗公式!$E$41</f>
        <v>19513.669612599864</v>
      </c>
      <c r="U19" s="42">
        <f t="shared" si="6"/>
        <v>975.68348062999576</v>
      </c>
      <c r="V19" s="6">
        <f>VLOOKUP($N$1,$D$4:$J$15,MATCH(F$4,$D$4:$J$4,0),0)*角色成长!E32*角色成长!$L$15*AB19/AA19/(1+$Y$2*($Z$2-1))</f>
        <v>400.93614888647829</v>
      </c>
      <c r="W19" s="6">
        <f>VLOOKUP($N$1,$D$4:$J$15,MATCH(G$4,$D$4:$J$4,0),0)*角色成长!F32*角色成长!$L$15/(1+X19/角色成长!$N$16)</f>
        <v>8601.073175999416</v>
      </c>
      <c r="X19" s="6">
        <f>VLOOKUP($N$1,$D$4:$J$15,MATCH(H$4,$D$4:$J$4,0),0)*角色成长!G32*角色成长!$L$15</f>
        <v>7424.7434978977408</v>
      </c>
      <c r="Y19" s="1">
        <v>0.05</v>
      </c>
      <c r="Z19" s="1">
        <v>1.5</v>
      </c>
      <c r="AA19" s="1">
        <f>VLOOKUP($N$1,$D$4:$J$15,MATCH(I$4,$D$4:$J$4,0),0)*角色成长!J32</f>
        <v>1</v>
      </c>
      <c r="AB19" s="1">
        <f t="shared" si="1"/>
        <v>0.9</v>
      </c>
      <c r="AC19" s="6"/>
      <c r="AD19" s="22"/>
      <c r="AE19" s="22"/>
      <c r="AF19" s="22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6"/>
      <c r="J20" s="6"/>
      <c r="K20" s="6"/>
      <c r="L20" s="6">
        <f t="shared" si="2"/>
        <v>1.154444197898131</v>
      </c>
      <c r="M20" s="1">
        <v>16</v>
      </c>
      <c r="N20" s="6">
        <f>VLOOKUP($N$2,角色品星!$C$16:$D$20,2,0)*VLOOKUP($N$3,角色品星!$C$3:$E$14,3,0)*V20</f>
        <v>420.98295633080227</v>
      </c>
      <c r="O20" s="6">
        <f>VLOOKUP($N$2,角色品星!$C$16:$D$20,2,0)*VLOOKUP($N$3,角色品星!$C$3:$E$14,3,0)*W20</f>
        <v>9000.0246546314174</v>
      </c>
      <c r="P20" s="6">
        <f>VLOOKUP($N$2,角色品星!$C$16:$D$20,2,0)*VLOOKUP($N$3,角色品星!$C$3:$E$14,3,0)*X20</f>
        <v>7795.9806727926289</v>
      </c>
      <c r="Q20" s="24">
        <f t="shared" si="3"/>
        <v>0.05</v>
      </c>
      <c r="R20" s="24">
        <f t="shared" si="4"/>
        <v>1.5</v>
      </c>
      <c r="S20" s="24">
        <f t="shared" si="5"/>
        <v>1</v>
      </c>
      <c r="T20" s="42">
        <f>N20*(1+Q20*(R20-1))*S20*战斗公式!$E$39+(P20*战斗公式!$E$40+1)*O20*战斗公式!$E$41</f>
        <v>20489.35309322986</v>
      </c>
      <c r="U20" s="42">
        <f t="shared" si="6"/>
        <v>1024.4676546614974</v>
      </c>
      <c r="V20" s="6">
        <f>VLOOKUP($N$1,$D$4:$J$15,MATCH(F$4,$D$4:$J$4,0),0)*角色成长!E33*角色成长!$L$15*AB20/AA20/(1+$Y$2*($Z$2-1))</f>
        <v>420.98295633080227</v>
      </c>
      <c r="W20" s="6">
        <f>VLOOKUP($N$1,$D$4:$J$15,MATCH(G$4,$D$4:$J$4,0),0)*角色成长!F33*角色成长!$L$15/(1+X20/角色成长!$N$16)</f>
        <v>9000.0246546314174</v>
      </c>
      <c r="X20" s="6">
        <f>VLOOKUP($N$1,$D$4:$J$15,MATCH(H$4,$D$4:$J$4,0),0)*角色成长!G33*角色成长!$L$15</f>
        <v>7795.9806727926289</v>
      </c>
      <c r="Y20" s="1">
        <v>0.05</v>
      </c>
      <c r="Z20" s="1">
        <v>1.5</v>
      </c>
      <c r="AA20" s="1">
        <f>VLOOKUP($N$1,$D$4:$J$15,MATCH(I$4,$D$4:$J$4,0),0)*角色成长!J33</f>
        <v>1</v>
      </c>
      <c r="AB20" s="1">
        <f t="shared" si="1"/>
        <v>0.9</v>
      </c>
      <c r="AC20" s="6"/>
      <c r="AD20" s="22"/>
      <c r="AE20" s="22"/>
      <c r="AF20" s="22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6"/>
      <c r="J21" s="6"/>
      <c r="K21" s="6"/>
      <c r="L21" s="6">
        <f t="shared" si="2"/>
        <v>1.1502846749557196</v>
      </c>
      <c r="M21" s="1">
        <v>17</v>
      </c>
      <c r="N21" s="6">
        <f>VLOOKUP($N$2,角色品星!$C$16:$D$20,2,0)*VLOOKUP($N$3,角色品星!$C$3:$E$14,3,0)*V21</f>
        <v>442.03210414734241</v>
      </c>
      <c r="O21" s="6">
        <f>VLOOKUP($N$2,角色品星!$C$16:$D$20,2,0)*VLOOKUP($N$3,角色品星!$C$3:$E$14,3,0)*W21</f>
        <v>9415.9769488725597</v>
      </c>
      <c r="P21" s="6">
        <f>VLOOKUP($N$2,角色品星!$C$16:$D$20,2,0)*VLOOKUP($N$3,角色品星!$C$3:$E$14,3,0)*X21</f>
        <v>8185.7797064322613</v>
      </c>
      <c r="Q21" s="24">
        <f t="shared" si="3"/>
        <v>0.05</v>
      </c>
      <c r="R21" s="24">
        <f t="shared" si="4"/>
        <v>1.5</v>
      </c>
      <c r="S21" s="24">
        <f t="shared" si="5"/>
        <v>1</v>
      </c>
      <c r="T21" s="42">
        <f>N21*(1+Q21*(R21-1))*S21*战斗公式!$E$39+(P21*战斗公式!$E$40+1)*O21*战斗公式!$E$41</f>
        <v>21513.820747891357</v>
      </c>
      <c r="U21" s="42">
        <f t="shared" si="6"/>
        <v>1075.6910373945684</v>
      </c>
      <c r="V21" s="6">
        <f>VLOOKUP($N$1,$D$4:$J$15,MATCH(F$4,$D$4:$J$4,0),0)*角色成长!E34*角色成长!$L$15*AB21/AA21/(1+$Y$2*($Z$2-1))</f>
        <v>442.03210414734241</v>
      </c>
      <c r="W21" s="6">
        <f>VLOOKUP($N$1,$D$4:$J$15,MATCH(G$4,$D$4:$J$4,0),0)*角色成长!F34*角色成长!$L$15/(1+X21/角色成长!$N$16)</f>
        <v>9415.9769488725597</v>
      </c>
      <c r="X21" s="6">
        <f>VLOOKUP($N$1,$D$4:$J$15,MATCH(H$4,$D$4:$J$4,0),0)*角色成长!G34*角色成长!$L$15</f>
        <v>8185.7797064322613</v>
      </c>
      <c r="Y21" s="1">
        <v>0.05</v>
      </c>
      <c r="Z21" s="1">
        <v>1.5</v>
      </c>
      <c r="AA21" s="1">
        <f>VLOOKUP($N$1,$D$4:$J$15,MATCH(I$4,$D$4:$J$4,0),0)*角色成长!J34</f>
        <v>1</v>
      </c>
      <c r="AB21" s="1">
        <f t="shared" si="1"/>
        <v>0.9</v>
      </c>
      <c r="AC21" s="6"/>
      <c r="AD21" s="22"/>
      <c r="AE21" s="22"/>
      <c r="AF21" s="22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6"/>
      <c r="J22" s="6"/>
      <c r="K22" s="6"/>
      <c r="L22" s="6">
        <f t="shared" si="2"/>
        <v>1.1459493137545591</v>
      </c>
      <c r="M22" s="1">
        <v>18</v>
      </c>
      <c r="N22" s="6">
        <f>VLOOKUP($N$2,角色品星!$C$16:$D$20,2,0)*VLOOKUP($N$3,角色品星!$C$3:$E$14,3,0)*V22</f>
        <v>464.13370935470959</v>
      </c>
      <c r="O22" s="6">
        <f>VLOOKUP($N$2,角色品星!$C$16:$D$20,2,0)*VLOOKUP($N$3,角色品星!$C$3:$E$14,3,0)*W22</f>
        <v>9849.5130689886464</v>
      </c>
      <c r="P22" s="6">
        <f>VLOOKUP($N$2,角色品星!$C$16:$D$20,2,0)*VLOOKUP($N$3,角色品星!$C$3:$E$14,3,0)*X22</f>
        <v>8595.0686917538733</v>
      </c>
      <c r="Q22" s="24">
        <f t="shared" si="3"/>
        <v>0.05</v>
      </c>
      <c r="R22" s="24">
        <f t="shared" si="4"/>
        <v>1.5</v>
      </c>
      <c r="S22" s="24">
        <f t="shared" si="5"/>
        <v>1</v>
      </c>
      <c r="T22" s="42">
        <f>N22*(1+Q22*(R22-1))*S22*战斗公式!$E$39+(P22*战斗公式!$E$40+1)*O22*战斗公式!$E$41</f>
        <v>22589.511785285926</v>
      </c>
      <c r="U22" s="42">
        <f t="shared" si="6"/>
        <v>1129.4755892642934</v>
      </c>
      <c r="V22" s="6">
        <f>VLOOKUP($N$1,$D$4:$J$15,MATCH(F$4,$D$4:$J$4,0),0)*角色成长!E35*角色成长!$L$15*AB22/AA22/(1+$Y$2*($Z$2-1))</f>
        <v>464.13370935470959</v>
      </c>
      <c r="W22" s="6">
        <f>VLOOKUP($N$1,$D$4:$J$15,MATCH(G$4,$D$4:$J$4,0),0)*角色成长!F35*角色成长!$L$15/(1+X22/角色成长!$N$16)</f>
        <v>9849.5130689886464</v>
      </c>
      <c r="X22" s="6">
        <f>VLOOKUP($N$1,$D$4:$J$15,MATCH(H$4,$D$4:$J$4,0),0)*角色成长!G35*角色成长!$L$15</f>
        <v>8595.0686917538733</v>
      </c>
      <c r="Y22" s="1">
        <v>0.05</v>
      </c>
      <c r="Z22" s="1">
        <v>1.5</v>
      </c>
      <c r="AA22" s="1">
        <f>VLOOKUP($N$1,$D$4:$J$15,MATCH(I$4,$D$4:$J$4,0),0)*角色成长!J35</f>
        <v>1</v>
      </c>
      <c r="AB22" s="1">
        <f t="shared" si="1"/>
        <v>0.9</v>
      </c>
      <c r="AC22" s="6"/>
      <c r="AD22" s="22"/>
      <c r="AE22" s="22"/>
      <c r="AF22" s="22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6"/>
      <c r="J23" s="6"/>
      <c r="K23" s="6"/>
      <c r="L23" s="6">
        <f t="shared" si="2"/>
        <v>1.1414322171535782</v>
      </c>
      <c r="M23" s="1">
        <v>19</v>
      </c>
      <c r="N23" s="6">
        <f>VLOOKUP($N$2,角色品星!$C$16:$D$20,2,0)*VLOOKUP($N$3,角色品星!$C$3:$E$14,3,0)*V23</f>
        <v>487.34039482244498</v>
      </c>
      <c r="O23" s="6">
        <f>VLOOKUP($N$2,角色品星!$C$16:$D$20,2,0)*VLOOKUP($N$3,角色品星!$C$3:$E$14,3,0)*W23</f>
        <v>10301.222729086725</v>
      </c>
      <c r="P23" s="6">
        <f>VLOOKUP($N$2,角色品星!$C$16:$D$20,2,0)*VLOOKUP($N$3,角色品星!$C$3:$E$14,3,0)*X23</f>
        <v>9024.8221263415671</v>
      </c>
      <c r="Q23" s="24">
        <f t="shared" si="3"/>
        <v>0.05</v>
      </c>
      <c r="R23" s="24">
        <f t="shared" si="4"/>
        <v>1.5</v>
      </c>
      <c r="S23" s="24">
        <f t="shared" si="5"/>
        <v>1</v>
      </c>
      <c r="T23" s="42">
        <f>N23*(1+Q23*(R23-1))*S23*战斗公式!$E$39+(P23*战斗公式!$E$40+1)*O23*战斗公式!$E$41</f>
        <v>23718.987374550219</v>
      </c>
      <c r="U23" s="42">
        <f t="shared" si="6"/>
        <v>1185.9493687275171</v>
      </c>
      <c r="V23" s="6">
        <f>VLOOKUP($N$1,$D$4:$J$15,MATCH(F$4,$D$4:$J$4,0),0)*角色成长!E36*角色成长!$L$15*AB23/AA23/(1+$Y$2*($Z$2-1))</f>
        <v>487.34039482244498</v>
      </c>
      <c r="W23" s="6">
        <f>VLOOKUP($N$1,$D$4:$J$15,MATCH(G$4,$D$4:$J$4,0),0)*角色成长!F36*角色成长!$L$15/(1+X23/角色成长!$N$16)</f>
        <v>10301.222729086725</v>
      </c>
      <c r="X23" s="6">
        <f>VLOOKUP($N$1,$D$4:$J$15,MATCH(H$4,$D$4:$J$4,0),0)*角色成长!G36*角色成长!$L$15</f>
        <v>9024.8221263415671</v>
      </c>
      <c r="Y23" s="1">
        <v>0.05</v>
      </c>
      <c r="Z23" s="1">
        <v>1.5</v>
      </c>
      <c r="AA23" s="1">
        <f>VLOOKUP($N$1,$D$4:$J$15,MATCH(I$4,$D$4:$J$4,0),0)*角色成长!J36</f>
        <v>1</v>
      </c>
      <c r="AB23" s="1">
        <f t="shared" si="1"/>
        <v>0.9</v>
      </c>
      <c r="AC23" s="6"/>
      <c r="AD23" s="22"/>
      <c r="AE23" s="22"/>
      <c r="AF23" s="22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6"/>
      <c r="J24" s="6"/>
      <c r="K24" s="6"/>
      <c r="L24" s="6">
        <f t="shared" si="2"/>
        <v>1.1367274340142746</v>
      </c>
      <c r="M24" s="1">
        <v>20</v>
      </c>
      <c r="N24" s="6">
        <f>VLOOKUP($N$2,角色品星!$C$16:$D$20,2,0)*VLOOKUP($N$3,角色品星!$C$3:$E$14,3,0)*V24</f>
        <v>511.70741456356723</v>
      </c>
      <c r="O24" s="6">
        <f>VLOOKUP($N$2,角色品星!$C$16:$D$20,2,0)*VLOOKUP($N$3,角色品星!$C$3:$E$14,3,0)*W24</f>
        <v>10771.701043017076</v>
      </c>
      <c r="P24" s="6">
        <f>VLOOKUP($N$2,角色品星!$C$16:$D$20,2,0)*VLOOKUP($N$3,角色品星!$C$3:$E$14,3,0)*X24</f>
        <v>9476.0632326586474</v>
      </c>
      <c r="Q24" s="24">
        <f t="shared" si="3"/>
        <v>0.05</v>
      </c>
      <c r="R24" s="24">
        <f t="shared" si="4"/>
        <v>1.5</v>
      </c>
      <c r="S24" s="24">
        <f t="shared" si="5"/>
        <v>1</v>
      </c>
      <c r="T24" s="42">
        <f>N24*(1+Q24*(R24-1))*S24*战斗公式!$E$39+(P24*战斗公式!$E$40+1)*O24*战斗公式!$E$41</f>
        <v>24904.936743277736</v>
      </c>
      <c r="U24" s="42">
        <f t="shared" si="6"/>
        <v>1245.2468371638861</v>
      </c>
      <c r="V24" s="6">
        <f>VLOOKUP($N$1,$D$4:$J$15,MATCH(F$4,$D$4:$J$4,0),0)*角色成长!E37*角色成长!$L$15*AB24/AA24/(1+$Y$2*($Z$2-1))</f>
        <v>511.70741456356723</v>
      </c>
      <c r="W24" s="6">
        <f>VLOOKUP($N$1,$D$4:$J$15,MATCH(G$4,$D$4:$J$4,0),0)*角色成长!F37*角色成长!$L$15/(1+X24/角色成长!$N$16)</f>
        <v>10771.701043017076</v>
      </c>
      <c r="X24" s="6">
        <f>VLOOKUP($N$1,$D$4:$J$15,MATCH(H$4,$D$4:$J$4,0),0)*角色成长!G37*角色成长!$L$15</f>
        <v>9476.0632326586474</v>
      </c>
      <c r="Y24" s="1">
        <v>0.05</v>
      </c>
      <c r="Z24" s="1">
        <v>1.5</v>
      </c>
      <c r="AA24" s="1">
        <f>VLOOKUP($N$1,$D$4:$J$15,MATCH(I$4,$D$4:$J$4,0),0)*角色成长!J37</f>
        <v>1</v>
      </c>
      <c r="AB24" s="1">
        <f t="shared" si="1"/>
        <v>0.9</v>
      </c>
      <c r="AC24" s="6"/>
      <c r="AD24" s="22"/>
      <c r="AE24" s="22"/>
      <c r="AF24" s="22"/>
      <c r="AG24" s="9"/>
      <c r="AH24" s="9"/>
      <c r="AI24" s="9"/>
      <c r="AJ24" s="9"/>
      <c r="AK24" s="9"/>
      <c r="AL24" s="9"/>
    </row>
    <row r="25" spans="2:38" ht="14.25" customHeight="1" x14ac:dyDescent="0.2">
      <c r="B25" s="33"/>
      <c r="C25" s="6"/>
      <c r="E25" s="6"/>
      <c r="F25" s="6"/>
      <c r="G25" s="6"/>
      <c r="H25" s="6"/>
      <c r="I25" s="26"/>
      <c r="J25" s="6"/>
      <c r="K25" s="6"/>
      <c r="L25" s="6">
        <f t="shared" si="2"/>
        <v>1.1318289737449418</v>
      </c>
      <c r="M25" s="1">
        <v>21</v>
      </c>
      <c r="N25" s="6">
        <f>VLOOKUP($N$2,角色品星!$C$16:$D$20,2,0)*VLOOKUP($N$3,角色品星!$C$3:$E$14,3,0)*V25</f>
        <v>537.29278529174564</v>
      </c>
      <c r="O25" s="6">
        <f>VLOOKUP($N$2,角色品星!$C$16:$D$20,2,0)*VLOOKUP($N$3,角色品星!$C$3:$E$14,3,0)*W25</f>
        <v>11261.547069950326</v>
      </c>
      <c r="P25" s="6">
        <f>VLOOKUP($N$2,角色品星!$C$16:$D$20,2,0)*VLOOKUP($N$3,角色品星!$C$3:$E$14,3,0)*X25</f>
        <v>9949.8663942915809</v>
      </c>
      <c r="Q25" s="24">
        <f t="shared" si="3"/>
        <v>0.05</v>
      </c>
      <c r="R25" s="24">
        <f t="shared" si="4"/>
        <v>1.5</v>
      </c>
      <c r="S25" s="24">
        <f t="shared" si="5"/>
        <v>1</v>
      </c>
      <c r="T25" s="42">
        <f>N25*(1+Q25*(R25-1))*S25*战斗公式!$E$39+(P25*战斗公式!$E$40+1)*O25*战斗公式!$E$41</f>
        <v>26150.183580441622</v>
      </c>
      <c r="U25" s="42">
        <f t="shared" si="6"/>
        <v>1307.5091790220831</v>
      </c>
      <c r="V25" s="6">
        <f>VLOOKUP($N$1,$D$4:$J$15,MATCH(F$4,$D$4:$J$4,0),0)*角色成长!E38*角色成长!$L$15*AB25/AA25/(1+$Y$2*($Z$2-1))</f>
        <v>537.29278529174564</v>
      </c>
      <c r="W25" s="6">
        <f>VLOOKUP($N$1,$D$4:$J$15,MATCH(G$4,$D$4:$J$4,0),0)*角色成长!F38*角色成长!$L$15/(1+X25/角色成长!$N$16)</f>
        <v>11261.547069950326</v>
      </c>
      <c r="X25" s="6">
        <f>VLOOKUP($N$1,$D$4:$J$15,MATCH(H$4,$D$4:$J$4,0),0)*角色成长!G38*角色成长!$L$15</f>
        <v>9949.8663942915809</v>
      </c>
      <c r="Y25" s="1">
        <v>0.05</v>
      </c>
      <c r="Z25" s="1">
        <v>1.5</v>
      </c>
      <c r="AA25" s="1">
        <f>VLOOKUP($N$1,$D$4:$J$15,MATCH(I$4,$D$4:$J$4,0),0)*角色成长!J38</f>
        <v>1</v>
      </c>
      <c r="AB25" s="1">
        <f t="shared" si="1"/>
        <v>0.9</v>
      </c>
      <c r="AC25" s="6"/>
      <c r="AD25" s="22"/>
      <c r="AE25" s="22"/>
      <c r="AF25" s="22"/>
      <c r="AG25" s="9"/>
      <c r="AH25" s="9"/>
      <c r="AI25" s="9"/>
      <c r="AJ25" s="9"/>
      <c r="AK25" s="9"/>
      <c r="AL25" s="9"/>
    </row>
    <row r="26" spans="2:38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>
        <f t="shared" si="2"/>
        <v>1.1267308224178703</v>
      </c>
      <c r="M26" s="1">
        <v>22</v>
      </c>
      <c r="N26" s="6">
        <f>VLOOKUP($N$2,角色品星!$C$16:$D$20,2,0)*VLOOKUP($N$3,角色品星!$C$3:$E$14,3,0)*V26</f>
        <v>564.15742455633301</v>
      </c>
      <c r="O26" s="6">
        <f>VLOOKUP($N$2,角色品星!$C$16:$D$20,2,0)*VLOOKUP($N$3,角色品星!$C$3:$E$14,3,0)*W26</f>
        <v>11771.362202657487</v>
      </c>
      <c r="P26" s="6">
        <f>VLOOKUP($N$2,角色品星!$C$16:$D$20,2,0)*VLOOKUP($N$3,角色品星!$C$3:$E$14,3,0)*X26</f>
        <v>10447.359714006159</v>
      </c>
      <c r="Q26" s="24">
        <f t="shared" si="3"/>
        <v>0.05</v>
      </c>
      <c r="R26" s="24">
        <f t="shared" si="4"/>
        <v>1.5</v>
      </c>
      <c r="S26" s="24">
        <f t="shared" si="5"/>
        <v>1</v>
      </c>
      <c r="T26" s="42">
        <f>N26*(1+Q26*(R26-1))*S26*战斗公式!$E$39+(P26*战斗公式!$E$40+1)*O26*战斗公式!$E$41</f>
        <v>27457.692759463705</v>
      </c>
      <c r="U26" s="42">
        <f t="shared" si="6"/>
        <v>1372.8846379731876</v>
      </c>
      <c r="V26" s="6">
        <f>VLOOKUP($N$1,$D$4:$J$15,MATCH(F$4,$D$4:$J$4,0),0)*角色成长!E39*角色成长!$L$15*AB26/AA26/(1+$Y$2*($Z$2-1))</f>
        <v>564.15742455633301</v>
      </c>
      <c r="W26" s="6">
        <f>VLOOKUP($N$1,$D$4:$J$15,MATCH(G$4,$D$4:$J$4,0),0)*角色成长!F39*角色成长!$L$15/(1+X26/角色成长!$N$16)</f>
        <v>11771.362202657487</v>
      </c>
      <c r="X26" s="6">
        <f>VLOOKUP($N$1,$D$4:$J$15,MATCH(H$4,$D$4:$J$4,0),0)*角色成长!G39*角色成长!$L$15</f>
        <v>10447.359714006159</v>
      </c>
      <c r="Y26" s="1">
        <v>0.05</v>
      </c>
      <c r="Z26" s="1">
        <v>1.5</v>
      </c>
      <c r="AA26" s="1">
        <f>VLOOKUP($N$1,$D$4:$J$15,MATCH(I$4,$D$4:$J$4,0),0)*角色成长!J39</f>
        <v>1</v>
      </c>
      <c r="AB26" s="1">
        <f t="shared" si="1"/>
        <v>0.9</v>
      </c>
      <c r="AC26" s="6"/>
      <c r="AD26" s="22"/>
      <c r="AE26" s="22"/>
      <c r="AF26" s="22"/>
      <c r="AG26" s="9"/>
      <c r="AH26" s="9"/>
      <c r="AI26" s="9"/>
      <c r="AJ26" s="9"/>
      <c r="AK26" s="9"/>
      <c r="AL26" s="9"/>
    </row>
    <row r="27" spans="2:38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>
        <f t="shared" si="2"/>
        <v>1.1214269605238807</v>
      </c>
      <c r="M27" s="1">
        <v>23</v>
      </c>
      <c r="N27" s="6">
        <f>VLOOKUP($N$2,角色品星!$C$16:$D$20,2,0)*VLOOKUP($N$3,角色品星!$C$3:$E$14,3,0)*V27</f>
        <v>592.36529578414968</v>
      </c>
      <c r="O27" s="6">
        <f>VLOOKUP($N$2,角色品星!$C$16:$D$20,2,0)*VLOOKUP($N$3,角色品星!$C$3:$E$14,3,0)*W27</f>
        <v>12301.748392056446</v>
      </c>
      <c r="P27" s="6">
        <f>VLOOKUP($N$2,角色品星!$C$16:$D$20,2,0)*VLOOKUP($N$3,角色品星!$C$3:$E$14,3,0)*X27</f>
        <v>10969.727699706469</v>
      </c>
      <c r="Q27" s="24">
        <f t="shared" si="3"/>
        <v>0.05</v>
      </c>
      <c r="R27" s="24">
        <f t="shared" si="4"/>
        <v>1.5</v>
      </c>
      <c r="S27" s="24">
        <f t="shared" si="5"/>
        <v>1</v>
      </c>
      <c r="T27" s="42">
        <f>N27*(1+Q27*(R27-1))*S27*战斗公式!$E$39+(P27*战斗公式!$E$40+1)*O27*战斗公式!$E$41</f>
        <v>28830.577397436893</v>
      </c>
      <c r="U27" s="42">
        <f t="shared" si="6"/>
        <v>1441.5288698718468</v>
      </c>
      <c r="V27" s="6">
        <f>VLOOKUP($N$1,$D$4:$J$15,MATCH(F$4,$D$4:$J$4,0),0)*角色成长!E40*角色成长!$L$15*AB27/AA27/(1+$Y$2*($Z$2-1))</f>
        <v>592.36529578414968</v>
      </c>
      <c r="W27" s="6">
        <f>VLOOKUP($N$1,$D$4:$J$15,MATCH(G$4,$D$4:$J$4,0),0)*角色成长!F40*角色成长!$L$15/(1+X27/角色成长!$N$16)</f>
        <v>12301.748392056446</v>
      </c>
      <c r="X27" s="6">
        <f>VLOOKUP($N$1,$D$4:$J$15,MATCH(H$4,$D$4:$J$4,0),0)*角色成长!G40*角色成长!$L$15</f>
        <v>10969.727699706469</v>
      </c>
      <c r="Y27" s="1">
        <v>0.05</v>
      </c>
      <c r="Z27" s="1">
        <v>1.5</v>
      </c>
      <c r="AA27" s="1">
        <f>VLOOKUP($N$1,$D$4:$J$15,MATCH(I$4,$D$4:$J$4,0),0)*角色成长!J40</f>
        <v>1</v>
      </c>
      <c r="AB27" s="1">
        <f t="shared" si="1"/>
        <v>0.9</v>
      </c>
      <c r="AC27" s="6"/>
      <c r="AD27" s="22"/>
      <c r="AE27" s="22"/>
      <c r="AF27" s="22"/>
      <c r="AG27" s="9"/>
      <c r="AH27" s="9"/>
      <c r="AI27" s="9"/>
      <c r="AJ27" s="9"/>
      <c r="AK27" s="9"/>
      <c r="AL27" s="9"/>
    </row>
    <row r="28" spans="2:38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>
        <f t="shared" si="2"/>
        <v>1.1159113824216733</v>
      </c>
      <c r="M28" s="1">
        <v>24</v>
      </c>
      <c r="N28" s="6">
        <f>VLOOKUP($N$2,角色品星!$C$16:$D$20,2,0)*VLOOKUP($N$3,角色品星!$C$3:$E$14,3,0)*V28</f>
        <v>621.98356057335718</v>
      </c>
      <c r="O28" s="6">
        <f>VLOOKUP($N$2,角色品星!$C$16:$D$20,2,0)*VLOOKUP($N$3,角色品星!$C$3:$E$14,3,0)*W28</f>
        <v>12853.306202277206</v>
      </c>
      <c r="P28" s="6">
        <f>VLOOKUP($N$2,角色品星!$C$16:$D$20,2,0)*VLOOKUP($N$3,角色品星!$C$3:$E$14,3,0)*X28</f>
        <v>11518.214084691792</v>
      </c>
      <c r="Q28" s="24">
        <f t="shared" si="3"/>
        <v>0.05</v>
      </c>
      <c r="R28" s="24">
        <f t="shared" si="4"/>
        <v>1.5</v>
      </c>
      <c r="S28" s="24">
        <f t="shared" si="5"/>
        <v>1</v>
      </c>
      <c r="T28" s="42">
        <f>N28*(1+Q28*(R28-1))*S28*战斗公式!$E$39+(P28*战斗公式!$E$40+1)*O28*战斗公式!$E$41</f>
        <v>30272.10626730874</v>
      </c>
      <c r="U28" s="42">
        <f t="shared" si="6"/>
        <v>1513.6053133654386</v>
      </c>
      <c r="V28" s="6">
        <f>VLOOKUP($N$1,$D$4:$J$15,MATCH(F$4,$D$4:$J$4,0),0)*角色成长!E41*角色成长!$L$15*AB28/AA28/(1+$Y$2*($Z$2-1))</f>
        <v>621.98356057335718</v>
      </c>
      <c r="W28" s="6">
        <f>VLOOKUP($N$1,$D$4:$J$15,MATCH(G$4,$D$4:$J$4,0),0)*角色成长!F41*角色成长!$L$15/(1+X28/角色成长!$N$16)</f>
        <v>12853.306202277206</v>
      </c>
      <c r="X28" s="6">
        <f>VLOOKUP($N$1,$D$4:$J$15,MATCH(H$4,$D$4:$J$4,0),0)*角色成长!G41*角色成长!$L$15</f>
        <v>11518.214084691792</v>
      </c>
      <c r="Y28" s="1">
        <v>0.05</v>
      </c>
      <c r="Z28" s="1">
        <v>1.5</v>
      </c>
      <c r="AA28" s="1">
        <f>VLOOKUP($N$1,$D$4:$J$15,MATCH(I$4,$D$4:$J$4,0),0)*角色成长!J41</f>
        <v>1</v>
      </c>
      <c r="AB28" s="1">
        <f t="shared" si="1"/>
        <v>0.9</v>
      </c>
      <c r="AC28" s="6"/>
      <c r="AD28" s="22"/>
      <c r="AE28" s="22"/>
      <c r="AF28" s="22"/>
      <c r="AG28" s="9"/>
      <c r="AH28" s="9"/>
      <c r="AI28" s="9"/>
      <c r="AJ28" s="9"/>
      <c r="AK28" s="9"/>
      <c r="AL28" s="9"/>
    </row>
    <row r="29" spans="2:38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>
        <f t="shared" si="2"/>
        <v>1.1101781175309042</v>
      </c>
      <c r="M29" s="1">
        <v>25</v>
      </c>
      <c r="N29" s="6">
        <f>VLOOKUP($N$2,角色品星!$C$16:$D$20,2,0)*VLOOKUP($N$3,角色品星!$C$3:$E$14,3,0)*V29</f>
        <v>653.08273860202507</v>
      </c>
      <c r="O29" s="6">
        <f>VLOOKUP($N$2,角色品星!$C$16:$D$20,2,0)*VLOOKUP($N$3,角色品星!$C$3:$E$14,3,0)*W29</f>
        <v>13426.632691354134</v>
      </c>
      <c r="P29" s="6">
        <f>VLOOKUP($N$2,角色品星!$C$16:$D$20,2,0)*VLOOKUP($N$3,角色品星!$C$3:$E$14,3,0)*X29</f>
        <v>12094.124788926381</v>
      </c>
      <c r="Q29" s="24">
        <f t="shared" si="3"/>
        <v>0.05</v>
      </c>
      <c r="R29" s="24">
        <f t="shared" si="4"/>
        <v>1.5</v>
      </c>
      <c r="S29" s="24">
        <f t="shared" si="5"/>
        <v>1</v>
      </c>
      <c r="T29" s="42">
        <f>N29*(1+Q29*(R29-1))*S29*战斗公式!$E$39+(P29*战斗公式!$E$40+1)*O29*战斗公式!$E$41</f>
        <v>31785.711580674179</v>
      </c>
      <c r="U29" s="42">
        <f t="shared" si="6"/>
        <v>1589.2855790337126</v>
      </c>
      <c r="V29" s="6">
        <f>VLOOKUP($N$1,$D$4:$J$15,MATCH(F$4,$D$4:$J$4,0),0)*角色成长!E42*角色成长!$L$15*AB29/AA29/(1+$Y$2*($Z$2-1))</f>
        <v>653.08273860202507</v>
      </c>
      <c r="W29" s="6">
        <f>VLOOKUP($N$1,$D$4:$J$15,MATCH(G$4,$D$4:$J$4,0),0)*角色成长!F42*角色成长!$L$15/(1+X29/角色成长!$N$16)</f>
        <v>13426.632691354134</v>
      </c>
      <c r="X29" s="6">
        <f>VLOOKUP($N$1,$D$4:$J$15,MATCH(H$4,$D$4:$J$4,0),0)*角色成长!G42*角色成长!$L$15</f>
        <v>12094.124788926381</v>
      </c>
      <c r="Y29" s="1">
        <v>0.05</v>
      </c>
      <c r="Z29" s="1">
        <v>1.5</v>
      </c>
      <c r="AA29" s="1">
        <f>VLOOKUP($N$1,$D$4:$J$15,MATCH(I$4,$D$4:$J$4,0),0)*角色成长!J42</f>
        <v>1</v>
      </c>
      <c r="AB29" s="1">
        <f t="shared" si="1"/>
        <v>0.9</v>
      </c>
      <c r="AC29" s="6"/>
      <c r="AD29" s="22"/>
      <c r="AE29" s="22"/>
      <c r="AF29" s="22"/>
      <c r="AG29" s="9"/>
      <c r="AH29" s="9"/>
      <c r="AI29" s="9"/>
      <c r="AJ29" s="9"/>
      <c r="AK29" s="9"/>
      <c r="AL29" s="9"/>
    </row>
    <row r="30" spans="2:38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>
        <f t="shared" si="2"/>
        <v>1.1042212533075415</v>
      </c>
      <c r="M30" s="1">
        <v>26</v>
      </c>
      <c r="N30" s="6">
        <f>VLOOKUP($N$2,角色品星!$C$16:$D$20,2,0)*VLOOKUP($N$3,角色品星!$C$3:$E$14,3,0)*V30</f>
        <v>685.73687553212631</v>
      </c>
      <c r="O30" s="6">
        <f>VLOOKUP($N$2,角色品星!$C$16:$D$20,2,0)*VLOOKUP($N$3,角色品星!$C$3:$E$14,3,0)*W30</f>
        <v>14022.319113690401</v>
      </c>
      <c r="P30" s="6">
        <f>VLOOKUP($N$2,角色品星!$C$16:$D$20,2,0)*VLOOKUP($N$3,角色品星!$C$3:$E$14,3,0)*X30</f>
        <v>12698.831028372701</v>
      </c>
      <c r="Q30" s="24">
        <f t="shared" si="3"/>
        <v>0.05</v>
      </c>
      <c r="R30" s="24">
        <f t="shared" si="4"/>
        <v>1.5</v>
      </c>
      <c r="S30" s="24">
        <f t="shared" si="5"/>
        <v>1</v>
      </c>
      <c r="T30" s="42">
        <f>N30*(1+Q30*(R30-1))*S30*战斗公式!$E$39+(P30*战斗公式!$E$40+1)*O30*战斗公式!$E$41</f>
        <v>33374.997159707891</v>
      </c>
      <c r="U30" s="42">
        <f t="shared" si="6"/>
        <v>1668.7498579853927</v>
      </c>
      <c r="V30" s="6">
        <f>VLOOKUP($N$1,$D$4:$J$15,MATCH(F$4,$D$4:$J$4,0),0)*角色成长!E43*角色成长!$L$15*AB30/AA30/(1+$Y$2*($Z$2-1))</f>
        <v>685.73687553212631</v>
      </c>
      <c r="W30" s="6">
        <f>VLOOKUP($N$1,$D$4:$J$15,MATCH(G$4,$D$4:$J$4,0),0)*角色成长!F43*角色成长!$L$15/(1+X30/角色成长!$N$16)</f>
        <v>14022.319113690401</v>
      </c>
      <c r="X30" s="6">
        <f>VLOOKUP($N$1,$D$4:$J$15,MATCH(H$4,$D$4:$J$4,0),0)*角色成长!G43*角色成长!$L$15</f>
        <v>12698.831028372701</v>
      </c>
      <c r="Y30" s="1">
        <v>0.05</v>
      </c>
      <c r="Z30" s="1">
        <v>1.5</v>
      </c>
      <c r="AA30" s="1">
        <f>VLOOKUP($N$1,$D$4:$J$15,MATCH(I$4,$D$4:$J$4,0),0)*角色成长!J43</f>
        <v>1</v>
      </c>
      <c r="AB30" s="1">
        <f t="shared" si="1"/>
        <v>0.9</v>
      </c>
      <c r="AC30" s="6"/>
      <c r="AD30" s="22"/>
      <c r="AE30" s="22"/>
      <c r="AF30" s="22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6"/>
      <c r="J31" s="6"/>
      <c r="K31" s="6"/>
      <c r="L31" s="6">
        <f t="shared" si="2"/>
        <v>1.0980349600277435</v>
      </c>
      <c r="M31" s="1">
        <v>27</v>
      </c>
      <c r="N31" s="6">
        <f>VLOOKUP($N$2,角色品星!$C$16:$D$20,2,0)*VLOOKUP($N$3,角色品星!$C$3:$E$14,3,0)*V31</f>
        <v>720.02371930873267</v>
      </c>
      <c r="O31" s="6">
        <f>VLOOKUP($N$2,角色品星!$C$16:$D$20,2,0)*VLOOKUP($N$3,角色品星!$C$3:$E$14,3,0)*W31</f>
        <v>14640.948441670202</v>
      </c>
      <c r="P31" s="6">
        <f>VLOOKUP($N$2,角色品星!$C$16:$D$20,2,0)*VLOOKUP($N$3,角色品星!$C$3:$E$14,3,0)*X31</f>
        <v>13333.772579791335</v>
      </c>
      <c r="Q31" s="24">
        <f t="shared" si="3"/>
        <v>0.05</v>
      </c>
      <c r="R31" s="24">
        <f t="shared" si="4"/>
        <v>1.5</v>
      </c>
      <c r="S31" s="24">
        <f t="shared" si="5"/>
        <v>1</v>
      </c>
      <c r="T31" s="42">
        <f>N31*(1+Q31*(R31-1))*S31*战斗公式!$E$39+(P31*战斗公式!$E$40+1)*O31*战斗公式!$E$41</f>
        <v>35043.747017693284</v>
      </c>
      <c r="U31" s="42">
        <f t="shared" si="6"/>
        <v>1752.187350884662</v>
      </c>
      <c r="V31" s="6">
        <f>VLOOKUP($N$1,$D$4:$J$15,MATCH(F$4,$D$4:$J$4,0),0)*角色成长!E44*角色成长!$L$15*AB31/AA31/(1+$Y$2*($Z$2-1))</f>
        <v>720.02371930873267</v>
      </c>
      <c r="W31" s="6">
        <f>VLOOKUP($N$1,$D$4:$J$15,MATCH(G$4,$D$4:$J$4,0),0)*角色成长!F44*角色成长!$L$15/(1+X31/角色成长!$N$16)</f>
        <v>14640.948441670202</v>
      </c>
      <c r="X31" s="6">
        <f>VLOOKUP($N$1,$D$4:$J$15,MATCH(H$4,$D$4:$J$4,0),0)*角色成长!G44*角色成长!$L$15</f>
        <v>13333.772579791335</v>
      </c>
      <c r="Y31" s="1">
        <v>0.05</v>
      </c>
      <c r="Z31" s="1">
        <v>1.5</v>
      </c>
      <c r="AA31" s="1">
        <f>VLOOKUP($N$1,$D$4:$J$15,MATCH(I$4,$D$4:$J$4,0),0)*角色成长!J44</f>
        <v>1</v>
      </c>
      <c r="AB31" s="1">
        <f t="shared" si="1"/>
        <v>0.9</v>
      </c>
      <c r="AC31" s="6"/>
      <c r="AD31" s="22"/>
      <c r="AE31" s="22"/>
      <c r="AF31" s="22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6"/>
      <c r="J32" s="6"/>
      <c r="K32" s="6"/>
      <c r="L32" s="6">
        <f t="shared" si="2"/>
        <v>1.0916135173921491</v>
      </c>
      <c r="M32" s="1">
        <v>28</v>
      </c>
      <c r="N32" s="6">
        <f>VLOOKUP($N$2,角色品星!$C$16:$D$20,2,0)*VLOOKUP($N$3,角色品星!$C$3:$E$14,3,0)*V32</f>
        <v>756.02490527416921</v>
      </c>
      <c r="O32" s="6">
        <f>VLOOKUP($N$2,角色品星!$C$16:$D$20,2,0)*VLOOKUP($N$3,角色品星!$C$3:$E$14,3,0)*W32</f>
        <v>15283.092705229659</v>
      </c>
      <c r="P32" s="6">
        <f>VLOOKUP($N$2,角色品星!$C$16:$D$20,2,0)*VLOOKUP($N$3,角色品星!$C$3:$E$14,3,0)*X32</f>
        <v>14000.461208780902</v>
      </c>
      <c r="Q32" s="24">
        <f t="shared" si="3"/>
        <v>0.05</v>
      </c>
      <c r="R32" s="24">
        <f t="shared" si="4"/>
        <v>1.5</v>
      </c>
      <c r="S32" s="24">
        <f t="shared" si="5"/>
        <v>1</v>
      </c>
      <c r="T32" s="42">
        <f>N32*(1+Q32*(R32-1))*S32*战斗公式!$E$39+(P32*战斗公式!$E$40+1)*O32*战斗公式!$E$41</f>
        <v>36795.934368577946</v>
      </c>
      <c r="U32" s="42">
        <f t="shared" si="6"/>
        <v>1839.7967184289009</v>
      </c>
      <c r="V32" s="6">
        <f>VLOOKUP($N$1,$D$4:$J$15,MATCH(F$4,$D$4:$J$4,0),0)*角色成长!E45*角色成长!$L$15*AB32/AA32/(1+$Y$2*($Z$2-1))</f>
        <v>756.02490527416921</v>
      </c>
      <c r="W32" s="6">
        <f>VLOOKUP($N$1,$D$4:$J$15,MATCH(G$4,$D$4:$J$4,0),0)*角色成长!F45*角色成长!$L$15/(1+X32/角色成长!$N$16)</f>
        <v>15283.092705229659</v>
      </c>
      <c r="X32" s="6">
        <f>VLOOKUP($N$1,$D$4:$J$15,MATCH(H$4,$D$4:$J$4,0),0)*角色成长!G45*角色成长!$L$15</f>
        <v>14000.461208780902</v>
      </c>
      <c r="Y32" s="1">
        <v>0.05</v>
      </c>
      <c r="Z32" s="1">
        <v>1.5</v>
      </c>
      <c r="AA32" s="1">
        <f>VLOOKUP($N$1,$D$4:$J$15,MATCH(I$4,$D$4:$J$4,0),0)*角色成长!J45</f>
        <v>1</v>
      </c>
      <c r="AB32" s="1">
        <f t="shared" si="1"/>
        <v>0.9</v>
      </c>
      <c r="AC32" s="6"/>
      <c r="AD32" s="22"/>
      <c r="AE32" s="22"/>
      <c r="AF32" s="22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6"/>
      <c r="J33" s="6"/>
      <c r="K33" s="6"/>
      <c r="L33" s="6">
        <f t="shared" si="2"/>
        <v>1.0849513429459807</v>
      </c>
      <c r="M33" s="1">
        <v>29</v>
      </c>
      <c r="N33" s="6">
        <f>VLOOKUP($N$2,角色品星!$C$16:$D$20,2,0)*VLOOKUP($N$3,角色品星!$C$3:$E$14,3,0)*V33</f>
        <v>793.82615053787777</v>
      </c>
      <c r="O33" s="6">
        <f>VLOOKUP($N$2,角色品星!$C$16:$D$20,2,0)*VLOOKUP($N$3,角色品星!$C$3:$E$14,3,0)*W33</f>
        <v>15949.310149846451</v>
      </c>
      <c r="P33" s="6">
        <f>VLOOKUP($N$2,角色品星!$C$16:$D$20,2,0)*VLOOKUP($N$3,角色品星!$C$3:$E$14,3,0)*X33</f>
        <v>14700.484269219951</v>
      </c>
      <c r="Q33" s="24">
        <f t="shared" si="3"/>
        <v>0.05</v>
      </c>
      <c r="R33" s="24">
        <f t="shared" si="4"/>
        <v>1.5</v>
      </c>
      <c r="S33" s="24">
        <f t="shared" si="5"/>
        <v>1</v>
      </c>
      <c r="T33" s="42">
        <f>N33*(1+Q33*(R33-1))*S33*战斗公式!$E$39+(P33*战斗公式!$E$40+1)*O33*战斗公式!$E$41</f>
        <v>38635.731087006847</v>
      </c>
      <c r="U33" s="42">
        <f t="shared" si="6"/>
        <v>1931.7865543503431</v>
      </c>
      <c r="V33" s="6">
        <f>VLOOKUP($N$1,$D$4:$J$15,MATCH(F$4,$D$4:$J$4,0),0)*角色成长!E46*角色成长!$L$15*AB33/AA33/(1+$Y$2*($Z$2-1))</f>
        <v>793.82615053787777</v>
      </c>
      <c r="W33" s="6">
        <f>VLOOKUP($N$1,$D$4:$J$15,MATCH(G$4,$D$4:$J$4,0),0)*角色成长!F46*角色成长!$L$15/(1+X33/角色成长!$N$16)</f>
        <v>15949.310149846451</v>
      </c>
      <c r="X33" s="6">
        <f>VLOOKUP($N$1,$D$4:$J$15,MATCH(H$4,$D$4:$J$4,0),0)*角色成长!G46*角色成长!$L$15</f>
        <v>14700.484269219951</v>
      </c>
      <c r="Y33" s="1">
        <v>0.05</v>
      </c>
      <c r="Z33" s="1">
        <v>1.5</v>
      </c>
      <c r="AA33" s="1">
        <f>VLOOKUP($N$1,$D$4:$J$15,MATCH(I$4,$D$4:$J$4,0),0)*角色成长!J46</f>
        <v>1</v>
      </c>
      <c r="AB33" s="1">
        <f t="shared" si="1"/>
        <v>0.9</v>
      </c>
      <c r="AC33" s="6"/>
      <c r="AD33" s="22"/>
      <c r="AE33" s="22"/>
      <c r="AF33" s="22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6"/>
      <c r="J34" s="6"/>
      <c r="K34" s="6"/>
      <c r="L34" s="6">
        <f t="shared" si="2"/>
        <v>1.0780430222916655</v>
      </c>
      <c r="M34" s="1">
        <v>30</v>
      </c>
      <c r="N34" s="6">
        <f>VLOOKUP($N$2,角色品星!$C$16:$D$20,2,0)*VLOOKUP($N$3,角色品星!$C$3:$E$14,3,0)*V34</f>
        <v>833.51745806477174</v>
      </c>
      <c r="O34" s="6">
        <f>VLOOKUP($N$2,角色品星!$C$16:$D$20,2,0)*VLOOKUP($N$3,角色品星!$C$3:$E$14,3,0)*W34</f>
        <v>16640.142215278007</v>
      </c>
      <c r="P34" s="6">
        <f>VLOOKUP($N$2,角色品星!$C$16:$D$20,2,0)*VLOOKUP($N$3,角色品星!$C$3:$E$14,3,0)*X34</f>
        <v>15435.508482680947</v>
      </c>
      <c r="Q34" s="24">
        <f t="shared" si="3"/>
        <v>0.05</v>
      </c>
      <c r="R34" s="24">
        <f t="shared" si="4"/>
        <v>1.5</v>
      </c>
      <c r="S34" s="24">
        <f t="shared" si="5"/>
        <v>1</v>
      </c>
      <c r="T34" s="42">
        <f>N34*(1+Q34*(R34-1))*S34*战斗公式!$E$39+(P34*战斗公式!$E$40+1)*O34*战斗公式!$E$41</f>
        <v>40567.51764135719</v>
      </c>
      <c r="U34" s="42">
        <f t="shared" si="6"/>
        <v>2028.3758820678704</v>
      </c>
      <c r="V34" s="6">
        <f>VLOOKUP($N$1,$D$4:$J$15,MATCH(F$4,$D$4:$J$4,0),0)*角色成长!E47*角色成长!$L$15*AB34/AA34/(1+$Y$2*($Z$2-1))</f>
        <v>833.51745806477174</v>
      </c>
      <c r="W34" s="6">
        <f>VLOOKUP($N$1,$D$4:$J$15,MATCH(G$4,$D$4:$J$4,0),0)*角色成长!F47*角色成长!$L$15/(1+X34/角色成长!$N$16)</f>
        <v>16640.142215278007</v>
      </c>
      <c r="X34" s="6">
        <f>VLOOKUP($N$1,$D$4:$J$15,MATCH(H$4,$D$4:$J$4,0),0)*角色成长!G47*角色成长!$L$15</f>
        <v>15435.508482680947</v>
      </c>
      <c r="Y34" s="1">
        <v>0.05</v>
      </c>
      <c r="Z34" s="1">
        <v>1.5</v>
      </c>
      <c r="AA34" s="1">
        <f>VLOOKUP($N$1,$D$4:$J$15,MATCH(I$4,$D$4:$J$4,0),0)*角色成长!J47</f>
        <v>1</v>
      </c>
      <c r="AB34" s="1">
        <f t="shared" si="1"/>
        <v>0.9</v>
      </c>
      <c r="AC34" s="6"/>
      <c r="AD34" s="22"/>
      <c r="AE34" s="22"/>
      <c r="AF34" s="22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6"/>
      <c r="J35" s="6"/>
      <c r="K35" s="6"/>
      <c r="L35" s="6">
        <f t="shared" si="2"/>
        <v>1.07088334104973</v>
      </c>
      <c r="M35" s="1">
        <v>31</v>
      </c>
      <c r="N35" s="6">
        <f>VLOOKUP($N$2,角色品星!$C$16:$D$20,2,0)*VLOOKUP($N$3,角色品星!$C$3:$E$14,3,0)*V35</f>
        <v>875.19333096801051</v>
      </c>
      <c r="O35" s="6">
        <f>VLOOKUP($N$2,角色品星!$C$16:$D$20,2,0)*VLOOKUP($N$3,角色品星!$C$3:$E$14,3,0)*W35</f>
        <v>17356.110339471565</v>
      </c>
      <c r="P35" s="6">
        <f>VLOOKUP($N$2,角色品星!$C$16:$D$20,2,0)*VLOOKUP($N$3,角色品星!$C$3:$E$14,3,0)*X35</f>
        <v>16207.283906814995</v>
      </c>
      <c r="Q35" s="24">
        <f t="shared" si="3"/>
        <v>0.05</v>
      </c>
      <c r="R35" s="24">
        <f t="shared" si="4"/>
        <v>1.5</v>
      </c>
      <c r="S35" s="24">
        <f t="shared" si="5"/>
        <v>1</v>
      </c>
      <c r="T35" s="42">
        <f>N35*(1+Q35*(R35-1))*S35*战斗公式!$E$39+(P35*战斗公式!$E$40+1)*O35*战斗公式!$E$41</f>
        <v>42595.89352342506</v>
      </c>
      <c r="U35" s="42">
        <f t="shared" si="6"/>
        <v>2129.7946761712446</v>
      </c>
      <c r="V35" s="6">
        <f>VLOOKUP($N$1,$D$4:$J$15,MATCH(F$4,$D$4:$J$4,0),0)*角色成长!E48*角色成长!$L$15*AB35/AA35/(1+$Y$2*($Z$2-1))</f>
        <v>875.19333096801051</v>
      </c>
      <c r="W35" s="6">
        <f>VLOOKUP($N$1,$D$4:$J$15,MATCH(G$4,$D$4:$J$4,0),0)*角色成长!F48*角色成长!$L$15/(1+X35/角色成长!$N$16)</f>
        <v>17356.110339471565</v>
      </c>
      <c r="X35" s="6">
        <f>VLOOKUP($N$1,$D$4:$J$15,MATCH(H$4,$D$4:$J$4,0),0)*角色成长!G48*角色成长!$L$15</f>
        <v>16207.283906814995</v>
      </c>
      <c r="Y35" s="1">
        <v>0.05</v>
      </c>
      <c r="Z35" s="1">
        <v>1.5</v>
      </c>
      <c r="AA35" s="1">
        <f>VLOOKUP($N$1,$D$4:$J$15,MATCH(I$4,$D$4:$J$4,0),0)*角色成长!J48</f>
        <v>1</v>
      </c>
      <c r="AB35" s="1">
        <f t="shared" si="1"/>
        <v>0.9</v>
      </c>
      <c r="AC35" s="6"/>
      <c r="AD35" s="22"/>
      <c r="AE35" s="22"/>
      <c r="AF35" s="22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6"/>
      <c r="J36" s="6"/>
      <c r="K36" s="6"/>
      <c r="L36" s="6">
        <f t="shared" si="2"/>
        <v>1.0634673185005838</v>
      </c>
      <c r="M36" s="1">
        <v>32</v>
      </c>
      <c r="N36" s="6">
        <f>VLOOKUP($N$2,角色品星!$C$16:$D$20,2,0)*VLOOKUP($N$3,角色品星!$C$3:$E$14,3,0)*V36</f>
        <v>918.95299751641107</v>
      </c>
      <c r="O36" s="6">
        <f>VLOOKUP($N$2,角色品星!$C$16:$D$20,2,0)*VLOOKUP($N$3,角色品星!$C$3:$E$14,3,0)*W36</f>
        <v>18097.712594386125</v>
      </c>
      <c r="P36" s="6">
        <f>VLOOKUP($N$2,角色品星!$C$16:$D$20,2,0)*VLOOKUP($N$3,角色品星!$C$3:$E$14,3,0)*X36</f>
        <v>17017.648102155748</v>
      </c>
      <c r="Q36" s="24">
        <f t="shared" si="3"/>
        <v>0.05</v>
      </c>
      <c r="R36" s="24">
        <f t="shared" si="4"/>
        <v>1.5</v>
      </c>
      <c r="S36" s="24">
        <f t="shared" si="5"/>
        <v>1</v>
      </c>
      <c r="T36" s="42">
        <f>N36*(1+Q36*(R36-1))*S36*战斗公式!$E$39+(P36*战斗公式!$E$40+1)*O36*战斗公式!$E$41</f>
        <v>44725.688199596305</v>
      </c>
      <c r="U36" s="42">
        <f t="shared" si="6"/>
        <v>2236.284409979824</v>
      </c>
      <c r="V36" s="6">
        <f>VLOOKUP($N$1,$D$4:$J$15,MATCH(F$4,$D$4:$J$4,0),0)*角色成长!E49*角色成长!$L$15*AB36/AA36/(1+$Y$2*($Z$2-1))</f>
        <v>918.95299751641107</v>
      </c>
      <c r="W36" s="6">
        <f>VLOOKUP($N$1,$D$4:$J$15,MATCH(G$4,$D$4:$J$4,0),0)*角色成长!F49*角色成长!$L$15/(1+X36/角色成长!$N$16)</f>
        <v>18097.712594386125</v>
      </c>
      <c r="X36" s="6">
        <f>VLOOKUP($N$1,$D$4:$J$15,MATCH(H$4,$D$4:$J$4,0),0)*角色成长!G49*角色成长!$L$15</f>
        <v>17017.648102155748</v>
      </c>
      <c r="Y36" s="1">
        <v>0.05</v>
      </c>
      <c r="Z36" s="1">
        <v>1.5</v>
      </c>
      <c r="AA36" s="1">
        <f>VLOOKUP($N$1,$D$4:$J$15,MATCH(I$4,$D$4:$J$4,0),0)*角色成长!J49</f>
        <v>1</v>
      </c>
      <c r="AB36" s="1">
        <f t="shared" si="1"/>
        <v>0.9</v>
      </c>
      <c r="AC36" s="6"/>
      <c r="AD36" s="22"/>
      <c r="AE36" s="22"/>
      <c r="AF36" s="22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6"/>
      <c r="J37" s="6"/>
      <c r="K37" s="6"/>
      <c r="L37" s="6">
        <f t="shared" si="2"/>
        <v>1.0557902428144361</v>
      </c>
      <c r="M37" s="1">
        <v>33</v>
      </c>
      <c r="N37" s="6">
        <f>VLOOKUP($N$2,角色品星!$C$16:$D$20,2,0)*VLOOKUP($N$3,角色品星!$C$3:$E$14,3,0)*V37</f>
        <v>964.90064739223158</v>
      </c>
      <c r="O37" s="6">
        <f>VLOOKUP($N$2,角色品星!$C$16:$D$20,2,0)*VLOOKUP($N$3,角色品星!$C$3:$E$14,3,0)*W37</f>
        <v>18865.420163000927</v>
      </c>
      <c r="P37" s="6">
        <f>VLOOKUP($N$2,角色品星!$C$16:$D$20,2,0)*VLOOKUP($N$3,角色品星!$C$3:$E$14,3,0)*X37</f>
        <v>17868.530507263535</v>
      </c>
      <c r="Q37" s="24">
        <f t="shared" si="3"/>
        <v>0.05</v>
      </c>
      <c r="R37" s="24">
        <f t="shared" si="4"/>
        <v>1.5</v>
      </c>
      <c r="S37" s="24">
        <f t="shared" si="5"/>
        <v>1</v>
      </c>
      <c r="T37" s="42">
        <f>N37*(1+Q37*(R37-1))*S37*战斗公式!$E$39+(P37*战斗公式!$E$40+1)*O37*战斗公式!$E$41</f>
        <v>46961.972609576129</v>
      </c>
      <c r="U37" s="42">
        <f t="shared" si="6"/>
        <v>2348.0986304788166</v>
      </c>
      <c r="V37" s="6">
        <f>VLOOKUP($N$1,$D$4:$J$15,MATCH(F$4,$D$4:$J$4,0),0)*角色成长!E50*角色成长!$L$15*AB37/AA37/(1+$Y$2*($Z$2-1))</f>
        <v>964.90064739223158</v>
      </c>
      <c r="W37" s="6">
        <f>VLOOKUP($N$1,$D$4:$J$15,MATCH(G$4,$D$4:$J$4,0),0)*角色成长!F50*角色成长!$L$15/(1+X37/角色成长!$N$16)</f>
        <v>18865.420163000927</v>
      </c>
      <c r="X37" s="6">
        <f>VLOOKUP($N$1,$D$4:$J$15,MATCH(H$4,$D$4:$J$4,0),0)*角色成长!G50*角色成长!$L$15</f>
        <v>17868.530507263535</v>
      </c>
      <c r="Y37" s="1">
        <v>0.05</v>
      </c>
      <c r="Z37" s="1">
        <v>1.5</v>
      </c>
      <c r="AA37" s="1">
        <f>VLOOKUP($N$1,$D$4:$J$15,MATCH(I$4,$D$4:$J$4,0),0)*角色成长!J50</f>
        <v>1</v>
      </c>
      <c r="AB37" s="1">
        <f t="shared" ref="AB37:AB68" si="7">VLOOKUP($N$1,$D$4:$J$15,MATCH(J$4,$D$4:$J$4,0),0)</f>
        <v>0.9</v>
      </c>
      <c r="AC37" s="6"/>
      <c r="AD37" s="22"/>
      <c r="AE37" s="22"/>
      <c r="AF37" s="22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6"/>
      <c r="J38" s="6"/>
      <c r="K38" s="6"/>
      <c r="L38" s="6">
        <f t="shared" si="2"/>
        <v>1.0478477077491806</v>
      </c>
      <c r="M38" s="1">
        <v>34</v>
      </c>
      <c r="N38" s="6">
        <f>VLOOKUP($N$2,角色品星!$C$16:$D$20,2,0)*VLOOKUP($N$3,角色品星!$C$3:$E$14,3,0)*V38</f>
        <v>1013.1456797618434</v>
      </c>
      <c r="O38" s="6">
        <f>VLOOKUP($N$2,角色品星!$C$16:$D$20,2,0)*VLOOKUP($N$3,角色品星!$C$3:$E$14,3,0)*W38</f>
        <v>19659.673669526517</v>
      </c>
      <c r="P38" s="6">
        <f>VLOOKUP($N$2,角色品星!$C$16:$D$20,2,0)*VLOOKUP($N$3,角色品星!$C$3:$E$14,3,0)*X38</f>
        <v>18761.957032626713</v>
      </c>
      <c r="Q38" s="24">
        <f t="shared" si="3"/>
        <v>0.05</v>
      </c>
      <c r="R38" s="24">
        <f t="shared" si="4"/>
        <v>1.5</v>
      </c>
      <c r="S38" s="24">
        <f t="shared" si="5"/>
        <v>1</v>
      </c>
      <c r="T38" s="42">
        <f>N38*(1+Q38*(R38-1))*S38*战斗公式!$E$39+(P38*战斗公式!$E$40+1)*O38*战斗公式!$E$41</f>
        <v>49310.071240054946</v>
      </c>
      <c r="U38" s="42">
        <f t="shared" si="6"/>
        <v>2465.5035620027411</v>
      </c>
      <c r="V38" s="6">
        <f>VLOOKUP($N$1,$D$4:$J$15,MATCH(F$4,$D$4:$J$4,0),0)*角色成长!E51*角色成长!$L$15*AB38/AA38/(1+$Y$2*($Z$2-1))</f>
        <v>1013.1456797618434</v>
      </c>
      <c r="W38" s="6">
        <f>VLOOKUP($N$1,$D$4:$J$15,MATCH(G$4,$D$4:$J$4,0),0)*角色成长!F51*角色成长!$L$15/(1+X38/角色成长!$N$16)</f>
        <v>19659.673669526517</v>
      </c>
      <c r="X38" s="6">
        <f>VLOOKUP($N$1,$D$4:$J$15,MATCH(H$4,$D$4:$J$4,0),0)*角色成长!G51*角色成长!$L$15</f>
        <v>18761.957032626713</v>
      </c>
      <c r="Y38" s="1">
        <v>0.05</v>
      </c>
      <c r="Z38" s="1">
        <v>1.5</v>
      </c>
      <c r="AA38" s="1">
        <f>VLOOKUP($N$1,$D$4:$J$15,MATCH(I$4,$D$4:$J$4,0),0)*角色成长!J51</f>
        <v>1</v>
      </c>
      <c r="AB38" s="1">
        <f t="shared" si="7"/>
        <v>0.9</v>
      </c>
      <c r="AC38" s="6"/>
      <c r="AD38" s="22"/>
      <c r="AE38" s="22"/>
      <c r="AF38" s="22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6"/>
      <c r="J39" s="6"/>
      <c r="K39" s="6"/>
      <c r="L39" s="6">
        <f t="shared" si="2"/>
        <v>1.0396356506667768</v>
      </c>
      <c r="M39" s="1">
        <v>35</v>
      </c>
      <c r="N39" s="6">
        <f>VLOOKUP($N$2,角色品星!$C$16:$D$20,2,0)*VLOOKUP($N$3,角色品星!$C$3:$E$14,3,0)*V39</f>
        <v>1063.8029637499355</v>
      </c>
      <c r="O39" s="6">
        <f>VLOOKUP($N$2,角色品星!$C$16:$D$20,2,0)*VLOOKUP($N$3,角色品星!$C$3:$E$14,3,0)*W39</f>
        <v>20480.879377766832</v>
      </c>
      <c r="P39" s="6">
        <f>VLOOKUP($N$2,角色品星!$C$16:$D$20,2,0)*VLOOKUP($N$3,角色品星!$C$3:$E$14,3,0)*X39</f>
        <v>19700.05488425805</v>
      </c>
      <c r="Q39" s="24">
        <f t="shared" si="3"/>
        <v>0.05</v>
      </c>
      <c r="R39" s="24">
        <f t="shared" si="4"/>
        <v>1.5</v>
      </c>
      <c r="S39" s="24">
        <f t="shared" si="5"/>
        <v>1</v>
      </c>
      <c r="T39" s="42">
        <f>N39*(1+Q39*(R39-1))*S39*战斗公式!$E$39+(P39*战斗公式!$E$40+1)*O39*战斗公式!$E$41</f>
        <v>51775.574802057687</v>
      </c>
      <c r="U39" s="42">
        <f t="shared" si="6"/>
        <v>2588.7787401028836</v>
      </c>
      <c r="V39" s="6">
        <f>VLOOKUP($N$1,$D$4:$J$15,MATCH(F$4,$D$4:$J$4,0),0)*角色成长!E52*角色成长!$L$15*AB39/AA39/(1+$Y$2*($Z$2-1))</f>
        <v>1063.8029637499355</v>
      </c>
      <c r="W39" s="6">
        <f>VLOOKUP($N$1,$D$4:$J$15,MATCH(G$4,$D$4:$J$4,0),0)*角色成长!F52*角色成长!$L$15/(1+X39/角色成长!$N$16)</f>
        <v>20480.879377766832</v>
      </c>
      <c r="X39" s="6">
        <f>VLOOKUP($N$1,$D$4:$J$15,MATCH(H$4,$D$4:$J$4,0),0)*角色成长!G52*角色成长!$L$15</f>
        <v>19700.05488425805</v>
      </c>
      <c r="Y39" s="1">
        <v>0.05</v>
      </c>
      <c r="Z39" s="1">
        <v>1.5</v>
      </c>
      <c r="AA39" s="1">
        <f>VLOOKUP($N$1,$D$4:$J$15,MATCH(I$4,$D$4:$J$4,0),0)*角色成长!J52</f>
        <v>1</v>
      </c>
      <c r="AB39" s="1">
        <f t="shared" si="7"/>
        <v>0.9</v>
      </c>
      <c r="AC39" s="6"/>
      <c r="AD39" s="22"/>
      <c r="AE39" s="22"/>
      <c r="AF39" s="22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6"/>
      <c r="J40" s="6"/>
      <c r="K40" s="6"/>
      <c r="L40" s="6">
        <f t="shared" si="2"/>
        <v>1.0311503916876508</v>
      </c>
      <c r="M40" s="1">
        <v>36</v>
      </c>
      <c r="N40" s="6">
        <f>VLOOKUP($N$2,角色品星!$C$16:$D$20,2,0)*VLOOKUP($N$3,角色品星!$C$3:$E$14,3,0)*V40</f>
        <v>1116.9931119374323</v>
      </c>
      <c r="O40" s="6">
        <f>VLOOKUP($N$2,角色品星!$C$16:$D$20,2,0)*VLOOKUP($N$3,角色品星!$C$3:$E$14,3,0)*W40</f>
        <v>21329.405275679452</v>
      </c>
      <c r="P40" s="6">
        <f>VLOOKUP($N$2,角色品星!$C$16:$D$20,2,0)*VLOOKUP($N$3,角色品星!$C$3:$E$14,3,0)*X40</f>
        <v>20685.057628470953</v>
      </c>
      <c r="Q40" s="24">
        <f t="shared" si="3"/>
        <v>0.05</v>
      </c>
      <c r="R40" s="24">
        <f t="shared" si="4"/>
        <v>1.5</v>
      </c>
      <c r="S40" s="24">
        <f t="shared" si="5"/>
        <v>1</v>
      </c>
      <c r="T40" s="42">
        <f>N40*(1+Q40*(R40-1))*S40*战斗公式!$E$39+(P40*战斗公式!$E$40+1)*O40*战斗公式!$E$41</f>
        <v>54364.35354216057</v>
      </c>
      <c r="U40" s="42">
        <f t="shared" si="6"/>
        <v>2718.217677108034</v>
      </c>
      <c r="V40" s="6">
        <f>VLOOKUP($N$1,$D$4:$J$15,MATCH(F$4,$D$4:$J$4,0),0)*角色成长!E53*角色成长!$L$15*AB40/AA40/(1+$Y$2*($Z$2-1))</f>
        <v>1116.9931119374323</v>
      </c>
      <c r="W40" s="6">
        <f>VLOOKUP($N$1,$D$4:$J$15,MATCH(G$4,$D$4:$J$4,0),0)*角色成长!F53*角色成长!$L$15/(1+X40/角色成长!$N$16)</f>
        <v>21329.405275679452</v>
      </c>
      <c r="X40" s="6">
        <f>VLOOKUP($N$1,$D$4:$J$15,MATCH(H$4,$D$4:$J$4,0),0)*角色成长!G53*角色成长!$L$15</f>
        <v>20685.057628470953</v>
      </c>
      <c r="Y40" s="1">
        <v>0.05</v>
      </c>
      <c r="Z40" s="1">
        <v>1.5</v>
      </c>
      <c r="AA40" s="1">
        <f>VLOOKUP($N$1,$D$4:$J$15,MATCH(I$4,$D$4:$J$4,0),0)*角色成长!J53</f>
        <v>1</v>
      </c>
      <c r="AB40" s="1">
        <f t="shared" si="7"/>
        <v>0.9</v>
      </c>
      <c r="AC40" s="6"/>
      <c r="AD40" s="22"/>
      <c r="AE40" s="22"/>
      <c r="AF40" s="22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6"/>
      <c r="J41" s="6"/>
      <c r="K41" s="6"/>
      <c r="L41" s="6">
        <f t="shared" si="2"/>
        <v>1.0223886737702848</v>
      </c>
      <c r="M41" s="1">
        <v>37</v>
      </c>
      <c r="N41" s="6">
        <f>VLOOKUP($N$2,角色品星!$C$16:$D$20,2,0)*VLOOKUP($N$3,角色品星!$C$3:$E$14,3,0)*V41</f>
        <v>1172.8427675343039</v>
      </c>
      <c r="O41" s="6">
        <f>VLOOKUP($N$2,角色品星!$C$16:$D$20,2,0)*VLOOKUP($N$3,角色品星!$C$3:$E$14,3,0)*W41</f>
        <v>22205.577067416045</v>
      </c>
      <c r="P41" s="6">
        <f>VLOOKUP($N$2,角色品星!$C$16:$D$20,2,0)*VLOOKUP($N$3,角色品星!$C$3:$E$14,3,0)*X41</f>
        <v>21719.310509894502</v>
      </c>
      <c r="Q41" s="24">
        <f t="shared" si="3"/>
        <v>0.05</v>
      </c>
      <c r="R41" s="24">
        <f t="shared" si="4"/>
        <v>1.5</v>
      </c>
      <c r="S41" s="24">
        <f t="shared" si="5"/>
        <v>1</v>
      </c>
      <c r="T41" s="42">
        <f>N41*(1+Q41*(R41-1))*S41*战斗公式!$E$39+(P41*战斗公式!$E$40+1)*O41*战斗公式!$E$41</f>
        <v>57082.571219268604</v>
      </c>
      <c r="U41" s="42">
        <f t="shared" si="6"/>
        <v>2854.1285609634215</v>
      </c>
      <c r="V41" s="6">
        <f>VLOOKUP($N$1,$D$4:$J$15,MATCH(F$4,$D$4:$J$4,0),0)*角色成长!E54*角色成长!$L$15*AB41/AA41/(1+$Y$2*($Z$2-1))</f>
        <v>1172.8427675343039</v>
      </c>
      <c r="W41" s="6">
        <f>VLOOKUP($N$1,$D$4:$J$15,MATCH(G$4,$D$4:$J$4,0),0)*角色成长!F54*角色成长!$L$15/(1+X41/角色成长!$N$16)</f>
        <v>22205.577067416045</v>
      </c>
      <c r="X41" s="6">
        <f>VLOOKUP($N$1,$D$4:$J$15,MATCH(H$4,$D$4:$J$4,0),0)*角色成长!G54*角色成长!$L$15</f>
        <v>21719.310509894502</v>
      </c>
      <c r="Y41" s="1">
        <v>0.05</v>
      </c>
      <c r="Z41" s="1">
        <v>1.5</v>
      </c>
      <c r="AA41" s="1">
        <f>VLOOKUP($N$1,$D$4:$J$15,MATCH(I$4,$D$4:$J$4,0),0)*角色成长!J54</f>
        <v>1</v>
      </c>
      <c r="AB41" s="1">
        <f t="shared" si="7"/>
        <v>0.9</v>
      </c>
      <c r="AC41" s="6"/>
      <c r="AD41" s="22"/>
      <c r="AE41" s="22"/>
      <c r="AF41" s="22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6"/>
      <c r="J42" s="6"/>
      <c r="K42" s="6"/>
      <c r="L42" s="6">
        <f t="shared" si="2"/>
        <v>1.0133477034698652</v>
      </c>
      <c r="M42" s="1">
        <v>38</v>
      </c>
      <c r="N42" s="6">
        <f>VLOOKUP($N$2,角色品星!$C$16:$D$20,2,0)*VLOOKUP($N$3,角色品星!$C$3:$E$14,3,0)*V42</f>
        <v>1231.484905911019</v>
      </c>
      <c r="O42" s="6">
        <f>VLOOKUP($N$2,角色品星!$C$16:$D$20,2,0)*VLOOKUP($N$3,角色品星!$C$3:$E$14,3,0)*W42</f>
        <v>23109.674097458024</v>
      </c>
      <c r="P42" s="6">
        <f>VLOOKUP($N$2,角色品星!$C$16:$D$20,2,0)*VLOOKUP($N$3,角色品星!$C$3:$E$14,3,0)*X42</f>
        <v>22805.276035389226</v>
      </c>
      <c r="Q42" s="24">
        <f t="shared" si="3"/>
        <v>0.05</v>
      </c>
      <c r="R42" s="24">
        <f t="shared" si="4"/>
        <v>1.5</v>
      </c>
      <c r="S42" s="24">
        <f t="shared" si="5"/>
        <v>1</v>
      </c>
      <c r="T42" s="42">
        <f>N42*(1+Q42*(R42-1))*S42*战斗公式!$E$39+(P42*战斗公式!$E$40+1)*O42*战斗公式!$E$41</f>
        <v>59936.699780232026</v>
      </c>
      <c r="U42" s="42">
        <f t="shared" si="6"/>
        <v>2996.8349890116078</v>
      </c>
      <c r="V42" s="6">
        <f>VLOOKUP($N$1,$D$4:$J$15,MATCH(F$4,$D$4:$J$4,0),0)*角色成长!E55*角色成长!$L$15*AB42/AA42/(1+$Y$2*($Z$2-1))</f>
        <v>1231.484905911019</v>
      </c>
      <c r="W42" s="6">
        <f>VLOOKUP($N$1,$D$4:$J$15,MATCH(G$4,$D$4:$J$4,0),0)*角色成长!F55*角色成长!$L$15/(1+X42/角色成长!$N$16)</f>
        <v>23109.674097458024</v>
      </c>
      <c r="X42" s="6">
        <f>VLOOKUP($N$1,$D$4:$J$15,MATCH(H$4,$D$4:$J$4,0),0)*角色成长!G55*角色成长!$L$15</f>
        <v>22805.276035389226</v>
      </c>
      <c r="Y42" s="1">
        <v>0.05</v>
      </c>
      <c r="Z42" s="1">
        <v>1.5</v>
      </c>
      <c r="AA42" s="1">
        <f>VLOOKUP($N$1,$D$4:$J$15,MATCH(I$4,$D$4:$J$4,0),0)*角色成长!J55</f>
        <v>1</v>
      </c>
      <c r="AB42" s="1">
        <f t="shared" si="7"/>
        <v>0.9</v>
      </c>
      <c r="AC42" s="6"/>
      <c r="AD42" s="22"/>
      <c r="AE42" s="22"/>
      <c r="AF42" s="22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6"/>
      <c r="J43" s="6"/>
      <c r="K43" s="6"/>
      <c r="L43" s="6">
        <f t="shared" si="2"/>
        <v>1.0040251920959908</v>
      </c>
      <c r="M43" s="1">
        <v>39</v>
      </c>
      <c r="N43" s="6">
        <f>VLOOKUP($N$2,角色品星!$C$16:$D$20,2,0)*VLOOKUP($N$3,角色品星!$C$3:$E$14,3,0)*V43</f>
        <v>1293.0591512065703</v>
      </c>
      <c r="O43" s="6">
        <f>VLOOKUP($N$2,角色品星!$C$16:$D$20,2,0)*VLOOKUP($N$3,角色品星!$C$3:$E$14,3,0)*W43</f>
        <v>24041.925234845454</v>
      </c>
      <c r="P43" s="6">
        <f>VLOOKUP($N$2,角色品星!$C$16:$D$20,2,0)*VLOOKUP($N$3,角色品星!$C$3:$E$14,3,0)*X43</f>
        <v>23945.539837158689</v>
      </c>
      <c r="Q43" s="24">
        <f t="shared" si="3"/>
        <v>0.05</v>
      </c>
      <c r="R43" s="24">
        <f t="shared" si="4"/>
        <v>1.5</v>
      </c>
      <c r="S43" s="24">
        <f t="shared" si="5"/>
        <v>1</v>
      </c>
      <c r="T43" s="42">
        <f>N43*(1+Q43*(R43-1))*S43*战斗公式!$E$39+(P43*战斗公式!$E$40+1)*O43*战斗公式!$E$41</f>
        <v>62933.534769243633</v>
      </c>
      <c r="U43" s="42">
        <f t="shared" si="6"/>
        <v>3146.676738462178</v>
      </c>
      <c r="V43" s="6">
        <f>VLOOKUP($N$1,$D$4:$J$15,MATCH(F$4,$D$4:$J$4,0),0)*角色成长!E56*角色成长!$L$15*AB43/AA43/(1+$Y$2*($Z$2-1))</f>
        <v>1293.0591512065703</v>
      </c>
      <c r="W43" s="6">
        <f>VLOOKUP($N$1,$D$4:$J$15,MATCH(G$4,$D$4:$J$4,0),0)*角色成长!F56*角色成长!$L$15/(1+X43/角色成长!$N$16)</f>
        <v>24041.925234845454</v>
      </c>
      <c r="X43" s="6">
        <f>VLOOKUP($N$1,$D$4:$J$15,MATCH(H$4,$D$4:$J$4,0),0)*角色成长!G56*角色成长!$L$15</f>
        <v>23945.539837158689</v>
      </c>
      <c r="Y43" s="1">
        <v>0.05</v>
      </c>
      <c r="Z43" s="1">
        <v>1.5</v>
      </c>
      <c r="AA43" s="1">
        <f>VLOOKUP($N$1,$D$4:$J$15,MATCH(I$4,$D$4:$J$4,0),0)*角色成长!J56</f>
        <v>1</v>
      </c>
      <c r="AB43" s="1">
        <f t="shared" si="7"/>
        <v>0.9</v>
      </c>
      <c r="AC43" s="6"/>
      <c r="AD43" s="22"/>
      <c r="AE43" s="22"/>
      <c r="AF43" s="22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6"/>
      <c r="J44" s="6"/>
      <c r="K44" s="6"/>
      <c r="L44" s="6">
        <f t="shared" si="2"/>
        <v>0.9944193969556695</v>
      </c>
      <c r="M44" s="1">
        <v>40</v>
      </c>
      <c r="N44" s="6">
        <f>VLOOKUP($N$2,角色品星!$C$16:$D$20,2,0)*VLOOKUP($N$3,角色品星!$C$3:$E$14,3,0)*V44</f>
        <v>1357.7121087668988</v>
      </c>
      <c r="O44" s="6">
        <f>VLOOKUP($N$2,角色品星!$C$16:$D$20,2,0)*VLOOKUP($N$3,角色品星!$C$3:$E$14,3,0)*W44</f>
        <v>25002.504748877567</v>
      </c>
      <c r="P44" s="6">
        <f>VLOOKUP($N$2,角色品星!$C$16:$D$20,2,0)*VLOOKUP($N$3,角色品星!$C$3:$E$14,3,0)*X44</f>
        <v>25142.816829016621</v>
      </c>
      <c r="Q44" s="24">
        <f t="shared" si="3"/>
        <v>0.05</v>
      </c>
      <c r="R44" s="24">
        <f t="shared" si="4"/>
        <v>1.5</v>
      </c>
      <c r="S44" s="24">
        <f t="shared" si="5"/>
        <v>1</v>
      </c>
      <c r="T44" s="42">
        <f>N44*(1+Q44*(R44-1))*S44*战斗公式!$E$39+(P44*战斗公式!$E$40+1)*O44*战斗公式!$E$41</f>
        <v>66080.211507705812</v>
      </c>
      <c r="U44" s="42">
        <f t="shared" si="6"/>
        <v>3304.0105753852986</v>
      </c>
      <c r="V44" s="6">
        <f>VLOOKUP($N$1,$D$4:$J$15,MATCH(F$4,$D$4:$J$4,0),0)*角色成长!E57*角色成长!$L$15*AB44/AA44/(1+$Y$2*($Z$2-1))</f>
        <v>1357.7121087668988</v>
      </c>
      <c r="W44" s="6">
        <f>VLOOKUP($N$1,$D$4:$J$15,MATCH(G$4,$D$4:$J$4,0),0)*角色成长!F57*角色成长!$L$15/(1+X44/角色成长!$N$16)</f>
        <v>25002.504748877567</v>
      </c>
      <c r="X44" s="6">
        <f>VLOOKUP($N$1,$D$4:$J$15,MATCH(H$4,$D$4:$J$4,0),0)*角色成长!G57*角色成长!$L$15</f>
        <v>25142.816829016621</v>
      </c>
      <c r="Y44" s="1">
        <v>0.05</v>
      </c>
      <c r="Z44" s="1">
        <v>1.5</v>
      </c>
      <c r="AA44" s="1">
        <f>VLOOKUP($N$1,$D$4:$J$15,MATCH(I$4,$D$4:$J$4,0),0)*角色成长!J57</f>
        <v>1</v>
      </c>
      <c r="AB44" s="1">
        <f t="shared" si="7"/>
        <v>0.9</v>
      </c>
      <c r="AC44" s="6"/>
      <c r="AD44" s="22"/>
      <c r="AE44" s="22"/>
      <c r="AF44" s="22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6"/>
      <c r="J45" s="6"/>
      <c r="K45" s="6"/>
      <c r="L45" s="6">
        <f t="shared" si="2"/>
        <v>0.9845291623346818</v>
      </c>
      <c r="M45" s="1">
        <v>41</v>
      </c>
      <c r="N45" s="6">
        <f>VLOOKUP($N$2,角色品星!$C$16:$D$20,2,0)*VLOOKUP($N$3,角色品星!$C$3:$E$14,3,0)*V45</f>
        <v>1425.5977142052436</v>
      </c>
      <c r="O45" s="6">
        <f>VLOOKUP($N$2,角色品星!$C$16:$D$20,2,0)*VLOOKUP($N$3,角色品星!$C$3:$E$14,3,0)*W45</f>
        <v>25991.528210976376</v>
      </c>
      <c r="P45" s="6">
        <f>VLOOKUP($N$2,角色品星!$C$16:$D$20,2,0)*VLOOKUP($N$3,角色品星!$C$3:$E$14,3,0)*X45</f>
        <v>26399.957670467451</v>
      </c>
      <c r="Q45" s="24">
        <f t="shared" si="3"/>
        <v>0.05</v>
      </c>
      <c r="R45" s="24">
        <f t="shared" si="4"/>
        <v>1.5</v>
      </c>
      <c r="S45" s="24">
        <f t="shared" si="5"/>
        <v>1</v>
      </c>
      <c r="T45" s="42">
        <f>N45*(1+Q45*(R45-1))*S45*战斗公式!$E$39+(P45*战斗公式!$E$40+1)*O45*战斗公式!$E$41</f>
        <v>69384.22208309111</v>
      </c>
      <c r="U45" s="42">
        <f t="shared" si="6"/>
        <v>3469.2111041545577</v>
      </c>
      <c r="V45" s="6">
        <f>VLOOKUP($N$1,$D$4:$J$15,MATCH(F$4,$D$4:$J$4,0),0)*角色成长!E58*角色成长!$L$15*AB45/AA45/(1+$Y$2*($Z$2-1))</f>
        <v>1425.5977142052436</v>
      </c>
      <c r="W45" s="6">
        <f>VLOOKUP($N$1,$D$4:$J$15,MATCH(G$4,$D$4:$J$4,0),0)*角色成长!F58*角色成长!$L$15/(1+X45/角色成长!$N$16)</f>
        <v>25991.528210976376</v>
      </c>
      <c r="X45" s="6">
        <f>VLOOKUP($N$1,$D$4:$J$15,MATCH(H$4,$D$4:$J$4,0),0)*角色成长!G58*角色成长!$L$15</f>
        <v>26399.957670467451</v>
      </c>
      <c r="Y45" s="1">
        <v>0.05</v>
      </c>
      <c r="Z45" s="1">
        <v>1.5</v>
      </c>
      <c r="AA45" s="1">
        <f>VLOOKUP($N$1,$D$4:$J$15,MATCH(I$4,$D$4:$J$4,0),0)*角色成长!J58</f>
        <v>1</v>
      </c>
      <c r="AB45" s="1">
        <f t="shared" si="7"/>
        <v>0.9</v>
      </c>
      <c r="AC45" s="6"/>
      <c r="AD45" s="22"/>
      <c r="AE45" s="22"/>
      <c r="AF45" s="22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6"/>
      <c r="J46" s="6"/>
      <c r="K46" s="6"/>
      <c r="L46" s="6">
        <f t="shared" si="2"/>
        <v>0.97435395983862816</v>
      </c>
      <c r="M46" s="1">
        <v>42</v>
      </c>
      <c r="N46" s="6">
        <f>VLOOKUP($N$2,角色品星!$C$16:$D$20,2,0)*VLOOKUP($N$3,角色品星!$C$3:$E$14,3,0)*V46</f>
        <v>1496.8775999155059</v>
      </c>
      <c r="O46" s="6">
        <f>VLOOKUP($N$2,角色品星!$C$16:$D$20,2,0)*VLOOKUP($N$3,角色品星!$C$3:$E$14,3,0)*W46</f>
        <v>27009.048460581733</v>
      </c>
      <c r="P46" s="6">
        <f>VLOOKUP($N$2,角色品星!$C$16:$D$20,2,0)*VLOOKUP($N$3,角色品星!$C$3:$E$14,3,0)*X46</f>
        <v>27719.955553990825</v>
      </c>
      <c r="Q46" s="24">
        <f t="shared" si="3"/>
        <v>0.05</v>
      </c>
      <c r="R46" s="24">
        <f t="shared" si="4"/>
        <v>1.5</v>
      </c>
      <c r="S46" s="24">
        <f t="shared" si="5"/>
        <v>1</v>
      </c>
      <c r="T46" s="42">
        <f>N46*(1+Q46*(R46-1))*S46*战斗公式!$E$39+(P46*战斗公式!$E$40+1)*O46*战斗公式!$E$41</f>
        <v>72853.433187245668</v>
      </c>
      <c r="U46" s="42">
        <f t="shared" si="6"/>
        <v>3642.6716593622841</v>
      </c>
      <c r="V46" s="6">
        <f>VLOOKUP($N$1,$D$4:$J$15,MATCH(F$4,$D$4:$J$4,0),0)*角色成长!E59*角色成长!$L$15*AB46/AA46/(1+$Y$2*($Z$2-1))</f>
        <v>1496.8775999155059</v>
      </c>
      <c r="W46" s="6">
        <f>VLOOKUP($N$1,$D$4:$J$15,MATCH(G$4,$D$4:$J$4,0),0)*角色成长!F59*角色成长!$L$15/(1+X46/角色成长!$N$16)</f>
        <v>27009.048460581733</v>
      </c>
      <c r="X46" s="6">
        <f>VLOOKUP($N$1,$D$4:$J$15,MATCH(H$4,$D$4:$J$4,0),0)*角色成长!G59*角色成长!$L$15</f>
        <v>27719.955553990825</v>
      </c>
      <c r="Y46" s="1">
        <v>0.05</v>
      </c>
      <c r="Z46" s="1">
        <v>1.5</v>
      </c>
      <c r="AA46" s="1">
        <f>VLOOKUP($N$1,$D$4:$J$15,MATCH(I$4,$D$4:$J$4,0),0)*角色成长!J59</f>
        <v>1</v>
      </c>
      <c r="AB46" s="1">
        <f t="shared" si="7"/>
        <v>0.9</v>
      </c>
      <c r="AC46" s="6"/>
      <c r="AD46" s="22"/>
      <c r="AE46" s="22"/>
      <c r="AF46" s="22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6"/>
      <c r="J47" s="6"/>
      <c r="K47" s="6"/>
      <c r="L47" s="6">
        <f t="shared" si="2"/>
        <v>0.96389392768535009</v>
      </c>
      <c r="M47" s="1">
        <v>43</v>
      </c>
      <c r="N47" s="6">
        <f>VLOOKUP($N$2,角色品星!$C$16:$D$20,2,0)*VLOOKUP($N$3,角色品星!$C$3:$E$14,3,0)*V47</f>
        <v>1571.7214799112812</v>
      </c>
      <c r="O47" s="6">
        <f>VLOOKUP($N$2,角色品星!$C$16:$D$20,2,0)*VLOOKUP($N$3,角色品星!$C$3:$E$14,3,0)*W47</f>
        <v>28055.05167590953</v>
      </c>
      <c r="P47" s="6">
        <f>VLOOKUP($N$2,角色品星!$C$16:$D$20,2,0)*VLOOKUP($N$3,角色品星!$C$3:$E$14,3,0)*X47</f>
        <v>29105.953331690369</v>
      </c>
      <c r="Q47" s="24">
        <f t="shared" si="3"/>
        <v>0.05</v>
      </c>
      <c r="R47" s="24">
        <f t="shared" si="4"/>
        <v>1.5</v>
      </c>
      <c r="S47" s="24">
        <f t="shared" si="5"/>
        <v>1</v>
      </c>
      <c r="T47" s="42">
        <f>N47*(1+Q47*(R47-1))*S47*战斗公式!$E$39+(P47*战斗公式!$E$40+1)*O47*战斗公式!$E$41</f>
        <v>76496.104846607952</v>
      </c>
      <c r="U47" s="42">
        <f t="shared" si="6"/>
        <v>3824.8052423304034</v>
      </c>
      <c r="V47" s="6">
        <f>VLOOKUP($N$1,$D$4:$J$15,MATCH(F$4,$D$4:$J$4,0),0)*角色成长!E60*角色成长!$L$15*AB47/AA47/(1+$Y$2*($Z$2-1))</f>
        <v>1571.7214799112812</v>
      </c>
      <c r="W47" s="6">
        <f>VLOOKUP($N$1,$D$4:$J$15,MATCH(G$4,$D$4:$J$4,0),0)*角色成长!F60*角色成长!$L$15/(1+X47/角色成长!$N$16)</f>
        <v>28055.05167590953</v>
      </c>
      <c r="X47" s="6">
        <f>VLOOKUP($N$1,$D$4:$J$15,MATCH(H$4,$D$4:$J$4,0),0)*角色成长!G60*角色成长!$L$15</f>
        <v>29105.953331690369</v>
      </c>
      <c r="Y47" s="1">
        <v>0.05</v>
      </c>
      <c r="Z47" s="1">
        <v>1.5</v>
      </c>
      <c r="AA47" s="1">
        <f>VLOOKUP($N$1,$D$4:$J$15,MATCH(I$4,$D$4:$J$4,0),0)*角色成长!J60</f>
        <v>1</v>
      </c>
      <c r="AB47" s="1">
        <f t="shared" si="7"/>
        <v>0.9</v>
      </c>
      <c r="AC47" s="6"/>
      <c r="AD47" s="22"/>
      <c r="AE47" s="22"/>
      <c r="AF47" s="22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6"/>
      <c r="J48" s="6"/>
      <c r="K48" s="6"/>
      <c r="L48" s="6">
        <f t="shared" si="2"/>
        <v>0.95314990851373527</v>
      </c>
      <c r="M48" s="1">
        <v>44</v>
      </c>
      <c r="N48" s="6">
        <f>VLOOKUP($N$2,角色品星!$C$16:$D$20,2,0)*VLOOKUP($N$3,角色品星!$C$3:$E$14,3,0)*V48</f>
        <v>1650.3075539068454</v>
      </c>
      <c r="O48" s="6">
        <f>VLOOKUP($N$2,角色品星!$C$16:$D$20,2,0)*VLOOKUP($N$3,角色品星!$C$3:$E$14,3,0)*W48</f>
        <v>29129.453593071012</v>
      </c>
      <c r="P48" s="6">
        <f>VLOOKUP($N$2,角色品星!$C$16:$D$20,2,0)*VLOOKUP($N$3,角色品星!$C$3:$E$14,3,0)*X48</f>
        <v>30561.250998274889</v>
      </c>
      <c r="Q48" s="24">
        <f t="shared" si="3"/>
        <v>0.05</v>
      </c>
      <c r="R48" s="24">
        <f t="shared" si="4"/>
        <v>1.5</v>
      </c>
      <c r="S48" s="24">
        <f t="shared" si="5"/>
        <v>1</v>
      </c>
      <c r="T48" s="42">
        <f>N48*(1+Q48*(R48-1))*S48*战斗公式!$E$39+(P48*战斗公式!$E$40+1)*O48*战斗公式!$E$41</f>
        <v>80320.910088938355</v>
      </c>
      <c r="U48" s="42">
        <f t="shared" si="6"/>
        <v>4016.0455044469272</v>
      </c>
      <c r="V48" s="6">
        <f>VLOOKUP($N$1,$D$4:$J$15,MATCH(F$4,$D$4:$J$4,0),0)*角色成长!E61*角色成长!$L$15*AB48/AA48/(1+$Y$2*($Z$2-1))</f>
        <v>1650.3075539068454</v>
      </c>
      <c r="W48" s="6">
        <f>VLOOKUP($N$1,$D$4:$J$15,MATCH(G$4,$D$4:$J$4,0),0)*角色成长!F61*角色成长!$L$15/(1+X48/角色成长!$N$16)</f>
        <v>29129.453593071012</v>
      </c>
      <c r="X48" s="6">
        <f>VLOOKUP($N$1,$D$4:$J$15,MATCH(H$4,$D$4:$J$4,0),0)*角色成长!G61*角色成长!$L$15</f>
        <v>30561.250998274889</v>
      </c>
      <c r="Y48" s="1">
        <v>0.05</v>
      </c>
      <c r="Z48" s="1">
        <v>1.5</v>
      </c>
      <c r="AA48" s="1">
        <f>VLOOKUP($N$1,$D$4:$J$15,MATCH(I$4,$D$4:$J$4,0),0)*角色成长!J61</f>
        <v>1</v>
      </c>
      <c r="AB48" s="1">
        <f t="shared" si="7"/>
        <v>0.9</v>
      </c>
      <c r="AC48" s="6"/>
      <c r="AD48" s="22"/>
      <c r="AE48" s="22"/>
      <c r="AF48" s="22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6"/>
      <c r="J49" s="6"/>
      <c r="K49" s="6"/>
      <c r="L49" s="6">
        <f t="shared" si="2"/>
        <v>0.94212348525109757</v>
      </c>
      <c r="M49" s="1">
        <v>45</v>
      </c>
      <c r="N49" s="6">
        <f>VLOOKUP($N$2,角色品星!$C$16:$D$20,2,0)*VLOOKUP($N$3,角色品星!$C$3:$E$14,3,0)*V49</f>
        <v>1732.8229316021882</v>
      </c>
      <c r="O49" s="6">
        <f>VLOOKUP($N$2,角色品星!$C$16:$D$20,2,0)*VLOOKUP($N$3,角色品星!$C$3:$E$14,3,0)*W49</f>
        <v>30232.095919334741</v>
      </c>
      <c r="P49" s="6">
        <f>VLOOKUP($N$2,角色品星!$C$16:$D$20,2,0)*VLOOKUP($N$3,角色品星!$C$3:$E$14,3,0)*X49</f>
        <v>32089.313548188635</v>
      </c>
      <c r="Q49" s="24">
        <f t="shared" si="3"/>
        <v>0.05</v>
      </c>
      <c r="R49" s="24">
        <f t="shared" si="4"/>
        <v>1.5</v>
      </c>
      <c r="S49" s="24">
        <f t="shared" si="5"/>
        <v>1</v>
      </c>
      <c r="T49" s="42">
        <f>N49*(1+Q49*(R49-1))*S49*战斗公式!$E$39+(P49*战斗公式!$E$40+1)*O49*战斗公式!$E$41</f>
        <v>84336.955593385283</v>
      </c>
      <c r="U49" s="42">
        <f t="shared" si="6"/>
        <v>4216.8477796692605</v>
      </c>
      <c r="V49" s="6">
        <f>VLOOKUP($N$1,$D$4:$J$15,MATCH(F$4,$D$4:$J$4,0),0)*角色成长!E62*角色成长!$L$15*AB49/AA49/(1+$Y$2*($Z$2-1))</f>
        <v>1732.8229316021882</v>
      </c>
      <c r="W49" s="6">
        <f>VLOOKUP($N$1,$D$4:$J$15,MATCH(G$4,$D$4:$J$4,0),0)*角色成长!F62*角色成长!$L$15/(1+X49/角色成长!$N$16)</f>
        <v>30232.095919334741</v>
      </c>
      <c r="X49" s="6">
        <f>VLOOKUP($N$1,$D$4:$J$15,MATCH(H$4,$D$4:$J$4,0),0)*角色成长!G62*角色成长!$L$15</f>
        <v>32089.313548188635</v>
      </c>
      <c r="Y49" s="1">
        <v>0.05</v>
      </c>
      <c r="Z49" s="1">
        <v>1.5</v>
      </c>
      <c r="AA49" s="1">
        <f>VLOOKUP($N$1,$D$4:$J$15,MATCH(I$4,$D$4:$J$4,0),0)*角色成长!J62</f>
        <v>1</v>
      </c>
      <c r="AB49" s="1">
        <f t="shared" si="7"/>
        <v>0.9</v>
      </c>
      <c r="AC49" s="6"/>
      <c r="AD49" s="22"/>
      <c r="AE49" s="22"/>
      <c r="AF49" s="22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6"/>
      <c r="J50" s="6"/>
      <c r="K50" s="6"/>
      <c r="L50" s="6">
        <f t="shared" si="2"/>
        <v>0.9308170145632132</v>
      </c>
      <c r="M50" s="1">
        <v>46</v>
      </c>
      <c r="N50" s="6">
        <f>VLOOKUP($N$2,角色品星!$C$16:$D$20,2,0)*VLOOKUP($N$3,角色品星!$C$3:$E$14,3,0)*V50</f>
        <v>1819.4640781822977</v>
      </c>
      <c r="O50" s="6">
        <f>VLOOKUP($N$2,角色品星!$C$16:$D$20,2,0)*VLOOKUP($N$3,角色品星!$C$3:$E$14,3,0)*W50</f>
        <v>31362.742988123206</v>
      </c>
      <c r="P50" s="6">
        <f>VLOOKUP($N$2,角色品星!$C$16:$D$20,2,0)*VLOOKUP($N$3,角色品星!$C$3:$E$14,3,0)*X50</f>
        <v>33693.779225598068</v>
      </c>
      <c r="Q50" s="24">
        <f t="shared" si="3"/>
        <v>0.05</v>
      </c>
      <c r="R50" s="24">
        <f t="shared" si="4"/>
        <v>1.5</v>
      </c>
      <c r="S50" s="24">
        <f t="shared" si="5"/>
        <v>1</v>
      </c>
      <c r="T50" s="42">
        <f>N50*(1+Q50*(R50-1))*S50*战斗公式!$E$39+(P50*战斗公式!$E$40+1)*O50*战斗公式!$E$41</f>
        <v>88553.803373054543</v>
      </c>
      <c r="U50" s="42">
        <f t="shared" si="6"/>
        <v>4427.6901686527417</v>
      </c>
      <c r="V50" s="6">
        <f>VLOOKUP($N$1,$D$4:$J$15,MATCH(F$4,$D$4:$J$4,0),0)*角色成长!E63*角色成长!$L$15*AB50/AA50/(1+$Y$2*($Z$2-1))</f>
        <v>1819.4640781822977</v>
      </c>
      <c r="W50" s="6">
        <f>VLOOKUP($N$1,$D$4:$J$15,MATCH(G$4,$D$4:$J$4,0),0)*角色成长!F63*角色成长!$L$15/(1+X50/角色成长!$N$16)</f>
        <v>31362.742988123206</v>
      </c>
      <c r="X50" s="6">
        <f>VLOOKUP($N$1,$D$4:$J$15,MATCH(H$4,$D$4:$J$4,0),0)*角色成长!G63*角色成长!$L$15</f>
        <v>33693.779225598068</v>
      </c>
      <c r="Y50" s="1">
        <v>0.05</v>
      </c>
      <c r="Z50" s="1">
        <v>1.5</v>
      </c>
      <c r="AA50" s="1">
        <f>VLOOKUP($N$1,$D$4:$J$15,MATCH(I$4,$D$4:$J$4,0),0)*角色成长!J63</f>
        <v>1</v>
      </c>
      <c r="AB50" s="1">
        <f t="shared" si="7"/>
        <v>0.9</v>
      </c>
      <c r="AC50" s="6"/>
      <c r="AD50" s="22"/>
      <c r="AE50" s="22"/>
      <c r="AF50" s="22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6"/>
      <c r="J51" s="6"/>
      <c r="K51" s="6"/>
      <c r="L51" s="6">
        <f t="shared" si="2"/>
        <v>0.91923365739860474</v>
      </c>
      <c r="M51" s="1">
        <v>47</v>
      </c>
      <c r="N51" s="6">
        <f>VLOOKUP($N$2,角色品星!$C$16:$D$20,2,0)*VLOOKUP($N$3,角色品星!$C$3:$E$14,3,0)*V51</f>
        <v>1910.4372820914125</v>
      </c>
      <c r="O51" s="6">
        <f>VLOOKUP($N$2,角色品星!$C$16:$D$20,2,0)*VLOOKUP($N$3,角色品星!$C$3:$E$14,3,0)*W51</f>
        <v>32521.078704584026</v>
      </c>
      <c r="P51" s="6">
        <f>VLOOKUP($N$2,角色品星!$C$16:$D$20,2,0)*VLOOKUP($N$3,角色品星!$C$3:$E$14,3,0)*X51</f>
        <v>35378.468186877973</v>
      </c>
      <c r="Q51" s="24">
        <f t="shared" si="3"/>
        <v>0.05</v>
      </c>
      <c r="R51" s="24">
        <f t="shared" si="4"/>
        <v>1.5</v>
      </c>
      <c r="S51" s="24">
        <f t="shared" si="5"/>
        <v>1</v>
      </c>
      <c r="T51" s="42">
        <f>N51*(1+Q51*(R51-1))*S51*战斗公式!$E$39+(P51*战斗公式!$E$40+1)*O51*战斗公式!$E$41</f>
        <v>92981.493541707285</v>
      </c>
      <c r="U51" s="42">
        <f t="shared" si="6"/>
        <v>4649.0746770853875</v>
      </c>
      <c r="V51" s="6">
        <f>VLOOKUP($N$1,$D$4:$J$15,MATCH(F$4,$D$4:$J$4,0),0)*角色成长!E64*角色成长!$L$15*AB51/AA51/(1+$Y$2*($Z$2-1))</f>
        <v>1910.4372820914125</v>
      </c>
      <c r="W51" s="6">
        <f>VLOOKUP($N$1,$D$4:$J$15,MATCH(G$4,$D$4:$J$4,0),0)*角色成长!F64*角色成长!$L$15/(1+X51/角色成长!$N$16)</f>
        <v>32521.078704584026</v>
      </c>
      <c r="X51" s="6">
        <f>VLOOKUP($N$1,$D$4:$J$15,MATCH(H$4,$D$4:$J$4,0),0)*角色成长!G64*角色成长!$L$15</f>
        <v>35378.468186877973</v>
      </c>
      <c r="Y51" s="1">
        <v>0.05</v>
      </c>
      <c r="Z51" s="1">
        <v>1.5</v>
      </c>
      <c r="AA51" s="1">
        <f>VLOOKUP($N$1,$D$4:$J$15,MATCH(I$4,$D$4:$J$4,0),0)*角色成长!J64</f>
        <v>1</v>
      </c>
      <c r="AB51" s="1">
        <f t="shared" si="7"/>
        <v>0.9</v>
      </c>
      <c r="AC51" s="6"/>
      <c r="AD51" s="22"/>
      <c r="AE51" s="22"/>
      <c r="AF51" s="22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6"/>
      <c r="J52" s="6"/>
      <c r="K52" s="6"/>
      <c r="L52" s="6">
        <f t="shared" si="2"/>
        <v>0.90737740613269324</v>
      </c>
      <c r="M52" s="1">
        <v>48</v>
      </c>
      <c r="N52" s="6">
        <f>VLOOKUP($N$2,角色品星!$C$16:$D$20,2,0)*VLOOKUP($N$3,角色品星!$C$3:$E$14,3,0)*V52</f>
        <v>2005.9591461959831</v>
      </c>
      <c r="O52" s="6">
        <f>VLOOKUP($N$2,角色品星!$C$16:$D$20,2,0)*VLOOKUP($N$3,角色品星!$C$3:$E$14,3,0)*W52</f>
        <v>33706.703831175211</v>
      </c>
      <c r="P52" s="6">
        <f>VLOOKUP($N$2,角色品星!$C$16:$D$20,2,0)*VLOOKUP($N$3,角色品星!$C$3:$E$14,3,0)*X52</f>
        <v>37147.391596221874</v>
      </c>
      <c r="Q52" s="24">
        <f t="shared" si="3"/>
        <v>0.05</v>
      </c>
      <c r="R52" s="24">
        <f t="shared" si="4"/>
        <v>1.5</v>
      </c>
      <c r="S52" s="24">
        <f t="shared" si="5"/>
        <v>1</v>
      </c>
      <c r="T52" s="42">
        <f>N52*(1+Q52*(R52-1))*S52*战斗公式!$E$39+(P52*战斗公式!$E$40+1)*O52*战斗公式!$E$41</f>
        <v>97630.568218792672</v>
      </c>
      <c r="U52" s="42">
        <f t="shared" si="6"/>
        <v>4881.5284109396162</v>
      </c>
      <c r="V52" s="6">
        <f>VLOOKUP($N$1,$D$4:$J$15,MATCH(F$4,$D$4:$J$4,0),0)*角色成长!E65*角色成长!$L$15*AB52/AA52/(1+$Y$2*($Z$2-1))</f>
        <v>2005.9591461959831</v>
      </c>
      <c r="W52" s="6">
        <f>VLOOKUP($N$1,$D$4:$J$15,MATCH(G$4,$D$4:$J$4,0),0)*角色成长!F65*角色成长!$L$15/(1+X52/角色成长!$N$16)</f>
        <v>33706.703831175211</v>
      </c>
      <c r="X52" s="6">
        <f>VLOOKUP($N$1,$D$4:$J$15,MATCH(H$4,$D$4:$J$4,0),0)*角色成长!G65*角色成长!$L$15</f>
        <v>37147.391596221874</v>
      </c>
      <c r="Y52" s="1">
        <v>0.05</v>
      </c>
      <c r="Z52" s="1">
        <v>1.5</v>
      </c>
      <c r="AA52" s="1">
        <f>VLOOKUP($N$1,$D$4:$J$15,MATCH(I$4,$D$4:$J$4,0),0)*角色成长!J65</f>
        <v>1</v>
      </c>
      <c r="AB52" s="1">
        <f t="shared" si="7"/>
        <v>0.9</v>
      </c>
      <c r="AC52" s="6"/>
      <c r="AD52" s="22"/>
      <c r="AE52" s="22"/>
      <c r="AF52" s="22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6"/>
      <c r="J53" s="6"/>
      <c r="K53" s="6"/>
      <c r="L53" s="6">
        <f t="shared" si="2"/>
        <v>0.89525310781873502</v>
      </c>
      <c r="M53" s="1">
        <v>49</v>
      </c>
      <c r="N53" s="6">
        <f>VLOOKUP($N$2,角色品星!$C$16:$D$20,2,0)*VLOOKUP($N$3,角色品星!$C$3:$E$14,3,0)*V53</f>
        <v>2106.2571035057827</v>
      </c>
      <c r="O53" s="6">
        <f>VLOOKUP($N$2,角色品星!$C$16:$D$20,2,0)*VLOOKUP($N$3,角色品星!$C$3:$E$14,3,0)*W53</f>
        <v>34919.133662571046</v>
      </c>
      <c r="P53" s="6">
        <f>VLOOKUP($N$2,角色品星!$C$16:$D$20,2,0)*VLOOKUP($N$3,角色品星!$C$3:$E$14,3,0)*X53</f>
        <v>39004.76117603296</v>
      </c>
      <c r="Q53" s="24">
        <f t="shared" si="3"/>
        <v>0.05</v>
      </c>
      <c r="R53" s="24">
        <f t="shared" si="4"/>
        <v>1.5</v>
      </c>
      <c r="S53" s="24">
        <f t="shared" si="5"/>
        <v>1</v>
      </c>
      <c r="T53" s="42">
        <f>N53*(1+Q53*(R53-1))*S53*战斗公式!$E$39+(P53*战斗公式!$E$40+1)*O53*战斗公式!$E$41</f>
        <v>102512.09662973229</v>
      </c>
      <c r="U53" s="42">
        <f t="shared" si="6"/>
        <v>5125.6048314866202</v>
      </c>
      <c r="V53" s="6">
        <f>VLOOKUP($N$1,$D$4:$J$15,MATCH(F$4,$D$4:$J$4,0),0)*角色成长!E66*角色成长!$L$15*AB53/AA53/(1+$Y$2*($Z$2-1))</f>
        <v>2106.2571035057827</v>
      </c>
      <c r="W53" s="6">
        <f>VLOOKUP($N$1,$D$4:$J$15,MATCH(G$4,$D$4:$J$4,0),0)*角色成长!F66*角色成长!$L$15/(1+X53/角色成长!$N$16)</f>
        <v>34919.133662571046</v>
      </c>
      <c r="X53" s="6">
        <f>VLOOKUP($N$1,$D$4:$J$15,MATCH(H$4,$D$4:$J$4,0),0)*角色成长!G66*角色成长!$L$15</f>
        <v>39004.76117603296</v>
      </c>
      <c r="Y53" s="1">
        <v>0.05</v>
      </c>
      <c r="Z53" s="1">
        <v>1.5</v>
      </c>
      <c r="AA53" s="1">
        <f>VLOOKUP($N$1,$D$4:$J$15,MATCH(I$4,$D$4:$J$4,0),0)*角色成长!J66</f>
        <v>1</v>
      </c>
      <c r="AB53" s="1">
        <f t="shared" si="7"/>
        <v>0.9</v>
      </c>
      <c r="AC53" s="6"/>
      <c r="AD53" s="22"/>
      <c r="AE53" s="22"/>
      <c r="AF53" s="22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6"/>
      <c r="J54" s="6"/>
      <c r="K54" s="6"/>
      <c r="L54" s="6">
        <f t="shared" si="2"/>
        <v>0.88286648306185256</v>
      </c>
      <c r="M54" s="1">
        <v>50</v>
      </c>
      <c r="N54" s="6">
        <f>VLOOKUP($N$2,角色品星!$C$16:$D$20,2,0)*VLOOKUP($N$3,角色品星!$C$3:$E$14,3,0)*V54</f>
        <v>2211.569958681072</v>
      </c>
      <c r="O54" s="6">
        <f>VLOOKUP($N$2,角色品星!$C$16:$D$20,2,0)*VLOOKUP($N$3,角色品星!$C$3:$E$14,3,0)*W54</f>
        <v>36157.796138259298</v>
      </c>
      <c r="P54" s="6">
        <f>VLOOKUP($N$2,角色品星!$C$16:$D$20,2,0)*VLOOKUP($N$3,角色品星!$C$3:$E$14,3,0)*X54</f>
        <v>40954.999234834613</v>
      </c>
      <c r="Q54" s="24">
        <f t="shared" si="3"/>
        <v>0.05</v>
      </c>
      <c r="R54" s="24">
        <f t="shared" si="4"/>
        <v>1.5</v>
      </c>
      <c r="S54" s="24">
        <f t="shared" si="5"/>
        <v>1</v>
      </c>
      <c r="T54" s="42">
        <f>N54*(1+Q54*(R54-1))*S54*战斗公式!$E$39+(P54*战斗公式!$E$40+1)*O54*战斗公式!$E$41</f>
        <v>107637.70146121891</v>
      </c>
      <c r="U54" s="42">
        <f t="shared" si="6"/>
        <v>5381.8850730609556</v>
      </c>
      <c r="V54" s="6">
        <f>VLOOKUP($N$1,$D$4:$J$15,MATCH(F$4,$D$4:$J$4,0),0)*角色成长!E67*角色成长!$L$15*AB54/AA54/(1+$Y$2*($Z$2-1))</f>
        <v>2211.569958681072</v>
      </c>
      <c r="W54" s="6">
        <f>VLOOKUP($N$1,$D$4:$J$15,MATCH(G$4,$D$4:$J$4,0),0)*角色成长!F67*角色成长!$L$15/(1+X54/角色成长!$N$16)</f>
        <v>36157.796138259298</v>
      </c>
      <c r="X54" s="6">
        <f>VLOOKUP($N$1,$D$4:$J$15,MATCH(H$4,$D$4:$J$4,0),0)*角色成长!G67*角色成长!$L$15</f>
        <v>40954.999234834613</v>
      </c>
      <c r="Y54" s="1">
        <v>0.05</v>
      </c>
      <c r="Z54" s="1">
        <v>1.5</v>
      </c>
      <c r="AA54" s="1">
        <f>VLOOKUP($N$1,$D$4:$J$15,MATCH(I$4,$D$4:$J$4,0),0)*角色成长!J67</f>
        <v>1</v>
      </c>
      <c r="AB54" s="1">
        <f t="shared" si="7"/>
        <v>0.9</v>
      </c>
      <c r="AC54" s="6"/>
      <c r="AD54" s="22"/>
      <c r="AE54" s="22"/>
      <c r="AF54" s="22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6"/>
      <c r="J55" s="6"/>
      <c r="K55" s="6"/>
      <c r="L55" s="6">
        <f t="shared" si="2"/>
        <v>0.87022414005047566</v>
      </c>
      <c r="M55" s="1">
        <v>51</v>
      </c>
      <c r="N55" s="6">
        <f>VLOOKUP($N$2,角色品星!$C$16:$D$20,2,0)*VLOOKUP($N$3,角色品星!$C$3:$E$14,3,0)*V55</f>
        <v>2322.1484566151253</v>
      </c>
      <c r="O55" s="6">
        <f>VLOOKUP($N$2,角色品星!$C$16:$D$20,2,0)*VLOOKUP($N$3,角色品星!$C$3:$E$14,3,0)*W55</f>
        <v>37422.030439396942</v>
      </c>
      <c r="P55" s="6">
        <f>VLOOKUP($N$2,角色品星!$C$16:$D$20,2,0)*VLOOKUP($N$3,角色品星!$C$3:$E$14,3,0)*X55</f>
        <v>43002.749196576355</v>
      </c>
      <c r="Q55" s="24">
        <f t="shared" si="3"/>
        <v>0.05</v>
      </c>
      <c r="R55" s="24">
        <f t="shared" si="4"/>
        <v>1.5</v>
      </c>
      <c r="S55" s="24">
        <f t="shared" si="5"/>
        <v>1</v>
      </c>
      <c r="T55" s="42">
        <f>N55*(1+Q55*(R55-1))*S55*战斗公式!$E$39+(P55*战斗公式!$E$40+1)*O55*战斗公式!$E$41</f>
        <v>113019.58653427986</v>
      </c>
      <c r="U55" s="42">
        <f t="shared" si="6"/>
        <v>5650.9793267140049</v>
      </c>
      <c r="V55" s="6">
        <f>VLOOKUP($N$1,$D$4:$J$15,MATCH(F$4,$D$4:$J$4,0),0)*角色成长!E68*角色成长!$L$15*AB55/AA55/(1+$Y$2*($Z$2-1))</f>
        <v>2322.1484566151253</v>
      </c>
      <c r="W55" s="6">
        <f>VLOOKUP($N$1,$D$4:$J$15,MATCH(G$4,$D$4:$J$4,0),0)*角色成长!F68*角色成长!$L$15/(1+X55/角色成长!$N$16)</f>
        <v>37422.030439396942</v>
      </c>
      <c r="X55" s="6">
        <f>VLOOKUP($N$1,$D$4:$J$15,MATCH(H$4,$D$4:$J$4,0),0)*角色成长!G68*角色成长!$L$15</f>
        <v>43002.749196576355</v>
      </c>
      <c r="Y55" s="1">
        <v>0.05</v>
      </c>
      <c r="Z55" s="1">
        <v>1.5</v>
      </c>
      <c r="AA55" s="1">
        <f>VLOOKUP($N$1,$D$4:$J$15,MATCH(I$4,$D$4:$J$4,0),0)*角色成长!J68</f>
        <v>1</v>
      </c>
      <c r="AB55" s="1">
        <f t="shared" si="7"/>
        <v>0.9</v>
      </c>
      <c r="AC55" s="6"/>
      <c r="AD55" s="22"/>
      <c r="AE55" s="22"/>
      <c r="AF55" s="22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6"/>
      <c r="J56" s="6"/>
      <c r="K56" s="6"/>
      <c r="L56" s="6">
        <f t="shared" si="2"/>
        <v>0.8573335833066823</v>
      </c>
      <c r="M56" s="1">
        <v>52</v>
      </c>
      <c r="N56" s="6">
        <f>VLOOKUP($N$2,角色品星!$C$16:$D$20,2,0)*VLOOKUP($N$3,角色品星!$C$3:$E$14,3,0)*V56</f>
        <v>2438.2558794458819</v>
      </c>
      <c r="O56" s="6">
        <f>VLOOKUP($N$2,角色品星!$C$16:$D$20,2,0)*VLOOKUP($N$3,角色品星!$C$3:$E$14,3,0)*W56</f>
        <v>38711.08611377632</v>
      </c>
      <c r="P56" s="6">
        <f>VLOOKUP($N$2,角色品星!$C$16:$D$20,2,0)*VLOOKUP($N$3,角色品星!$C$3:$E$14,3,0)*X56</f>
        <v>45152.886656405164</v>
      </c>
      <c r="Q56" s="24">
        <f t="shared" si="3"/>
        <v>0.05</v>
      </c>
      <c r="R56" s="24">
        <f t="shared" si="4"/>
        <v>1.5</v>
      </c>
      <c r="S56" s="24">
        <f t="shared" si="5"/>
        <v>1</v>
      </c>
      <c r="T56" s="42">
        <f>N56*(1+Q56*(R56-1))*S56*战斗公式!$E$39+(P56*战斗公式!$E$40+1)*O56*战斗公式!$E$41</f>
        <v>118670.56586099387</v>
      </c>
      <c r="U56" s="42">
        <f t="shared" si="6"/>
        <v>5933.5282930496905</v>
      </c>
      <c r="V56" s="6">
        <f>VLOOKUP($N$1,$D$4:$J$15,MATCH(F$4,$D$4:$J$4,0),0)*角色成长!E69*角色成长!$L$15*AB56/AA56/(1+$Y$2*($Z$2-1))</f>
        <v>2438.2558794458819</v>
      </c>
      <c r="W56" s="6">
        <f>VLOOKUP($N$1,$D$4:$J$15,MATCH(G$4,$D$4:$J$4,0),0)*角色成长!F69*角色成长!$L$15/(1+X56/角色成长!$N$16)</f>
        <v>38711.08611377632</v>
      </c>
      <c r="X56" s="6">
        <f>VLOOKUP($N$1,$D$4:$J$15,MATCH(H$4,$D$4:$J$4,0),0)*角色成长!G69*角色成长!$L$15</f>
        <v>45152.886656405164</v>
      </c>
      <c r="Y56" s="1">
        <v>0.05</v>
      </c>
      <c r="Z56" s="1">
        <v>1.5</v>
      </c>
      <c r="AA56" s="1">
        <f>VLOOKUP($N$1,$D$4:$J$15,MATCH(I$4,$D$4:$J$4,0),0)*角色成长!J69</f>
        <v>1</v>
      </c>
      <c r="AB56" s="1">
        <f t="shared" si="7"/>
        <v>0.9</v>
      </c>
      <c r="AC56" s="6"/>
      <c r="AD56" s="22"/>
      <c r="AE56" s="22"/>
      <c r="AF56" s="22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6"/>
      <c r="J57" s="6"/>
      <c r="K57" s="6"/>
      <c r="L57" s="6">
        <f t="shared" si="2"/>
        <v>0.84420321675349275</v>
      </c>
      <c r="M57" s="1">
        <v>53</v>
      </c>
      <c r="N57" s="6">
        <f>VLOOKUP($N$2,角色品星!$C$16:$D$20,2,0)*VLOOKUP($N$3,角色品星!$C$3:$E$14,3,0)*V57</f>
        <v>2560.1686734181762</v>
      </c>
      <c r="O57" s="6">
        <f>VLOOKUP($N$2,角色品星!$C$16:$D$20,2,0)*VLOOKUP($N$3,角色品星!$C$3:$E$14,3,0)*W57</f>
        <v>40024.122769095258</v>
      </c>
      <c r="P57" s="6">
        <f>VLOOKUP($N$2,角色品星!$C$16:$D$20,2,0)*VLOOKUP($N$3,角色品星!$C$3:$E$14,3,0)*X57</f>
        <v>47410.53098922543</v>
      </c>
      <c r="Q57" s="24">
        <f t="shared" si="3"/>
        <v>0.05</v>
      </c>
      <c r="R57" s="24">
        <f t="shared" si="4"/>
        <v>1.5</v>
      </c>
      <c r="S57" s="24">
        <f t="shared" si="5"/>
        <v>1</v>
      </c>
      <c r="T57" s="42">
        <f>N57*(1+Q57*(R57-1))*S57*战斗公式!$E$39+(P57*战斗公式!$E$40+1)*O57*战斗公式!$E$41</f>
        <v>124604.09415404356</v>
      </c>
      <c r="U57" s="42">
        <f t="shared" si="6"/>
        <v>6230.2047077021562</v>
      </c>
      <c r="V57" s="6">
        <f>VLOOKUP($N$1,$D$4:$J$15,MATCH(F$4,$D$4:$J$4,0),0)*角色成长!E70*角色成长!$L$15*AB57/AA57/(1+$Y$2*($Z$2-1))</f>
        <v>2560.1686734181762</v>
      </c>
      <c r="W57" s="6">
        <f>VLOOKUP($N$1,$D$4:$J$15,MATCH(G$4,$D$4:$J$4,0),0)*角色成长!F70*角色成长!$L$15/(1+X57/角色成长!$N$16)</f>
        <v>40024.122769095258</v>
      </c>
      <c r="X57" s="6">
        <f>VLOOKUP($N$1,$D$4:$J$15,MATCH(H$4,$D$4:$J$4,0),0)*角色成长!G70*角色成长!$L$15</f>
        <v>47410.53098922543</v>
      </c>
      <c r="Y57" s="1">
        <v>0.05</v>
      </c>
      <c r="Z57" s="1">
        <v>1.5</v>
      </c>
      <c r="AA57" s="1">
        <f>VLOOKUP($N$1,$D$4:$J$15,MATCH(I$4,$D$4:$J$4,0),0)*角色成长!J70</f>
        <v>1</v>
      </c>
      <c r="AB57" s="1">
        <f t="shared" si="7"/>
        <v>0.9</v>
      </c>
      <c r="AC57" s="6"/>
      <c r="AD57" s="22"/>
      <c r="AE57" s="22"/>
      <c r="AF57" s="22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6"/>
      <c r="J58" s="6"/>
      <c r="K58" s="6"/>
      <c r="L58" s="6">
        <f t="shared" si="2"/>
        <v>0.83084234074326757</v>
      </c>
      <c r="M58" s="1">
        <v>54</v>
      </c>
      <c r="N58" s="6">
        <f>VLOOKUP($N$2,角色品星!$C$16:$D$20,2,0)*VLOOKUP($N$3,角色品星!$C$3:$E$14,3,0)*V58</f>
        <v>2688.177107089085</v>
      </c>
      <c r="O58" s="6">
        <f>VLOOKUP($N$2,角色品星!$C$16:$D$20,2,0)*VLOOKUP($N$3,角色品星!$C$3:$E$14,3,0)*W58</f>
        <v>41360.210370117748</v>
      </c>
      <c r="P58" s="6">
        <f>VLOOKUP($N$2,角色品星!$C$16:$D$20,2,0)*VLOOKUP($N$3,角色品星!$C$3:$E$14,3,0)*X58</f>
        <v>49781.057538686706</v>
      </c>
      <c r="Q58" s="24">
        <f t="shared" si="3"/>
        <v>0.05</v>
      </c>
      <c r="R58" s="24">
        <f t="shared" si="4"/>
        <v>1.5</v>
      </c>
      <c r="S58" s="24">
        <f t="shared" si="5"/>
        <v>1</v>
      </c>
      <c r="T58" s="42">
        <f>N58*(1+Q58*(R58-1))*S58*战斗公式!$E$39+(P58*战斗公式!$E$40+1)*O58*战斗公式!$E$41</f>
        <v>130834.29886174572</v>
      </c>
      <c r="U58" s="42">
        <f t="shared" si="6"/>
        <v>6541.7149430873105</v>
      </c>
      <c r="V58" s="6">
        <f>VLOOKUP($N$1,$D$4:$J$15,MATCH(F$4,$D$4:$J$4,0),0)*角色成长!E71*角色成长!$L$15*AB58/AA58/(1+$Y$2*($Z$2-1))</f>
        <v>2688.177107089085</v>
      </c>
      <c r="W58" s="6">
        <f>VLOOKUP($N$1,$D$4:$J$15,MATCH(G$4,$D$4:$J$4,0),0)*角色成长!F71*角色成长!$L$15/(1+X58/角色成长!$N$16)</f>
        <v>41360.210370117748</v>
      </c>
      <c r="X58" s="6">
        <f>VLOOKUP($N$1,$D$4:$J$15,MATCH(H$4,$D$4:$J$4,0),0)*角色成长!G71*角色成长!$L$15</f>
        <v>49781.057538686706</v>
      </c>
      <c r="Y58" s="1">
        <v>0.05</v>
      </c>
      <c r="Z58" s="1">
        <v>1.5</v>
      </c>
      <c r="AA58" s="1">
        <f>VLOOKUP($N$1,$D$4:$J$15,MATCH(I$4,$D$4:$J$4,0),0)*角色成长!J71</f>
        <v>1</v>
      </c>
      <c r="AB58" s="1">
        <f t="shared" si="7"/>
        <v>0.9</v>
      </c>
      <c r="AC58" s="6"/>
      <c r="AD58" s="22"/>
      <c r="AE58" s="22"/>
      <c r="AF58" s="22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6"/>
      <c r="J59" s="6"/>
      <c r="K59" s="6"/>
      <c r="L59" s="6">
        <f t="shared" si="2"/>
        <v>0.81726114274675177</v>
      </c>
      <c r="M59" s="1">
        <v>55</v>
      </c>
      <c r="N59" s="6">
        <f>VLOOKUP($N$2,角色品星!$C$16:$D$20,2,0)*VLOOKUP($N$3,角色品星!$C$3:$E$14,3,0)*V59</f>
        <v>2822.5859624435393</v>
      </c>
      <c r="O59" s="6">
        <f>VLOOKUP($N$2,角色品星!$C$16:$D$20,2,0)*VLOOKUP($N$3,角色品星!$C$3:$E$14,3,0)*W59</f>
        <v>42718.330169769346</v>
      </c>
      <c r="P59" s="6">
        <f>VLOOKUP($N$2,角色品星!$C$16:$D$20,2,0)*VLOOKUP($N$3,角色品星!$C$3:$E$14,3,0)*X59</f>
        <v>52270.110415621042</v>
      </c>
      <c r="Q59" s="24">
        <f t="shared" si="3"/>
        <v>0.05</v>
      </c>
      <c r="R59" s="24">
        <f t="shared" si="4"/>
        <v>1.5</v>
      </c>
      <c r="S59" s="24">
        <f t="shared" si="5"/>
        <v>1</v>
      </c>
      <c r="T59" s="42">
        <f>N59*(1+Q59*(R59-1))*S59*战斗公式!$E$39+(P59*战斗公式!$E$40+1)*O59*战斗公式!$E$41</f>
        <v>137376.01380483303</v>
      </c>
      <c r="U59" s="42">
        <f t="shared" si="6"/>
        <v>6868.8006902416528</v>
      </c>
      <c r="V59" s="6">
        <f>VLOOKUP($N$1,$D$4:$J$15,MATCH(F$4,$D$4:$J$4,0),0)*角色成长!E72*角色成长!$L$15*AB59/AA59/(1+$Y$2*($Z$2-1))</f>
        <v>2822.5859624435393</v>
      </c>
      <c r="W59" s="6">
        <f>VLOOKUP($N$1,$D$4:$J$15,MATCH(G$4,$D$4:$J$4,0),0)*角色成长!F72*角色成长!$L$15/(1+X59/角色成长!$N$16)</f>
        <v>42718.330169769346</v>
      </c>
      <c r="X59" s="6">
        <f>VLOOKUP($N$1,$D$4:$J$15,MATCH(H$4,$D$4:$J$4,0),0)*角色成长!G72*角色成长!$L$15</f>
        <v>52270.110415621042</v>
      </c>
      <c r="Y59" s="1">
        <v>0.05</v>
      </c>
      <c r="Z59" s="1">
        <v>1.5</v>
      </c>
      <c r="AA59" s="1">
        <f>VLOOKUP($N$1,$D$4:$J$15,MATCH(I$4,$D$4:$J$4,0),0)*角色成长!J72</f>
        <v>1</v>
      </c>
      <c r="AB59" s="1">
        <f t="shared" si="7"/>
        <v>0.9</v>
      </c>
      <c r="AC59" s="6"/>
      <c r="AD59" s="22"/>
      <c r="AE59" s="22"/>
      <c r="AF59" s="22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6"/>
      <c r="J60" s="6"/>
      <c r="K60" s="6"/>
      <c r="L60" s="6">
        <f t="shared" si="2"/>
        <v>0.80347068146667999</v>
      </c>
      <c r="M60" s="1">
        <v>56</v>
      </c>
      <c r="N60" s="6">
        <f>VLOOKUP($N$2,角色品星!$C$16:$D$20,2,0)*VLOOKUP($N$3,角色品星!$C$3:$E$14,3,0)*V60</f>
        <v>2963.7152605657166</v>
      </c>
      <c r="O60" s="6">
        <f>VLOOKUP($N$2,角色品星!$C$16:$D$20,2,0)*VLOOKUP($N$3,角色品星!$C$3:$E$14,3,0)*W60</f>
        <v>44097.376297776529</v>
      </c>
      <c r="P60" s="6">
        <f>VLOOKUP($N$2,角色品星!$C$16:$D$20,2,0)*VLOOKUP($N$3,角色品星!$C$3:$E$14,3,0)*X60</f>
        <v>54883.615936402093</v>
      </c>
      <c r="Q60" s="24">
        <f t="shared" si="3"/>
        <v>0.05</v>
      </c>
      <c r="R60" s="24">
        <f t="shared" si="4"/>
        <v>1.5</v>
      </c>
      <c r="S60" s="24">
        <f t="shared" si="5"/>
        <v>1</v>
      </c>
      <c r="T60" s="42">
        <f>N60*(1+Q60*(R60-1))*S60*战斗公式!$E$39+(P60*战斗公式!$E$40+1)*O60*战斗公式!$E$41</f>
        <v>144244.81449507468</v>
      </c>
      <c r="U60" s="42">
        <f t="shared" si="6"/>
        <v>7212.2407247537049</v>
      </c>
      <c r="V60" s="6">
        <f>VLOOKUP($N$1,$D$4:$J$15,MATCH(F$4,$D$4:$J$4,0),0)*角色成长!E73*角色成长!$L$15*AB60/AA60/(1+$Y$2*($Z$2-1))</f>
        <v>2963.7152605657166</v>
      </c>
      <c r="W60" s="6">
        <f>VLOOKUP($N$1,$D$4:$J$15,MATCH(G$4,$D$4:$J$4,0),0)*角色成长!F73*角色成长!$L$15/(1+X60/角色成长!$N$16)</f>
        <v>44097.376297776529</v>
      </c>
      <c r="X60" s="6">
        <f>VLOOKUP($N$1,$D$4:$J$15,MATCH(H$4,$D$4:$J$4,0),0)*角色成长!G73*角色成长!$L$15</f>
        <v>54883.615936402093</v>
      </c>
      <c r="Y60" s="1">
        <v>0.05</v>
      </c>
      <c r="Z60" s="1">
        <v>1.5</v>
      </c>
      <c r="AA60" s="1">
        <f>VLOOKUP($N$1,$D$4:$J$15,MATCH(I$4,$D$4:$J$4,0),0)*角色成长!J73</f>
        <v>1</v>
      </c>
      <c r="AB60" s="1">
        <f t="shared" si="7"/>
        <v>0.9</v>
      </c>
      <c r="AC60" s="6"/>
      <c r="AD60" s="22"/>
      <c r="AE60" s="22"/>
      <c r="AF60" s="22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6"/>
      <c r="J61" s="6"/>
      <c r="K61" s="6"/>
      <c r="L61" s="6">
        <f t="shared" si="2"/>
        <v>0.78948286421246505</v>
      </c>
      <c r="M61" s="1">
        <v>57</v>
      </c>
      <c r="N61" s="6">
        <f>VLOOKUP($N$2,角色品星!$C$16:$D$20,2,0)*VLOOKUP($N$3,角色品星!$C$3:$E$14,3,0)*V61</f>
        <v>3111.9010235940023</v>
      </c>
      <c r="O61" s="6">
        <f>VLOOKUP($N$2,角色品星!$C$16:$D$20,2,0)*VLOOKUP($N$3,角色品星!$C$3:$E$14,3,0)*W61</f>
        <v>45496.158023198004</v>
      </c>
      <c r="P61" s="6">
        <f>VLOOKUP($N$2,角色品星!$C$16:$D$20,2,0)*VLOOKUP($N$3,角色品星!$C$3:$E$14,3,0)*X61</f>
        <v>57627.796733222203</v>
      </c>
      <c r="Q61" s="24">
        <f t="shared" si="3"/>
        <v>0.05</v>
      </c>
      <c r="R61" s="24">
        <f t="shared" si="4"/>
        <v>1.5</v>
      </c>
      <c r="S61" s="24">
        <f t="shared" si="5"/>
        <v>1</v>
      </c>
      <c r="T61" s="42">
        <f>N61*(1+Q61*(R61-1))*S61*战斗公式!$E$39+(P61*战斗公式!$E$40+1)*O61*战斗公式!$E$41</f>
        <v>151457.05521982838</v>
      </c>
      <c r="U61" s="42">
        <f t="shared" si="6"/>
        <v>7572.852760991489</v>
      </c>
      <c r="V61" s="6">
        <f>VLOOKUP($N$1,$D$4:$J$15,MATCH(F$4,$D$4:$J$4,0),0)*角色成长!E74*角色成长!$L$15*AB61/AA61/(1+$Y$2*($Z$2-1))</f>
        <v>3111.9010235940023</v>
      </c>
      <c r="W61" s="6">
        <f>VLOOKUP($N$1,$D$4:$J$15,MATCH(G$4,$D$4:$J$4,0),0)*角色成长!F74*角色成长!$L$15/(1+X61/角色成长!$N$16)</f>
        <v>45496.158023198004</v>
      </c>
      <c r="X61" s="6">
        <f>VLOOKUP($N$1,$D$4:$J$15,MATCH(H$4,$D$4:$J$4,0),0)*角色成长!G74*角色成长!$L$15</f>
        <v>57627.796733222203</v>
      </c>
      <c r="Y61" s="1">
        <v>0.05</v>
      </c>
      <c r="Z61" s="1">
        <v>1.5</v>
      </c>
      <c r="AA61" s="1">
        <f>VLOOKUP($N$1,$D$4:$J$15,MATCH(I$4,$D$4:$J$4,0),0)*角色成长!J74</f>
        <v>1</v>
      </c>
      <c r="AB61" s="1">
        <f t="shared" si="7"/>
        <v>0.9</v>
      </c>
      <c r="AC61" s="6"/>
      <c r="AD61" s="22"/>
      <c r="AE61" s="22"/>
      <c r="AF61" s="22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6"/>
      <c r="J62" s="6"/>
      <c r="K62" s="6"/>
      <c r="L62" s="6">
        <f t="shared" si="2"/>
        <v>0.77531041745241969</v>
      </c>
      <c r="M62" s="1">
        <v>58</v>
      </c>
      <c r="N62" s="6">
        <f>VLOOKUP($N$2,角色品星!$C$16:$D$20,2,0)*VLOOKUP($N$3,角色品星!$C$3:$E$14,3,0)*V62</f>
        <v>3267.4960747737027</v>
      </c>
      <c r="O62" s="6">
        <f>VLOOKUP($N$2,角色品星!$C$16:$D$20,2,0)*VLOOKUP($N$3,角色品星!$C$3:$E$14,3,0)*W62</f>
        <v>46913.402699202576</v>
      </c>
      <c r="P62" s="6">
        <f>VLOOKUP($N$2,角色品星!$C$16:$D$20,2,0)*VLOOKUP($N$3,角色品星!$C$3:$E$14,3,0)*X62</f>
        <v>60509.186569883313</v>
      </c>
      <c r="Q62" s="24">
        <f t="shared" si="3"/>
        <v>0.05</v>
      </c>
      <c r="R62" s="24">
        <f t="shared" si="4"/>
        <v>1.5</v>
      </c>
      <c r="S62" s="24">
        <f t="shared" si="5"/>
        <v>1</v>
      </c>
      <c r="T62" s="42">
        <f>N62*(1+Q62*(R62-1))*S62*战斗公式!$E$39+(P62*战斗公式!$E$40+1)*O62*战斗公式!$E$41</f>
        <v>159029.90798081987</v>
      </c>
      <c r="U62" s="42">
        <f t="shared" si="6"/>
        <v>7951.4953990409849</v>
      </c>
      <c r="V62" s="6">
        <f>VLOOKUP($N$1,$D$4:$J$15,MATCH(F$4,$D$4:$J$4,0),0)*角色成长!E75*角色成长!$L$15*AB62/AA62/(1+$Y$2*($Z$2-1))</f>
        <v>3267.4960747737027</v>
      </c>
      <c r="W62" s="6">
        <f>VLOOKUP($N$1,$D$4:$J$15,MATCH(G$4,$D$4:$J$4,0),0)*角色成长!F75*角色成长!$L$15/(1+X62/角色成长!$N$16)</f>
        <v>46913.402699202576</v>
      </c>
      <c r="X62" s="6">
        <f>VLOOKUP($N$1,$D$4:$J$15,MATCH(H$4,$D$4:$J$4,0),0)*角色成长!G75*角色成长!$L$15</f>
        <v>60509.186569883313</v>
      </c>
      <c r="Y62" s="1">
        <v>0.05</v>
      </c>
      <c r="Z62" s="1">
        <v>1.5</v>
      </c>
      <c r="AA62" s="1">
        <f>VLOOKUP($N$1,$D$4:$J$15,MATCH(I$4,$D$4:$J$4,0),0)*角色成长!J75</f>
        <v>1</v>
      </c>
      <c r="AB62" s="1">
        <f t="shared" si="7"/>
        <v>0.9</v>
      </c>
      <c r="AC62" s="6"/>
      <c r="AD62" s="22"/>
      <c r="AE62" s="22"/>
      <c r="AF62" s="22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6"/>
      <c r="J63" s="6"/>
      <c r="K63" s="6"/>
      <c r="L63" s="6">
        <f t="shared" si="2"/>
        <v>0.76096685054600544</v>
      </c>
      <c r="M63" s="1">
        <v>59</v>
      </c>
      <c r="N63" s="6">
        <f>VLOOKUP($N$2,角色品星!$C$16:$D$20,2,0)*VLOOKUP($N$3,角色品星!$C$3:$E$14,3,0)*V63</f>
        <v>3430.8708785123881</v>
      </c>
      <c r="O63" s="6">
        <f>VLOOKUP($N$2,角色品星!$C$16:$D$20,2,0)*VLOOKUP($N$3,角色品星!$C$3:$E$14,3,0)*W63</f>
        <v>48347.759389843995</v>
      </c>
      <c r="P63" s="6">
        <f>VLOOKUP($N$2,角色品星!$C$16:$D$20,2,0)*VLOOKUP($N$3,角色品星!$C$3:$E$14,3,0)*X63</f>
        <v>63534.645898377479</v>
      </c>
      <c r="Q63" s="24">
        <f t="shared" si="3"/>
        <v>0.05</v>
      </c>
      <c r="R63" s="24">
        <f t="shared" si="4"/>
        <v>1.5</v>
      </c>
      <c r="S63" s="24">
        <f t="shared" si="5"/>
        <v>1</v>
      </c>
      <c r="T63" s="42">
        <f>N63*(1+Q63*(R63-1))*S63*战斗公式!$E$39+(P63*战斗公式!$E$40+1)*O63*战斗公式!$E$41</f>
        <v>166981.40337986086</v>
      </c>
      <c r="U63" s="42">
        <f t="shared" si="6"/>
        <v>8349.0701689930866</v>
      </c>
      <c r="V63" s="6">
        <f>VLOOKUP($N$1,$D$4:$J$15,MATCH(F$4,$D$4:$J$4,0),0)*角色成长!E76*角色成长!$L$15*AB63/AA63/(1+$Y$2*($Z$2-1))</f>
        <v>3430.8708785123881</v>
      </c>
      <c r="W63" s="6">
        <f>VLOOKUP($N$1,$D$4:$J$15,MATCH(G$4,$D$4:$J$4,0),0)*角色成长!F76*角色成长!$L$15/(1+X63/角色成长!$N$16)</f>
        <v>48347.759389843995</v>
      </c>
      <c r="X63" s="6">
        <f>VLOOKUP($N$1,$D$4:$J$15,MATCH(H$4,$D$4:$J$4,0),0)*角色成长!G76*角色成长!$L$15</f>
        <v>63534.645898377479</v>
      </c>
      <c r="Y63" s="1">
        <v>0.05</v>
      </c>
      <c r="Z63" s="1">
        <v>1.5</v>
      </c>
      <c r="AA63" s="1">
        <f>VLOOKUP($N$1,$D$4:$J$15,MATCH(I$4,$D$4:$J$4,0),0)*角色成长!J76</f>
        <v>1</v>
      </c>
      <c r="AB63" s="1">
        <f t="shared" si="7"/>
        <v>0.9</v>
      </c>
      <c r="AC63" s="6"/>
      <c r="AD63" s="22"/>
      <c r="AE63" s="22"/>
      <c r="AF63" s="22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6"/>
      <c r="J64" s="6"/>
      <c r="K64" s="6"/>
      <c r="L64" s="6">
        <f t="shared" si="2"/>
        <v>0.74646641274931647</v>
      </c>
      <c r="M64" s="1">
        <v>60</v>
      </c>
      <c r="N64" s="6">
        <f>VLOOKUP($N$2,角色品星!$C$16:$D$20,2,0)*VLOOKUP($N$3,角色品星!$C$3:$E$14,3,0)*V64</f>
        <v>3602.4144224380084</v>
      </c>
      <c r="O64" s="6">
        <f>VLOOKUP($N$2,角色品星!$C$16:$D$20,2,0)*VLOOKUP($N$3,角色品星!$C$3:$E$14,3,0)*W64</f>
        <v>49797.803169512903</v>
      </c>
      <c r="P64" s="6">
        <f>VLOOKUP($N$2,角色品星!$C$16:$D$20,2,0)*VLOOKUP($N$3,角色品星!$C$3:$E$14,3,0)*X64</f>
        <v>66711.378193296347</v>
      </c>
      <c r="Q64" s="24">
        <f t="shared" si="3"/>
        <v>0.05</v>
      </c>
      <c r="R64" s="24">
        <f t="shared" si="4"/>
        <v>1.5</v>
      </c>
      <c r="S64" s="24">
        <f t="shared" si="5"/>
        <v>1</v>
      </c>
      <c r="T64" s="42">
        <f>N64*(1+Q64*(R64-1))*S64*战斗公式!$E$39+(P64*战斗公式!$E$40+1)*O64*战斗公式!$E$41</f>
        <v>175330.47354885394</v>
      </c>
      <c r="U64" s="42">
        <f t="shared" si="6"/>
        <v>8766.5236774426885</v>
      </c>
      <c r="V64" s="6">
        <f>VLOOKUP($N$1,$D$4:$J$15,MATCH(F$4,$D$4:$J$4,0),0)*角色成长!E77*角色成长!$L$15*AB64/AA64/(1+$Y$2*($Z$2-1))</f>
        <v>3602.4144224380084</v>
      </c>
      <c r="W64" s="6">
        <f>VLOOKUP($N$1,$D$4:$J$15,MATCH(G$4,$D$4:$J$4,0),0)*角色成长!F77*角色成长!$L$15/(1+X64/角色成长!$N$16)</f>
        <v>49797.803169512903</v>
      </c>
      <c r="X64" s="6">
        <f>VLOOKUP($N$1,$D$4:$J$15,MATCH(H$4,$D$4:$J$4,0),0)*角色成长!G77*角色成长!$L$15</f>
        <v>66711.378193296347</v>
      </c>
      <c r="Y64" s="1">
        <v>0.05</v>
      </c>
      <c r="Z64" s="1">
        <v>1.5</v>
      </c>
      <c r="AA64" s="1">
        <f>VLOOKUP($N$1,$D$4:$J$15,MATCH(I$4,$D$4:$J$4,0),0)*角色成长!J77</f>
        <v>1</v>
      </c>
      <c r="AB64" s="1">
        <f t="shared" si="7"/>
        <v>0.9</v>
      </c>
      <c r="AC64" s="6"/>
      <c r="AD64" s="22"/>
      <c r="AE64" s="22"/>
      <c r="AF64" s="22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6"/>
      <c r="J65" s="6"/>
      <c r="K65" s="6"/>
      <c r="L65" s="6">
        <f t="shared" si="2"/>
        <v>0.73182404368068477</v>
      </c>
      <c r="M65" s="1">
        <v>61</v>
      </c>
      <c r="N65" s="6">
        <f>VLOOKUP($N$2,角色品星!$C$16:$D$20,2,0)*VLOOKUP($N$3,角色品星!$C$3:$E$14,3,0)*V65</f>
        <v>3782.5351435599086</v>
      </c>
      <c r="O65" s="6">
        <f>VLOOKUP($N$2,角色品星!$C$16:$D$20,2,0)*VLOOKUP($N$3,角色品星!$C$3:$E$14,3,0)*W65</f>
        <v>51262.04007637607</v>
      </c>
      <c r="P65" s="6">
        <f>VLOOKUP($N$2,角色品星!$C$16:$D$20,2,0)*VLOOKUP($N$3,角色品星!$C$3:$E$14,3,0)*X65</f>
        <v>70046.947102961174</v>
      </c>
      <c r="Q65" s="24">
        <f t="shared" si="3"/>
        <v>0.05</v>
      </c>
      <c r="R65" s="24">
        <f t="shared" si="4"/>
        <v>1.5</v>
      </c>
      <c r="S65" s="24">
        <f t="shared" si="5"/>
        <v>1</v>
      </c>
      <c r="T65" s="42">
        <f>N65*(1+Q65*(R65-1))*S65*战斗公式!$E$39+(P65*战斗公式!$E$40+1)*O65*战斗公式!$E$41</f>
        <v>184096.99722629663</v>
      </c>
      <c r="U65" s="42">
        <f t="shared" si="6"/>
        <v>9204.8498613148404</v>
      </c>
      <c r="V65" s="6">
        <f>VLOOKUP($N$1,$D$4:$J$15,MATCH(F$4,$D$4:$J$4,0),0)*角色成长!E78*角色成长!$L$15*AB65/AA65/(1+$Y$2*($Z$2-1))</f>
        <v>3782.5351435599086</v>
      </c>
      <c r="W65" s="6">
        <f>VLOOKUP($N$1,$D$4:$J$15,MATCH(G$4,$D$4:$J$4,0),0)*角色成长!F78*角色成长!$L$15/(1+X65/角色成长!$N$16)</f>
        <v>51262.04007637607</v>
      </c>
      <c r="X65" s="6">
        <f>VLOOKUP($N$1,$D$4:$J$15,MATCH(H$4,$D$4:$J$4,0),0)*角色成长!G78*角色成长!$L$15</f>
        <v>70046.947102961174</v>
      </c>
      <c r="Y65" s="1">
        <v>0.05</v>
      </c>
      <c r="Z65" s="1">
        <v>1.5</v>
      </c>
      <c r="AA65" s="1">
        <f>VLOOKUP($N$1,$D$4:$J$15,MATCH(I$4,$D$4:$J$4,0),0)*角色成长!J78</f>
        <v>1</v>
      </c>
      <c r="AB65" s="1">
        <f t="shared" si="7"/>
        <v>0.9</v>
      </c>
      <c r="AC65" s="6"/>
      <c r="AD65" s="22"/>
      <c r="AE65" s="22"/>
      <c r="AF65" s="22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6"/>
      <c r="J66" s="6"/>
      <c r="K66" s="6"/>
      <c r="L66" s="6">
        <f t="shared" si="2"/>
        <v>0.71705531752814189</v>
      </c>
      <c r="M66" s="1">
        <v>62</v>
      </c>
      <c r="N66" s="6">
        <f>VLOOKUP($N$2,角色品星!$C$16:$D$20,2,0)*VLOOKUP($N$3,角色品星!$C$3:$E$14,3,0)*V66</f>
        <v>3971.6619007379049</v>
      </c>
      <c r="O66" s="6">
        <f>VLOOKUP($N$2,角色品星!$C$16:$D$20,2,0)*VLOOKUP($N$3,角色品星!$C$3:$E$14,3,0)*W66</f>
        <v>52738.912691630328</v>
      </c>
      <c r="P66" s="6">
        <f>VLOOKUP($N$2,角色品星!$C$16:$D$20,2,0)*VLOOKUP($N$3,角色品星!$C$3:$E$14,3,0)*X66</f>
        <v>73549.294458109245</v>
      </c>
      <c r="Q66" s="24">
        <f t="shared" si="3"/>
        <v>0.05</v>
      </c>
      <c r="R66" s="24">
        <f t="shared" si="4"/>
        <v>1.5</v>
      </c>
      <c r="S66" s="24">
        <f t="shared" si="5"/>
        <v>1</v>
      </c>
      <c r="T66" s="42">
        <f>N66*(1+Q66*(R66-1))*S66*战斗公式!$E$39+(P66*战斗公式!$E$40+1)*O66*战斗公式!$E$41</f>
        <v>193301.84708761147</v>
      </c>
      <c r="U66" s="42">
        <f t="shared" si="6"/>
        <v>9665.0923543805548</v>
      </c>
      <c r="V66" s="6">
        <f>VLOOKUP($N$1,$D$4:$J$15,MATCH(F$4,$D$4:$J$4,0),0)*角色成长!E79*角色成长!$L$15*AB66/AA66/(1+$Y$2*($Z$2-1))</f>
        <v>3971.6619007379049</v>
      </c>
      <c r="W66" s="6">
        <f>VLOOKUP($N$1,$D$4:$J$15,MATCH(G$4,$D$4:$J$4,0),0)*角色成长!F79*角色成长!$L$15/(1+X66/角色成长!$N$16)</f>
        <v>52738.912691630328</v>
      </c>
      <c r="X66" s="6">
        <f>VLOOKUP($N$1,$D$4:$J$15,MATCH(H$4,$D$4:$J$4,0),0)*角色成长!G79*角色成长!$L$15</f>
        <v>73549.294458109245</v>
      </c>
      <c r="Y66" s="1">
        <v>0.05</v>
      </c>
      <c r="Z66" s="1">
        <v>1.5</v>
      </c>
      <c r="AA66" s="1">
        <f>VLOOKUP($N$1,$D$4:$J$15,MATCH(I$4,$D$4:$J$4,0),0)*角色成长!J79</f>
        <v>1</v>
      </c>
      <c r="AB66" s="1">
        <f t="shared" si="7"/>
        <v>0.9</v>
      </c>
      <c r="AC66" s="6"/>
      <c r="AD66" s="22"/>
      <c r="AE66" s="22"/>
      <c r="AF66" s="22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6"/>
      <c r="J67" s="6"/>
      <c r="K67" s="6"/>
      <c r="L67" s="6">
        <f t="shared" si="2"/>
        <v>0.7021763813744416</v>
      </c>
      <c r="M67" s="1">
        <v>63</v>
      </c>
      <c r="N67" s="6">
        <f>VLOOKUP($N$2,角色品星!$C$16:$D$20,2,0)*VLOOKUP($N$3,角色品星!$C$3:$E$14,3,0)*V67</f>
        <v>4170.2449957748004</v>
      </c>
      <c r="O67" s="6">
        <f>VLOOKUP($N$2,角色品星!$C$16:$D$20,2,0)*VLOOKUP($N$3,角色品星!$C$3:$E$14,3,0)*W67</f>
        <v>54226.806307000348</v>
      </c>
      <c r="P67" s="6">
        <f>VLOOKUP($N$2,角色品星!$C$16:$D$20,2,0)*VLOOKUP($N$3,角色品星!$C$3:$E$14,3,0)*X67</f>
        <v>77226.759181014713</v>
      </c>
      <c r="Q67" s="24">
        <f t="shared" si="3"/>
        <v>0.05</v>
      </c>
      <c r="R67" s="24">
        <f t="shared" si="4"/>
        <v>1.5</v>
      </c>
      <c r="S67" s="24">
        <f t="shared" si="5"/>
        <v>1</v>
      </c>
      <c r="T67" s="42">
        <f>N67*(1+Q67*(R67-1))*S67*战斗公式!$E$39+(P67*战斗公式!$E$40+1)*O67*战斗公式!$E$41</f>
        <v>202966.93944199203</v>
      </c>
      <c r="U67" s="42">
        <f t="shared" si="6"/>
        <v>10148.346972099651</v>
      </c>
      <c r="V67" s="6">
        <f>VLOOKUP($N$1,$D$4:$J$15,MATCH(F$4,$D$4:$J$4,0),0)*角色成长!E80*角色成长!$L$15*AB67/AA67/(1+$Y$2*($Z$2-1))</f>
        <v>4170.2449957748004</v>
      </c>
      <c r="W67" s="6">
        <f>VLOOKUP($N$1,$D$4:$J$15,MATCH(G$4,$D$4:$J$4,0),0)*角色成长!F80*角色成长!$L$15/(1+X67/角色成长!$N$16)</f>
        <v>54226.806307000348</v>
      </c>
      <c r="X67" s="6">
        <f>VLOOKUP($N$1,$D$4:$J$15,MATCH(H$4,$D$4:$J$4,0),0)*角色成长!G80*角色成长!$L$15</f>
        <v>77226.759181014713</v>
      </c>
      <c r="Y67" s="1">
        <v>0.05</v>
      </c>
      <c r="Z67" s="1">
        <v>1.5</v>
      </c>
      <c r="AA67" s="1">
        <f>VLOOKUP($N$1,$D$4:$J$15,MATCH(I$4,$D$4:$J$4,0),0)*角色成长!J80</f>
        <v>1</v>
      </c>
      <c r="AB67" s="1">
        <f t="shared" si="7"/>
        <v>0.9</v>
      </c>
      <c r="AC67" s="6"/>
      <c r="AD67" s="22"/>
      <c r="AE67" s="22"/>
      <c r="AF67" s="22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6"/>
      <c r="J68" s="6"/>
      <c r="K68" s="6"/>
      <c r="L68" s="6">
        <f t="shared" si="2"/>
        <v>0.68720388810641142</v>
      </c>
      <c r="M68" s="1">
        <v>64</v>
      </c>
      <c r="N68" s="6">
        <f>VLOOKUP($N$2,角色品星!$C$16:$D$20,2,0)*VLOOKUP($N$3,角色品星!$C$3:$E$14,3,0)*V68</f>
        <v>4378.7572455635409</v>
      </c>
      <c r="O68" s="6">
        <f>VLOOKUP($N$2,角色品星!$C$16:$D$20,2,0)*VLOOKUP($N$3,角色品星!$C$3:$E$14,3,0)*W68</f>
        <v>55724.055633803357</v>
      </c>
      <c r="P68" s="6">
        <f>VLOOKUP($N$2,角色品星!$C$16:$D$20,2,0)*VLOOKUP($N$3,角色品星!$C$3:$E$14,3,0)*X68</f>
        <v>81088.097140065453</v>
      </c>
      <c r="Q68" s="24">
        <f t="shared" si="3"/>
        <v>0.05</v>
      </c>
      <c r="R68" s="24">
        <f t="shared" si="4"/>
        <v>1.5</v>
      </c>
      <c r="S68" s="24">
        <f t="shared" si="5"/>
        <v>1</v>
      </c>
      <c r="T68" s="42">
        <f>N68*(1+Q68*(R68-1))*S68*战斗公式!$E$39+(P68*战斗公式!$E$40+1)*O68*战斗公式!$E$41</f>
        <v>213115.28641409168</v>
      </c>
      <c r="U68" s="42">
        <f t="shared" si="6"/>
        <v>10655.764320704591</v>
      </c>
      <c r="V68" s="6">
        <f>VLOOKUP($N$1,$D$4:$J$15,MATCH(F$4,$D$4:$J$4,0),0)*角色成长!E81*角色成长!$L$15*AB68/AA68/(1+$Y$2*($Z$2-1))</f>
        <v>4378.7572455635409</v>
      </c>
      <c r="W68" s="6">
        <f>VLOOKUP($N$1,$D$4:$J$15,MATCH(G$4,$D$4:$J$4,0),0)*角色成长!F81*角色成长!$L$15/(1+X68/角色成长!$N$16)</f>
        <v>55724.055633803357</v>
      </c>
      <c r="X68" s="6">
        <f>VLOOKUP($N$1,$D$4:$J$15,MATCH(H$4,$D$4:$J$4,0),0)*角色成长!G81*角色成长!$L$15</f>
        <v>81088.097140065453</v>
      </c>
      <c r="Y68" s="1">
        <v>0.05</v>
      </c>
      <c r="Z68" s="1">
        <v>1.5</v>
      </c>
      <c r="AA68" s="1">
        <f>VLOOKUP($N$1,$D$4:$J$15,MATCH(I$4,$D$4:$J$4,0),0)*角色成长!J81</f>
        <v>1</v>
      </c>
      <c r="AB68" s="1">
        <f t="shared" si="7"/>
        <v>0.9</v>
      </c>
      <c r="AC68" s="6"/>
      <c r="AD68" s="22"/>
      <c r="AE68" s="22"/>
      <c r="AF68" s="22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6"/>
      <c r="J69" s="6"/>
      <c r="K69" s="6"/>
      <c r="L69" s="6">
        <f t="shared" si="2"/>
        <v>0.67215492446145508</v>
      </c>
      <c r="M69" s="1">
        <v>65</v>
      </c>
      <c r="N69" s="6">
        <f>VLOOKUP($N$2,角色品星!$C$16:$D$20,2,0)*VLOOKUP($N$3,角色品星!$C$3:$E$14,3,0)*V69</f>
        <v>4597.6951078417178</v>
      </c>
      <c r="O69" s="6">
        <f>VLOOKUP($N$2,角色品星!$C$16:$D$20,2,0)*VLOOKUP($N$3,角色品星!$C$3:$E$14,3,0)*W69</f>
        <v>57228.95199829901</v>
      </c>
      <c r="P69" s="6">
        <f>VLOOKUP($N$2,角色品星!$C$16:$D$20,2,0)*VLOOKUP($N$3,角色品星!$C$3:$E$14,3,0)*X69</f>
        <v>85142.501997068714</v>
      </c>
      <c r="Q69" s="24">
        <f t="shared" si="3"/>
        <v>0.05</v>
      </c>
      <c r="R69" s="24">
        <f t="shared" si="4"/>
        <v>1.5</v>
      </c>
      <c r="S69" s="24">
        <f t="shared" si="5"/>
        <v>1</v>
      </c>
      <c r="T69" s="42">
        <f>N69*(1+Q69*(R69-1))*S69*战斗公式!$E$39+(P69*战斗公式!$E$40+1)*O69*战斗公式!$E$41</f>
        <v>223771.05073479627</v>
      </c>
      <c r="U69" s="42">
        <f t="shared" si="6"/>
        <v>11188.552536739822</v>
      </c>
      <c r="V69" s="6">
        <f>VLOOKUP($N$1,$D$4:$J$15,MATCH(F$4,$D$4:$J$4,0),0)*角色成长!E82*角色成长!$L$15*AB69/AA69/(1+$Y$2*($Z$2-1))</f>
        <v>4597.6951078417178</v>
      </c>
      <c r="W69" s="6">
        <f>VLOOKUP($N$1,$D$4:$J$15,MATCH(G$4,$D$4:$J$4,0),0)*角色成长!F82*角色成长!$L$15/(1+X69/角色成长!$N$16)</f>
        <v>57228.95199829901</v>
      </c>
      <c r="X69" s="6">
        <f>VLOOKUP($N$1,$D$4:$J$15,MATCH(H$4,$D$4:$J$4,0),0)*角色成长!G82*角色成长!$L$15</f>
        <v>85142.501997068714</v>
      </c>
      <c r="Y69" s="1">
        <v>0.05</v>
      </c>
      <c r="Z69" s="1">
        <v>1.5</v>
      </c>
      <c r="AA69" s="1">
        <f>VLOOKUP($N$1,$D$4:$J$15,MATCH(I$4,$D$4:$J$4,0),0)*角色成长!J82</f>
        <v>1</v>
      </c>
      <c r="AB69" s="1">
        <f t="shared" ref="AB69:AB104" si="8">VLOOKUP($N$1,$D$4:$J$15,MATCH(J$4,$D$4:$J$4,0),0)</f>
        <v>0.9</v>
      </c>
      <c r="AC69" s="6"/>
      <c r="AD69" s="22"/>
      <c r="AE69" s="22"/>
      <c r="AF69" s="22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6"/>
      <c r="J70" s="6"/>
      <c r="K70" s="6"/>
      <c r="L70" s="6">
        <f t="shared" ref="L70:L104" si="9">O70/P70</f>
        <v>0.65704693484302445</v>
      </c>
      <c r="M70" s="1">
        <v>66</v>
      </c>
      <c r="N70" s="6">
        <f>VLOOKUP($N$2,角色品星!$C$16:$D$20,2,0)*VLOOKUP($N$3,角色品星!$C$3:$E$14,3,0)*V70</f>
        <v>4827.5798632338037</v>
      </c>
      <c r="O70" s="6">
        <f>VLOOKUP($N$2,角色品星!$C$16:$D$20,2,0)*VLOOKUP($N$3,角色品星!$C$3:$E$14,3,0)*W70</f>
        <v>58739.75096014209</v>
      </c>
      <c r="P70" s="6">
        <f>VLOOKUP($N$2,角色品星!$C$16:$D$20,2,0)*VLOOKUP($N$3,角色品星!$C$3:$E$14,3,0)*X70</f>
        <v>89399.627096922151</v>
      </c>
      <c r="Q70" s="24">
        <f t="shared" ref="Q70:Q104" si="10">Y70</f>
        <v>0.05</v>
      </c>
      <c r="R70" s="24">
        <f t="shared" ref="R70:R104" si="11">Z70</f>
        <v>1.5</v>
      </c>
      <c r="S70" s="24">
        <f t="shared" ref="S70:S104" si="12">AA70</f>
        <v>1</v>
      </c>
      <c r="T70" s="42">
        <f>N70*(1+Q70*(R70-1))*S70*战斗公式!$E$39+(P70*战斗公式!$E$40+1)*O70*战斗公式!$E$41</f>
        <v>234959.60327153609</v>
      </c>
      <c r="U70" s="42">
        <f t="shared" ref="U70:U104" si="13">T71-T70</f>
        <v>11747.980163576809</v>
      </c>
      <c r="V70" s="6">
        <f>VLOOKUP($N$1,$D$4:$J$15,MATCH(F$4,$D$4:$J$4,0),0)*角色成长!E83*角色成长!$L$15*AB70/AA70/(1+$Y$2*($Z$2-1))</f>
        <v>4827.5798632338037</v>
      </c>
      <c r="W70" s="6">
        <f>VLOOKUP($N$1,$D$4:$J$15,MATCH(G$4,$D$4:$J$4,0),0)*角色成长!F83*角色成长!$L$15/(1+X70/角色成长!$N$16)</f>
        <v>58739.75096014209</v>
      </c>
      <c r="X70" s="6">
        <f>VLOOKUP($N$1,$D$4:$J$15,MATCH(H$4,$D$4:$J$4,0),0)*角色成长!G83*角色成长!$L$15</f>
        <v>89399.627096922151</v>
      </c>
      <c r="Y70" s="1">
        <v>0.05</v>
      </c>
      <c r="Z70" s="1">
        <v>1.5</v>
      </c>
      <c r="AA70" s="1">
        <f>VLOOKUP($N$1,$D$4:$J$15,MATCH(I$4,$D$4:$J$4,0),0)*角色成长!J83</f>
        <v>1</v>
      </c>
      <c r="AB70" s="1">
        <f t="shared" si="8"/>
        <v>0.9</v>
      </c>
      <c r="AC70" s="6"/>
      <c r="AD70" s="22"/>
      <c r="AE70" s="22"/>
      <c r="AF70" s="22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6"/>
      <c r="J71" s="6"/>
      <c r="K71" s="6"/>
      <c r="L71" s="6">
        <f t="shared" si="9"/>
        <v>0.64189764160690688</v>
      </c>
      <c r="M71" s="1">
        <v>67</v>
      </c>
      <c r="N71" s="6">
        <f>VLOOKUP($N$2,角色品星!$C$16:$D$20,2,0)*VLOOKUP($N$3,角色品星!$C$3:$E$14,3,0)*V71</f>
        <v>5068.958856395494</v>
      </c>
      <c r="O71" s="6">
        <f>VLOOKUP($N$2,角色品星!$C$16:$D$20,2,0)*VLOOKUP($N$3,角色品星!$C$3:$E$14,3,0)*W71</f>
        <v>60254.680283753827</v>
      </c>
      <c r="P71" s="6">
        <f>VLOOKUP($N$2,角色品星!$C$16:$D$20,2,0)*VLOOKUP($N$3,角色品星!$C$3:$E$14,3,0)*X71</f>
        <v>93869.608451768276</v>
      </c>
      <c r="Q71" s="24">
        <f t="shared" si="10"/>
        <v>0.05</v>
      </c>
      <c r="R71" s="24">
        <f t="shared" si="11"/>
        <v>1.5</v>
      </c>
      <c r="S71" s="24">
        <f t="shared" si="12"/>
        <v>1</v>
      </c>
      <c r="T71" s="42">
        <f>N71*(1+Q71*(R71-1))*S71*战斗公式!$E$39+(P71*战斗公式!$E$40+1)*O71*战斗公式!$E$41</f>
        <v>246707.5834351129</v>
      </c>
      <c r="U71" s="42">
        <f t="shared" si="13"/>
        <v>12335.379171755689</v>
      </c>
      <c r="V71" s="6">
        <f>VLOOKUP($N$1,$D$4:$J$15,MATCH(F$4,$D$4:$J$4,0),0)*角色成长!E84*角色成长!$L$15*AB71/AA71/(1+$Y$2*($Z$2-1))</f>
        <v>5068.958856395494</v>
      </c>
      <c r="W71" s="6">
        <f>VLOOKUP($N$1,$D$4:$J$15,MATCH(G$4,$D$4:$J$4,0),0)*角色成长!F84*角色成长!$L$15/(1+X71/角色成长!$N$16)</f>
        <v>60254.680283753827</v>
      </c>
      <c r="X71" s="6">
        <f>VLOOKUP($N$1,$D$4:$J$15,MATCH(H$4,$D$4:$J$4,0),0)*角色成长!G84*角色成长!$L$15</f>
        <v>93869.608451768276</v>
      </c>
      <c r="Y71" s="1">
        <v>0.05</v>
      </c>
      <c r="Z71" s="1">
        <v>1.5</v>
      </c>
      <c r="AA71" s="1">
        <f>VLOOKUP($N$1,$D$4:$J$15,MATCH(I$4,$D$4:$J$4,0),0)*角色成长!J84</f>
        <v>1</v>
      </c>
      <c r="AB71" s="1">
        <f t="shared" si="8"/>
        <v>0.9</v>
      </c>
      <c r="AC71" s="6"/>
      <c r="AD71" s="22"/>
      <c r="AE71" s="22"/>
      <c r="AF71" s="22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6"/>
      <c r="J72" s="6"/>
      <c r="K72" s="6"/>
      <c r="L72" s="6">
        <f t="shared" si="9"/>
        <v>0.62672496257946675</v>
      </c>
      <c r="M72" s="1">
        <v>68</v>
      </c>
      <c r="N72" s="6">
        <f>VLOOKUP($N$2,角色品星!$C$16:$D$20,2,0)*VLOOKUP($N$3,角色品星!$C$3:$E$14,3,0)*V72</f>
        <v>5322.4067992152695</v>
      </c>
      <c r="O72" s="6">
        <f>VLOOKUP($N$2,角色品星!$C$16:$D$20,2,0)*VLOOKUP($N$3,角色品星!$C$3:$E$14,3,0)*W72</f>
        <v>61771.948186497852</v>
      </c>
      <c r="P72" s="6">
        <f>VLOOKUP($N$2,角色品星!$C$16:$D$20,2,0)*VLOOKUP($N$3,角色品星!$C$3:$E$14,3,0)*X72</f>
        <v>98563.08887435669</v>
      </c>
      <c r="Q72" s="24">
        <f t="shared" si="10"/>
        <v>0.05</v>
      </c>
      <c r="R72" s="24">
        <f t="shared" si="11"/>
        <v>1.5</v>
      </c>
      <c r="S72" s="24">
        <f t="shared" si="12"/>
        <v>1</v>
      </c>
      <c r="T72" s="42">
        <f>N72*(1+Q72*(R72-1))*S72*战斗公式!$E$39+(P72*战斗公式!$E$40+1)*O72*战斗公式!$E$41</f>
        <v>259042.96260686859</v>
      </c>
      <c r="U72" s="42">
        <f t="shared" si="13"/>
        <v>12952.148130343412</v>
      </c>
      <c r="V72" s="6">
        <f>VLOOKUP($N$1,$D$4:$J$15,MATCH(F$4,$D$4:$J$4,0),0)*角色成长!E85*角色成长!$L$15*AB72/AA72/(1+$Y$2*($Z$2-1))</f>
        <v>5322.4067992152695</v>
      </c>
      <c r="W72" s="6">
        <f>VLOOKUP($N$1,$D$4:$J$15,MATCH(G$4,$D$4:$J$4,0),0)*角色成长!F85*角色成长!$L$15/(1+X72/角色成长!$N$16)</f>
        <v>61771.948186497852</v>
      </c>
      <c r="X72" s="6">
        <f>VLOOKUP($N$1,$D$4:$J$15,MATCH(H$4,$D$4:$J$4,0),0)*角色成长!G85*角色成长!$L$15</f>
        <v>98563.08887435669</v>
      </c>
      <c r="Y72" s="1">
        <v>0.05</v>
      </c>
      <c r="Z72" s="1">
        <v>1.5</v>
      </c>
      <c r="AA72" s="1">
        <f>VLOOKUP($N$1,$D$4:$J$15,MATCH(I$4,$D$4:$J$4,0),0)*角色成长!J85</f>
        <v>1</v>
      </c>
      <c r="AB72" s="1">
        <f t="shared" si="8"/>
        <v>0.9</v>
      </c>
      <c r="AC72" s="6"/>
      <c r="AD72" s="22"/>
      <c r="AE72" s="22"/>
      <c r="AF72" s="22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6"/>
      <c r="J73" s="6"/>
      <c r="K73" s="6"/>
      <c r="L73" s="6">
        <f t="shared" si="9"/>
        <v>0.61154692661603627</v>
      </c>
      <c r="M73" s="1">
        <v>69</v>
      </c>
      <c r="N73" s="6">
        <f>VLOOKUP($N$2,角色品星!$C$16:$D$20,2,0)*VLOOKUP($N$3,角色品星!$C$3:$E$14,3,0)*V73</f>
        <v>5588.5271391760334</v>
      </c>
      <c r="O73" s="6">
        <f>VLOOKUP($N$2,角色品星!$C$16:$D$20,2,0)*VLOOKUP($N$3,角色品星!$C$3:$E$14,3,0)*W73</f>
        <v>63289.751782840875</v>
      </c>
      <c r="P73" s="6">
        <f>VLOOKUP($N$2,角色品星!$C$16:$D$20,2,0)*VLOOKUP($N$3,角色品星!$C$3:$E$14,3,0)*X73</f>
        <v>103491.24331807453</v>
      </c>
      <c r="Q73" s="24">
        <f t="shared" si="10"/>
        <v>0.05</v>
      </c>
      <c r="R73" s="24">
        <f t="shared" si="11"/>
        <v>1.5</v>
      </c>
      <c r="S73" s="24">
        <f t="shared" si="12"/>
        <v>1</v>
      </c>
      <c r="T73" s="42">
        <f>N73*(1+Q73*(R73-1))*S73*战斗公式!$E$39+(P73*战斗公式!$E$40+1)*O73*战斗公式!$E$41</f>
        <v>271995.110737212</v>
      </c>
      <c r="U73" s="42">
        <f t="shared" si="13"/>
        <v>13599.755536860554</v>
      </c>
      <c r="V73" s="6">
        <f>VLOOKUP($N$1,$D$4:$J$15,MATCH(F$4,$D$4:$J$4,0),0)*角色成长!E86*角色成长!$L$15*AB73/AA73/(1+$Y$2*($Z$2-1))</f>
        <v>5588.5271391760334</v>
      </c>
      <c r="W73" s="6">
        <f>VLOOKUP($N$1,$D$4:$J$15,MATCH(G$4,$D$4:$J$4,0),0)*角色成长!F86*角色成长!$L$15/(1+X73/角色成长!$N$16)</f>
        <v>63289.751782840875</v>
      </c>
      <c r="X73" s="6">
        <f>VLOOKUP($N$1,$D$4:$J$15,MATCH(H$4,$D$4:$J$4,0),0)*角色成长!G86*角色成长!$L$15</f>
        <v>103491.24331807453</v>
      </c>
      <c r="Y73" s="1">
        <v>0.05</v>
      </c>
      <c r="Z73" s="1">
        <v>1.5</v>
      </c>
      <c r="AA73" s="1">
        <f>VLOOKUP($N$1,$D$4:$J$15,MATCH(I$4,$D$4:$J$4,0),0)*角色成长!J86</f>
        <v>1</v>
      </c>
      <c r="AB73" s="1">
        <f t="shared" si="8"/>
        <v>0.9</v>
      </c>
      <c r="AC73" s="6"/>
      <c r="AD73" s="22"/>
      <c r="AE73" s="22"/>
      <c r="AF73" s="22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6"/>
      <c r="J74" s="6"/>
      <c r="K74" s="6"/>
      <c r="L74" s="6">
        <f t="shared" si="9"/>
        <v>0.5963815880412644</v>
      </c>
      <c r="M74" s="1">
        <v>70</v>
      </c>
      <c r="N74" s="6">
        <f>VLOOKUP($N$2,角色品星!$C$16:$D$20,2,0)*VLOOKUP($N$3,角色品星!$C$3:$E$14,3,0)*V74</f>
        <v>5867.9534961348345</v>
      </c>
      <c r="O74" s="6">
        <f>VLOOKUP($N$2,角色品星!$C$16:$D$20,2,0)*VLOOKUP($N$3,角色品星!$C$3:$E$14,3,0)*W74</f>
        <v>64806.285640318085</v>
      </c>
      <c r="P74" s="6">
        <f>VLOOKUP($N$2,角色品星!$C$16:$D$20,2,0)*VLOOKUP($N$3,角色品星!$C$3:$E$14,3,0)*X74</f>
        <v>108665.80548397824</v>
      </c>
      <c r="Q74" s="24">
        <f t="shared" si="10"/>
        <v>0.05</v>
      </c>
      <c r="R74" s="24">
        <f t="shared" si="11"/>
        <v>1.5</v>
      </c>
      <c r="S74" s="24">
        <f t="shared" si="12"/>
        <v>1</v>
      </c>
      <c r="T74" s="42">
        <f>N74*(1+Q74*(R74-1))*S74*战斗公式!$E$39+(P74*战斗公式!$E$40+1)*O74*战斗公式!$E$41</f>
        <v>285594.86627407256</v>
      </c>
      <c r="U74" s="42">
        <f t="shared" si="13"/>
        <v>14279.743313703686</v>
      </c>
      <c r="V74" s="6">
        <f>VLOOKUP($N$1,$D$4:$J$15,MATCH(F$4,$D$4:$J$4,0),0)*角色成长!E87*角色成长!$L$15*AB74/AA74/(1+$Y$2*($Z$2-1))</f>
        <v>5867.9534961348345</v>
      </c>
      <c r="W74" s="6">
        <f>VLOOKUP($N$1,$D$4:$J$15,MATCH(G$4,$D$4:$J$4,0),0)*角色成长!F87*角色成长!$L$15/(1+X74/角色成长!$N$16)</f>
        <v>64806.285640318085</v>
      </c>
      <c r="X74" s="6">
        <f>VLOOKUP($N$1,$D$4:$J$15,MATCH(H$4,$D$4:$J$4,0),0)*角色成长!G87*角色成长!$L$15</f>
        <v>108665.80548397824</v>
      </c>
      <c r="Y74" s="1">
        <v>0.05</v>
      </c>
      <c r="Z74" s="1">
        <v>1.5</v>
      </c>
      <c r="AA74" s="1">
        <f>VLOOKUP($N$1,$D$4:$J$15,MATCH(I$4,$D$4:$J$4,0),0)*角色成长!J87</f>
        <v>1</v>
      </c>
      <c r="AB74" s="1">
        <f t="shared" si="8"/>
        <v>0.9</v>
      </c>
      <c r="AC74" s="6"/>
      <c r="AD74" s="22"/>
      <c r="AE74" s="22"/>
      <c r="AF74" s="22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6"/>
      <c r="J75" s="6"/>
      <c r="K75" s="6"/>
      <c r="L75" s="6">
        <f t="shared" si="9"/>
        <v>0.58124694083249784</v>
      </c>
      <c r="M75" s="1">
        <v>71</v>
      </c>
      <c r="N75" s="6">
        <f>VLOOKUP($N$2,角色品星!$C$16:$D$20,2,0)*VLOOKUP($N$3,角色品星!$C$3:$E$14,3,0)*V75</f>
        <v>6161.3511709415761</v>
      </c>
      <c r="O75" s="6">
        <f>VLOOKUP($N$2,角色品星!$C$16:$D$20,2,0)*VLOOKUP($N$3,角色品星!$C$3:$E$14,3,0)*W75</f>
        <v>66319.750361194718</v>
      </c>
      <c r="P75" s="6">
        <f>VLOOKUP($N$2,角色品星!$C$16:$D$20,2,0)*VLOOKUP($N$3,角色品星!$C$3:$E$14,3,0)*X75</f>
        <v>114099.09575817718</v>
      </c>
      <c r="Q75" s="24">
        <f t="shared" si="10"/>
        <v>0.05</v>
      </c>
      <c r="R75" s="24">
        <f t="shared" si="11"/>
        <v>1.5</v>
      </c>
      <c r="S75" s="24">
        <f t="shared" si="12"/>
        <v>1</v>
      </c>
      <c r="T75" s="42">
        <f>N75*(1+Q75*(R75-1))*S75*战斗公式!$E$39+(P75*战斗公式!$E$40+1)*O75*战斗公式!$E$41</f>
        <v>299874.60958777624</v>
      </c>
      <c r="U75" s="42">
        <f t="shared" si="13"/>
        <v>14993.730479388847</v>
      </c>
      <c r="V75" s="6">
        <f>VLOOKUP($N$1,$D$4:$J$15,MATCH(F$4,$D$4:$J$4,0),0)*角色成长!E88*角色成长!$L$15*AB75/AA75/(1+$Y$2*($Z$2-1))</f>
        <v>6161.3511709415761</v>
      </c>
      <c r="W75" s="6">
        <f>VLOOKUP($N$1,$D$4:$J$15,MATCH(G$4,$D$4:$J$4,0),0)*角色成长!F88*角色成长!$L$15/(1+X75/角色成长!$N$16)</f>
        <v>66319.750361194718</v>
      </c>
      <c r="X75" s="6">
        <f>VLOOKUP($N$1,$D$4:$J$15,MATCH(H$4,$D$4:$J$4,0),0)*角色成长!G88*角色成长!$L$15</f>
        <v>114099.09575817718</v>
      </c>
      <c r="Y75" s="1">
        <v>0.05</v>
      </c>
      <c r="Z75" s="1">
        <v>1.5</v>
      </c>
      <c r="AA75" s="1">
        <f>VLOOKUP($N$1,$D$4:$J$15,MATCH(I$4,$D$4:$J$4,0),0)*角色成长!J88</f>
        <v>1</v>
      </c>
      <c r="AB75" s="1">
        <f t="shared" si="8"/>
        <v>0.9</v>
      </c>
      <c r="AC75" s="6"/>
      <c r="AD75" s="22"/>
      <c r="AE75" s="22"/>
      <c r="AF75" s="22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6"/>
      <c r="J76" s="6"/>
      <c r="K76" s="6"/>
      <c r="L76" s="6">
        <f t="shared" si="9"/>
        <v>0.56616083341172285</v>
      </c>
      <c r="M76" s="1">
        <v>72</v>
      </c>
      <c r="N76" s="6">
        <f>VLOOKUP($N$2,角色品星!$C$16:$D$20,2,0)*VLOOKUP($N$3,角色品星!$C$3:$E$14,3,0)*V76</f>
        <v>6469.418729488656</v>
      </c>
      <c r="O76" s="6">
        <f>VLOOKUP($N$2,角色品星!$C$16:$D$20,2,0)*VLOOKUP($N$3,角色品星!$C$3:$E$14,3,0)*W76</f>
        <v>67828.36110327224</v>
      </c>
      <c r="P76" s="6">
        <f>VLOOKUP($N$2,角色品星!$C$16:$D$20,2,0)*VLOOKUP($N$3,角色品星!$C$3:$E$14,3,0)*X76</f>
        <v>119804.05054608604</v>
      </c>
      <c r="Q76" s="24">
        <f t="shared" si="10"/>
        <v>0.05</v>
      </c>
      <c r="R76" s="24">
        <f t="shared" si="11"/>
        <v>1.5</v>
      </c>
      <c r="S76" s="24">
        <f t="shared" si="12"/>
        <v>1</v>
      </c>
      <c r="T76" s="42">
        <f>N76*(1+Q76*(R76-1))*S76*战斗公式!$E$39+(P76*战斗公式!$E$40+1)*O76*战斗公式!$E$41</f>
        <v>314868.34006716509</v>
      </c>
      <c r="U76" s="42">
        <f t="shared" si="13"/>
        <v>15743.417003358249</v>
      </c>
      <c r="V76" s="6">
        <f>VLOOKUP($N$1,$D$4:$J$15,MATCH(F$4,$D$4:$J$4,0),0)*角色成长!E89*角色成长!$L$15*AB76/AA76/(1+$Y$2*($Z$2-1))</f>
        <v>6469.418729488656</v>
      </c>
      <c r="W76" s="6">
        <f>VLOOKUP($N$1,$D$4:$J$15,MATCH(G$4,$D$4:$J$4,0),0)*角色成长!F89*角色成长!$L$15/(1+X76/角色成长!$N$16)</f>
        <v>67828.36110327224</v>
      </c>
      <c r="X76" s="6">
        <f>VLOOKUP($N$1,$D$4:$J$15,MATCH(H$4,$D$4:$J$4,0),0)*角色成长!G89*角色成长!$L$15</f>
        <v>119804.05054608604</v>
      </c>
      <c r="Y76" s="1">
        <v>0.05</v>
      </c>
      <c r="Z76" s="1">
        <v>1.5</v>
      </c>
      <c r="AA76" s="1">
        <f>VLOOKUP($N$1,$D$4:$J$15,MATCH(I$4,$D$4:$J$4,0),0)*角色成长!J89</f>
        <v>1</v>
      </c>
      <c r="AB76" s="1">
        <f t="shared" si="8"/>
        <v>0.9</v>
      </c>
      <c r="AC76" s="6"/>
      <c r="AD76" s="22"/>
      <c r="AE76" s="22"/>
      <c r="AF76" s="22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6"/>
      <c r="J77" s="6"/>
      <c r="K77" s="6"/>
      <c r="L77" s="6">
        <f t="shared" si="9"/>
        <v>0.55114088490106983</v>
      </c>
      <c r="M77" s="1">
        <v>73</v>
      </c>
      <c r="N77" s="6">
        <f>VLOOKUP($N$2,角色品星!$C$16:$D$20,2,0)*VLOOKUP($N$3,角色品星!$C$3:$E$14,3,0)*V77</f>
        <v>6792.8896659630891</v>
      </c>
      <c r="O77" s="6">
        <f>VLOOKUP($N$2,角色品星!$C$16:$D$20,2,0)*VLOOKUP($N$3,角色品星!$C$3:$E$14,3,0)*W77</f>
        <v>69330.355954337487</v>
      </c>
      <c r="P77" s="6">
        <f>VLOOKUP($N$2,角色品星!$C$16:$D$20,2,0)*VLOOKUP($N$3,角色品星!$C$3:$E$14,3,0)*X77</f>
        <v>125794.25307339035</v>
      </c>
      <c r="Q77" s="24">
        <f t="shared" si="10"/>
        <v>0.05</v>
      </c>
      <c r="R77" s="24">
        <f t="shared" si="11"/>
        <v>1.5</v>
      </c>
      <c r="S77" s="24">
        <f t="shared" si="12"/>
        <v>1</v>
      </c>
      <c r="T77" s="42">
        <f>N77*(1+Q77*(R77-1))*S77*战斗公式!$E$39+(P77*战斗公式!$E$40+1)*O77*战斗公式!$E$41</f>
        <v>330611.75707052334</v>
      </c>
      <c r="U77" s="42">
        <f t="shared" si="13"/>
        <v>16530.587853526114</v>
      </c>
      <c r="V77" s="6">
        <f>VLOOKUP($N$1,$D$4:$J$15,MATCH(F$4,$D$4:$J$4,0),0)*角色成长!E90*角色成长!$L$15*AB77/AA77/(1+$Y$2*($Z$2-1))</f>
        <v>6792.8896659630891</v>
      </c>
      <c r="W77" s="6">
        <f>VLOOKUP($N$1,$D$4:$J$15,MATCH(G$4,$D$4:$J$4,0),0)*角色成长!F90*角色成长!$L$15/(1+X77/角色成长!$N$16)</f>
        <v>69330.355954337487</v>
      </c>
      <c r="X77" s="6">
        <f>VLOOKUP($N$1,$D$4:$J$15,MATCH(H$4,$D$4:$J$4,0),0)*角色成长!G90*角色成长!$L$15</f>
        <v>125794.25307339035</v>
      </c>
      <c r="Y77" s="1">
        <v>0.05</v>
      </c>
      <c r="Z77" s="1">
        <v>1.5</v>
      </c>
      <c r="AA77" s="1">
        <f>VLOOKUP($N$1,$D$4:$J$15,MATCH(I$4,$D$4:$J$4,0),0)*角色成长!J90</f>
        <v>1</v>
      </c>
      <c r="AB77" s="1">
        <f t="shared" si="8"/>
        <v>0.9</v>
      </c>
      <c r="AC77" s="6"/>
      <c r="AD77" s="22"/>
      <c r="AE77" s="22"/>
      <c r="AF77" s="22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6"/>
      <c r="J78" s="6"/>
      <c r="K78" s="6"/>
      <c r="L78" s="6">
        <f t="shared" si="9"/>
        <v>0.53620440367171329</v>
      </c>
      <c r="M78" s="1">
        <v>74</v>
      </c>
      <c r="N78" s="6">
        <f>VLOOKUP($N$2,角色品星!$C$16:$D$20,2,0)*VLOOKUP($N$3,角色品星!$C$3:$E$14,3,0)*V78</f>
        <v>7132.5341492612433</v>
      </c>
      <c r="O78" s="6">
        <f>VLOOKUP($N$2,角色品星!$C$16:$D$20,2,0)*VLOOKUP($N$3,角色品星!$C$3:$E$14,3,0)*W78</f>
        <v>70824.004077273159</v>
      </c>
      <c r="P78" s="6">
        <f>VLOOKUP($N$2,角色品星!$C$16:$D$20,2,0)*VLOOKUP($N$3,角色品星!$C$3:$E$14,3,0)*X78</f>
        <v>132083.96572705987</v>
      </c>
      <c r="Q78" s="24">
        <f t="shared" si="10"/>
        <v>0.05</v>
      </c>
      <c r="R78" s="24">
        <f t="shared" si="11"/>
        <v>1.5</v>
      </c>
      <c r="S78" s="24">
        <f t="shared" si="12"/>
        <v>1</v>
      </c>
      <c r="T78" s="42">
        <f>N78*(1+Q78*(R78-1))*S78*战斗公式!$E$39+(P78*战斗公式!$E$40+1)*O78*战斗公式!$E$41</f>
        <v>347142.34492404945</v>
      </c>
      <c r="U78" s="42">
        <f t="shared" si="13"/>
        <v>17357.117246202542</v>
      </c>
      <c r="V78" s="6">
        <f>VLOOKUP($N$1,$D$4:$J$15,MATCH(F$4,$D$4:$J$4,0),0)*角色成长!E91*角色成长!$L$15*AB78/AA78/(1+$Y$2*($Z$2-1))</f>
        <v>7132.5341492612433</v>
      </c>
      <c r="W78" s="6">
        <f>VLOOKUP($N$1,$D$4:$J$15,MATCH(G$4,$D$4:$J$4,0),0)*角色成长!F91*角色成长!$L$15/(1+X78/角色成长!$N$16)</f>
        <v>70824.004077273159</v>
      </c>
      <c r="X78" s="6">
        <f>VLOOKUP($N$1,$D$4:$J$15,MATCH(H$4,$D$4:$J$4,0),0)*角色成长!G91*角色成长!$L$15</f>
        <v>132083.96572705987</v>
      </c>
      <c r="Y78" s="1">
        <v>0.05</v>
      </c>
      <c r="Z78" s="1">
        <v>1.5</v>
      </c>
      <c r="AA78" s="1">
        <f>VLOOKUP($N$1,$D$4:$J$15,MATCH(I$4,$D$4:$J$4,0),0)*角色成长!J91</f>
        <v>1</v>
      </c>
      <c r="AB78" s="1">
        <f t="shared" si="8"/>
        <v>0.9</v>
      </c>
      <c r="AC78" s="6"/>
      <c r="AD78" s="22"/>
      <c r="AE78" s="22"/>
      <c r="AF78" s="22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6"/>
      <c r="J79" s="6"/>
      <c r="K79" s="6"/>
      <c r="L79" s="6">
        <f t="shared" si="9"/>
        <v>0.52136830897677633</v>
      </c>
      <c r="M79" s="1">
        <v>75</v>
      </c>
      <c r="N79" s="6">
        <f>VLOOKUP($N$2,角色品星!$C$16:$D$20,2,0)*VLOOKUP($N$3,角色品星!$C$3:$E$14,3,0)*V79</f>
        <v>7489.1608567243065</v>
      </c>
      <c r="O79" s="6">
        <f>VLOOKUP($N$2,角色品星!$C$16:$D$20,2,0)*VLOOKUP($N$3,角色品星!$C$3:$E$14,3,0)*W79</f>
        <v>72307.613546766879</v>
      </c>
      <c r="P79" s="6">
        <f>VLOOKUP($N$2,角色品星!$C$16:$D$20,2,0)*VLOOKUP($N$3,角色品星!$C$3:$E$14,3,0)*X79</f>
        <v>138688.16401341287</v>
      </c>
      <c r="Q79" s="24">
        <f t="shared" si="10"/>
        <v>0.05</v>
      </c>
      <c r="R79" s="24">
        <f t="shared" si="11"/>
        <v>1.5</v>
      </c>
      <c r="S79" s="24">
        <f t="shared" si="12"/>
        <v>1</v>
      </c>
      <c r="T79" s="42">
        <f>N79*(1+Q79*(R79-1))*S79*战斗公式!$E$39+(P79*战斗公式!$E$40+1)*O79*战斗公式!$E$41</f>
        <v>364499.46217025199</v>
      </c>
      <c r="U79" s="42">
        <f t="shared" si="13"/>
        <v>18224.973108512582</v>
      </c>
      <c r="V79" s="6">
        <f>VLOOKUP($N$1,$D$4:$J$15,MATCH(F$4,$D$4:$J$4,0),0)*角色成长!E92*角色成长!$L$15*AB79/AA79/(1+$Y$2*($Z$2-1))</f>
        <v>7489.1608567243065</v>
      </c>
      <c r="W79" s="6">
        <f>VLOOKUP($N$1,$D$4:$J$15,MATCH(G$4,$D$4:$J$4,0),0)*角色成长!F92*角色成长!$L$15/(1+X79/角色成长!$N$16)</f>
        <v>72307.613546766879</v>
      </c>
      <c r="X79" s="6">
        <f>VLOOKUP($N$1,$D$4:$J$15,MATCH(H$4,$D$4:$J$4,0),0)*角色成长!G92*角色成长!$L$15</f>
        <v>138688.16401341287</v>
      </c>
      <c r="Y79" s="1">
        <v>0.05</v>
      </c>
      <c r="Z79" s="1">
        <v>1.5</v>
      </c>
      <c r="AA79" s="1">
        <f>VLOOKUP($N$1,$D$4:$J$15,MATCH(I$4,$D$4:$J$4,0),0)*角色成长!J92</f>
        <v>1</v>
      </c>
      <c r="AB79" s="1">
        <f t="shared" si="8"/>
        <v>0.9</v>
      </c>
      <c r="AC79" s="6"/>
      <c r="AD79" s="22"/>
      <c r="AE79" s="22"/>
      <c r="AF79" s="22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6"/>
      <c r="J80" s="6"/>
      <c r="K80" s="6"/>
      <c r="L80" s="6">
        <f t="shared" si="9"/>
        <v>0.5066490564066698</v>
      </c>
      <c r="M80" s="1">
        <v>76</v>
      </c>
      <c r="N80" s="6">
        <f>VLOOKUP($N$2,角色品星!$C$16:$D$20,2,0)*VLOOKUP($N$3,角色品星!$C$3:$E$14,3,0)*V80</f>
        <v>7863.6188995605216</v>
      </c>
      <c r="O80" s="6">
        <f>VLOOKUP($N$2,角色品星!$C$16:$D$20,2,0)*VLOOKUP($N$3,角色品星!$C$3:$E$14,3,0)*W80</f>
        <v>73779.538803777541</v>
      </c>
      <c r="P80" s="6">
        <f>VLOOKUP($N$2,角色品星!$C$16:$D$20,2,0)*VLOOKUP($N$3,角色品星!$C$3:$E$14,3,0)*X80</f>
        <v>145622.57221408351</v>
      </c>
      <c r="Q80" s="24">
        <f t="shared" si="10"/>
        <v>0.05</v>
      </c>
      <c r="R80" s="24">
        <f t="shared" si="11"/>
        <v>1.5</v>
      </c>
      <c r="S80" s="24">
        <f t="shared" si="12"/>
        <v>1</v>
      </c>
      <c r="T80" s="42">
        <f>N80*(1+Q80*(R80-1))*S80*战斗公式!$E$39+(P80*战斗公式!$E$40+1)*O80*战斗公式!$E$41</f>
        <v>382724.43527876458</v>
      </c>
      <c r="U80" s="42">
        <f t="shared" si="13"/>
        <v>19136.221763938316</v>
      </c>
      <c r="V80" s="6">
        <f>VLOOKUP($N$1,$D$4:$J$15,MATCH(F$4,$D$4:$J$4,0),0)*角色成长!E93*角色成长!$L$15*AB80/AA80/(1+$Y$2*($Z$2-1))</f>
        <v>7863.6188995605216</v>
      </c>
      <c r="W80" s="6">
        <f>VLOOKUP($N$1,$D$4:$J$15,MATCH(G$4,$D$4:$J$4,0),0)*角色成长!F93*角色成长!$L$15/(1+X80/角色成长!$N$16)</f>
        <v>73779.538803777541</v>
      </c>
      <c r="X80" s="6">
        <f>VLOOKUP($N$1,$D$4:$J$15,MATCH(H$4,$D$4:$J$4,0),0)*角色成长!G93*角色成长!$L$15</f>
        <v>145622.57221408351</v>
      </c>
      <c r="Y80" s="1">
        <v>0.05</v>
      </c>
      <c r="Z80" s="1">
        <v>1.5</v>
      </c>
      <c r="AA80" s="1">
        <f>VLOOKUP($N$1,$D$4:$J$15,MATCH(I$4,$D$4:$J$4,0),0)*角色成长!J93</f>
        <v>1</v>
      </c>
      <c r="AB80" s="1">
        <f t="shared" si="8"/>
        <v>0.9</v>
      </c>
      <c r="AC80" s="6"/>
      <c r="AD80" s="22"/>
      <c r="AE80" s="22"/>
      <c r="AF80" s="22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6"/>
      <c r="J81" s="6"/>
      <c r="K81" s="6"/>
      <c r="L81" s="6">
        <f t="shared" si="9"/>
        <v>0.49206256784142482</v>
      </c>
      <c r="M81" s="1">
        <v>77</v>
      </c>
      <c r="N81" s="6">
        <f>VLOOKUP($N$2,角色品星!$C$16:$D$20,2,0)*VLOOKUP($N$3,角色品星!$C$3:$E$14,3,0)*V81</f>
        <v>8256.799844538551</v>
      </c>
      <c r="O81" s="6">
        <f>VLOOKUP($N$2,角色品星!$C$16:$D$20,2,0)*VLOOKUP($N$3,角色品星!$C$3:$E$14,3,0)*W81</f>
        <v>75238.187660302021</v>
      </c>
      <c r="P81" s="6">
        <f>VLOOKUP($N$2,角色品星!$C$16:$D$20,2,0)*VLOOKUP($N$3,角色品星!$C$3:$E$14,3,0)*X81</f>
        <v>152903.70082478769</v>
      </c>
      <c r="Q81" s="24">
        <f t="shared" si="10"/>
        <v>0.05</v>
      </c>
      <c r="R81" s="24">
        <f t="shared" si="11"/>
        <v>1.5</v>
      </c>
      <c r="S81" s="24">
        <f t="shared" si="12"/>
        <v>1</v>
      </c>
      <c r="T81" s="42">
        <f>N81*(1+Q81*(R81-1))*S81*战斗公式!$E$39+(P81*战斗公式!$E$40+1)*O81*战斗公式!$E$41</f>
        <v>401860.65704270289</v>
      </c>
      <c r="U81" s="42">
        <f t="shared" si="13"/>
        <v>20093.032852135133</v>
      </c>
      <c r="V81" s="6">
        <f>VLOOKUP($N$1,$D$4:$J$15,MATCH(F$4,$D$4:$J$4,0),0)*角色成长!E94*角色成长!$L$15*AB81/AA81/(1+$Y$2*($Z$2-1))</f>
        <v>8256.799844538551</v>
      </c>
      <c r="W81" s="6">
        <f>VLOOKUP($N$1,$D$4:$J$15,MATCH(G$4,$D$4:$J$4,0),0)*角色成长!F94*角色成长!$L$15/(1+X81/角色成长!$N$16)</f>
        <v>75238.187660302021</v>
      </c>
      <c r="X81" s="6">
        <f>VLOOKUP($N$1,$D$4:$J$15,MATCH(H$4,$D$4:$J$4,0),0)*角色成长!G94*角色成长!$L$15</f>
        <v>152903.70082478769</v>
      </c>
      <c r="Y81" s="1">
        <v>0.05</v>
      </c>
      <c r="Z81" s="1">
        <v>1.5</v>
      </c>
      <c r="AA81" s="1">
        <f>VLOOKUP($N$1,$D$4:$J$15,MATCH(I$4,$D$4:$J$4,0),0)*角色成长!J94</f>
        <v>1</v>
      </c>
      <c r="AB81" s="1">
        <f t="shared" si="8"/>
        <v>0.9</v>
      </c>
      <c r="AC81" s="6"/>
      <c r="AD81" s="22"/>
      <c r="AE81" s="22"/>
      <c r="AF81" s="22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6"/>
      <c r="J82" s="6"/>
      <c r="K82" s="6"/>
      <c r="L82" s="6">
        <f t="shared" si="9"/>
        <v>0.47762416650068962</v>
      </c>
      <c r="M82" s="1">
        <v>78</v>
      </c>
      <c r="N82" s="6">
        <f>VLOOKUP($N$2,角色品星!$C$16:$D$20,2,0)*VLOOKUP($N$3,角色品星!$C$3:$E$14,3,0)*V82</f>
        <v>8669.6398367654783</v>
      </c>
      <c r="O82" s="6">
        <f>VLOOKUP($N$2,角色品星!$C$16:$D$20,2,0)*VLOOKUP($N$3,角色品星!$C$3:$E$14,3,0)*W82</f>
        <v>76682.027794375535</v>
      </c>
      <c r="P82" s="6">
        <f>VLOOKUP($N$2,角色品星!$C$16:$D$20,2,0)*VLOOKUP($N$3,角色品星!$C$3:$E$14,3,0)*X82</f>
        <v>160548.88586602709</v>
      </c>
      <c r="Q82" s="24">
        <f t="shared" si="10"/>
        <v>0.05</v>
      </c>
      <c r="R82" s="24">
        <f t="shared" si="11"/>
        <v>1.5</v>
      </c>
      <c r="S82" s="24">
        <f t="shared" si="12"/>
        <v>1</v>
      </c>
      <c r="T82" s="42">
        <f>N82*(1+Q82*(R82-1))*S82*战斗公式!$E$39+(P82*战斗公式!$E$40+1)*O82*战斗公式!$E$41</f>
        <v>421953.68989483803</v>
      </c>
      <c r="U82" s="42">
        <f t="shared" si="13"/>
        <v>21097.684494741901</v>
      </c>
      <c r="V82" s="6">
        <f>VLOOKUP($N$1,$D$4:$J$15,MATCH(F$4,$D$4:$J$4,0),0)*角色成长!E95*角色成长!$L$15*AB82/AA82/(1+$Y$2*($Z$2-1))</f>
        <v>8669.6398367654783</v>
      </c>
      <c r="W82" s="6">
        <f>VLOOKUP($N$1,$D$4:$J$15,MATCH(G$4,$D$4:$J$4,0),0)*角色成长!F95*角色成长!$L$15/(1+X82/角色成长!$N$16)</f>
        <v>76682.027794375535</v>
      </c>
      <c r="X82" s="6">
        <f>VLOOKUP($N$1,$D$4:$J$15,MATCH(H$4,$D$4:$J$4,0),0)*角色成长!G95*角色成长!$L$15</f>
        <v>160548.88586602709</v>
      </c>
      <c r="Y82" s="1">
        <v>0.05</v>
      </c>
      <c r="Z82" s="1">
        <v>1.5</v>
      </c>
      <c r="AA82" s="1">
        <f>VLOOKUP($N$1,$D$4:$J$15,MATCH(I$4,$D$4:$J$4,0),0)*角色成长!J95</f>
        <v>1</v>
      </c>
      <c r="AB82" s="1">
        <f t="shared" si="8"/>
        <v>0.9</v>
      </c>
      <c r="AC82" s="6"/>
      <c r="AD82" s="22"/>
      <c r="AE82" s="22"/>
      <c r="AF82" s="22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6"/>
      <c r="J83" s="6"/>
      <c r="K83" s="6"/>
      <c r="L83" s="6">
        <f t="shared" si="9"/>
        <v>0.46334851760994678</v>
      </c>
      <c r="M83" s="1">
        <v>79</v>
      </c>
      <c r="N83" s="6">
        <f>VLOOKUP($N$2,角色品星!$C$16:$D$20,2,0)*VLOOKUP($N$3,角色品星!$C$3:$E$14,3,0)*V83</f>
        <v>9103.1218286037511</v>
      </c>
      <c r="O83" s="6">
        <f>VLOOKUP($N$2,角色品星!$C$16:$D$20,2,0)*VLOOKUP($N$3,角色品星!$C$3:$E$14,3,0)*W83</f>
        <v>78109.59268344981</v>
      </c>
      <c r="P83" s="6">
        <f>VLOOKUP($N$2,角色品星!$C$16:$D$20,2,0)*VLOOKUP($N$3,角色品星!$C$3:$E$14,3,0)*X83</f>
        <v>168576.33015932847</v>
      </c>
      <c r="Q83" s="24">
        <f t="shared" si="10"/>
        <v>0.05</v>
      </c>
      <c r="R83" s="24">
        <f t="shared" si="11"/>
        <v>1.5</v>
      </c>
      <c r="S83" s="24">
        <f t="shared" si="12"/>
        <v>1</v>
      </c>
      <c r="T83" s="42">
        <f>N83*(1+Q83*(R83-1))*S83*战斗公式!$E$39+(P83*战斗公式!$E$40+1)*O83*战斗公式!$E$41</f>
        <v>443051.37438957993</v>
      </c>
      <c r="U83" s="42">
        <f t="shared" si="13"/>
        <v>22152.568719479197</v>
      </c>
      <c r="V83" s="6">
        <f>VLOOKUP($N$1,$D$4:$J$15,MATCH(F$4,$D$4:$J$4,0),0)*角色成长!E96*角色成长!$L$15*AB83/AA83/(1+$Y$2*($Z$2-1))</f>
        <v>9103.1218286037511</v>
      </c>
      <c r="W83" s="6">
        <f>VLOOKUP($N$1,$D$4:$J$15,MATCH(G$4,$D$4:$J$4,0),0)*角色成长!F96*角色成长!$L$15/(1+X83/角色成长!$N$16)</f>
        <v>78109.59268344981</v>
      </c>
      <c r="X83" s="6">
        <f>VLOOKUP($N$1,$D$4:$J$15,MATCH(H$4,$D$4:$J$4,0),0)*角色成长!G96*角色成长!$L$15</f>
        <v>168576.33015932847</v>
      </c>
      <c r="Y83" s="1">
        <v>0.05</v>
      </c>
      <c r="Z83" s="1">
        <v>1.5</v>
      </c>
      <c r="AA83" s="1">
        <f>VLOOKUP($N$1,$D$4:$J$15,MATCH(I$4,$D$4:$J$4,0),0)*角色成长!J96</f>
        <v>1</v>
      </c>
      <c r="AB83" s="1">
        <f t="shared" si="8"/>
        <v>0.9</v>
      </c>
      <c r="AC83" s="6"/>
      <c r="AD83" s="22"/>
      <c r="AE83" s="22"/>
      <c r="AF83" s="22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6"/>
      <c r="J84" s="6"/>
      <c r="K84" s="6"/>
      <c r="L84" s="6">
        <f t="shared" si="9"/>
        <v>0.44924957511317343</v>
      </c>
      <c r="M84" s="1">
        <v>80</v>
      </c>
      <c r="N84" s="6">
        <f>VLOOKUP($N$2,角色品星!$C$16:$D$20,2,0)*VLOOKUP($N$3,角色品星!$C$3:$E$14,3,0)*V84</f>
        <v>9558.277920033941</v>
      </c>
      <c r="O84" s="6">
        <f>VLOOKUP($N$2,角色品星!$C$16:$D$20,2,0)*VLOOKUP($N$3,角色品星!$C$3:$E$14,3,0)*W84</f>
        <v>79519.486933127177</v>
      </c>
      <c r="P84" s="6">
        <f>VLOOKUP($N$2,角色品星!$C$16:$D$20,2,0)*VLOOKUP($N$3,角色品星!$C$3:$E$14,3,0)*X84</f>
        <v>177005.1466672949</v>
      </c>
      <c r="Q84" s="24">
        <f t="shared" si="10"/>
        <v>0.05</v>
      </c>
      <c r="R84" s="24">
        <f t="shared" si="11"/>
        <v>1.5</v>
      </c>
      <c r="S84" s="24">
        <f t="shared" si="12"/>
        <v>1</v>
      </c>
      <c r="T84" s="42">
        <f>N84*(1+Q84*(R84-1))*S84*战斗公式!$E$39+(P84*战斗公式!$E$40+1)*O84*战斗公式!$E$41</f>
        <v>465203.94310905912</v>
      </c>
      <c r="U84" s="42">
        <f t="shared" si="13"/>
        <v>23260.197155452799</v>
      </c>
      <c r="V84" s="6">
        <f>VLOOKUP($N$1,$D$4:$J$15,MATCH(F$4,$D$4:$J$4,0),0)*角色成长!E97*角色成长!$L$15*AB84/AA84/(1+$Y$2*($Z$2-1))</f>
        <v>9558.277920033941</v>
      </c>
      <c r="W84" s="6">
        <f>VLOOKUP($N$1,$D$4:$J$15,MATCH(G$4,$D$4:$J$4,0),0)*角色成长!F97*角色成长!$L$15/(1+X84/角色成长!$N$16)</f>
        <v>79519.486933127177</v>
      </c>
      <c r="X84" s="6">
        <f>VLOOKUP($N$1,$D$4:$J$15,MATCH(H$4,$D$4:$J$4,0),0)*角色成长!G97*角色成长!$L$15</f>
        <v>177005.1466672949</v>
      </c>
      <c r="Y84" s="1">
        <v>0.05</v>
      </c>
      <c r="Z84" s="1">
        <v>1.5</v>
      </c>
      <c r="AA84" s="1">
        <f>VLOOKUP($N$1,$D$4:$J$15,MATCH(I$4,$D$4:$J$4,0),0)*角色成长!J97</f>
        <v>1</v>
      </c>
      <c r="AB84" s="1">
        <f t="shared" si="8"/>
        <v>0.9</v>
      </c>
      <c r="AC84" s="6"/>
      <c r="AD84" s="22"/>
      <c r="AE84" s="22"/>
      <c r="AF84" s="22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6"/>
      <c r="J85" s="6"/>
      <c r="K85" s="6"/>
      <c r="L85" s="6">
        <f t="shared" si="9"/>
        <v>0.43534053476966045</v>
      </c>
      <c r="M85" s="1">
        <v>81</v>
      </c>
      <c r="N85" s="6">
        <f>VLOOKUP($N$2,角色品星!$C$16:$D$20,2,0)*VLOOKUP($N$3,角色品星!$C$3:$E$14,3,0)*V85</f>
        <v>10036.19181603564</v>
      </c>
      <c r="O85" s="6">
        <f>VLOOKUP($N$2,角色品星!$C$16:$D$20,2,0)*VLOOKUP($N$3,角色品星!$C$3:$E$14,3,0)*W85</f>
        <v>80910.390967478452</v>
      </c>
      <c r="P85" s="6">
        <f>VLOOKUP($N$2,角色品星!$C$16:$D$20,2,0)*VLOOKUP($N$3,角色品星!$C$3:$E$14,3,0)*X85</f>
        <v>185855.40400065962</v>
      </c>
      <c r="Q85" s="24">
        <f t="shared" si="10"/>
        <v>0.05</v>
      </c>
      <c r="R85" s="24">
        <f t="shared" si="11"/>
        <v>1.5</v>
      </c>
      <c r="S85" s="24">
        <f t="shared" si="12"/>
        <v>1</v>
      </c>
      <c r="T85" s="42">
        <f>N85*(1+Q85*(R85-1))*S85*战斗公式!$E$39+(P85*战斗公式!$E$40+1)*O85*战斗公式!$E$41</f>
        <v>488464.14026451192</v>
      </c>
      <c r="U85" s="42">
        <f t="shared" si="13"/>
        <v>24423.207013225649</v>
      </c>
      <c r="V85" s="6">
        <f>VLOOKUP($N$1,$D$4:$J$15,MATCH(F$4,$D$4:$J$4,0),0)*角色成长!E98*角色成长!$L$15*AB85/AA85/(1+$Y$2*($Z$2-1))</f>
        <v>10036.19181603564</v>
      </c>
      <c r="W85" s="6">
        <f>VLOOKUP($N$1,$D$4:$J$15,MATCH(G$4,$D$4:$J$4,0),0)*角色成长!F98*角色成长!$L$15/(1+X85/角色成长!$N$16)</f>
        <v>80910.390967478452</v>
      </c>
      <c r="X85" s="6">
        <f>VLOOKUP($N$1,$D$4:$J$15,MATCH(H$4,$D$4:$J$4,0),0)*角色成长!G98*角色成长!$L$15</f>
        <v>185855.40400065962</v>
      </c>
      <c r="Y85" s="1">
        <v>0.05</v>
      </c>
      <c r="Z85" s="1">
        <v>1.5</v>
      </c>
      <c r="AA85" s="1">
        <f>VLOOKUP($N$1,$D$4:$J$15,MATCH(I$4,$D$4:$J$4,0),0)*角色成长!J98</f>
        <v>1</v>
      </c>
      <c r="AB85" s="1">
        <f t="shared" si="8"/>
        <v>0.9</v>
      </c>
      <c r="AC85" s="6"/>
      <c r="AD85" s="22"/>
      <c r="AE85" s="22"/>
      <c r="AF85" s="22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6"/>
      <c r="J86" s="6"/>
      <c r="K86" s="6"/>
      <c r="L86" s="6">
        <f t="shared" si="9"/>
        <v>0.42163379387814121</v>
      </c>
      <c r="M86" s="1">
        <v>82</v>
      </c>
      <c r="N86" s="6">
        <f>VLOOKUP($N$2,角色品星!$C$16:$D$20,2,0)*VLOOKUP($N$3,角色品星!$C$3:$E$14,3,0)*V86</f>
        <v>10538.00140683742</v>
      </c>
      <c r="O86" s="6">
        <f>VLOOKUP($N$2,角色品星!$C$16:$D$20,2,0)*VLOOKUP($N$3,角色品星!$C$3:$E$14,3,0)*W86</f>
        <v>82281.06505663041</v>
      </c>
      <c r="P86" s="6">
        <f>VLOOKUP($N$2,角色品星!$C$16:$D$20,2,0)*VLOOKUP($N$3,角色品星!$C$3:$E$14,3,0)*X86</f>
        <v>195148.17420069259</v>
      </c>
      <c r="Q86" s="24">
        <f t="shared" si="10"/>
        <v>0.05</v>
      </c>
      <c r="R86" s="24">
        <f t="shared" si="11"/>
        <v>1.5</v>
      </c>
      <c r="S86" s="24">
        <f t="shared" si="12"/>
        <v>1</v>
      </c>
      <c r="T86" s="42">
        <f>N86*(1+Q86*(R86-1))*S86*战斗公式!$E$39+(P86*战斗公式!$E$40+1)*O86*战斗公式!$E$41</f>
        <v>512887.34727773757</v>
      </c>
      <c r="U86" s="42">
        <f t="shared" si="13"/>
        <v>25644.367363886908</v>
      </c>
      <c r="V86" s="6">
        <f>VLOOKUP($N$1,$D$4:$J$15,MATCH(F$4,$D$4:$J$4,0),0)*角色成长!E99*角色成长!$L$15*AB86/AA86/(1+$Y$2*($Z$2-1))</f>
        <v>10538.00140683742</v>
      </c>
      <c r="W86" s="6">
        <f>VLOOKUP($N$1,$D$4:$J$15,MATCH(G$4,$D$4:$J$4,0),0)*角色成长!F99*角色成长!$L$15/(1+X86/角色成长!$N$16)</f>
        <v>82281.06505663041</v>
      </c>
      <c r="X86" s="6">
        <f>VLOOKUP($N$1,$D$4:$J$15,MATCH(H$4,$D$4:$J$4,0),0)*角色成长!G99*角色成长!$L$15</f>
        <v>195148.17420069259</v>
      </c>
      <c r="Y86" s="1">
        <v>0.05</v>
      </c>
      <c r="Z86" s="1">
        <v>1.5</v>
      </c>
      <c r="AA86" s="1">
        <f>VLOOKUP($N$1,$D$4:$J$15,MATCH(I$4,$D$4:$J$4,0),0)*角色成长!J99</f>
        <v>1</v>
      </c>
      <c r="AB86" s="1">
        <f t="shared" si="8"/>
        <v>0.9</v>
      </c>
      <c r="AC86" s="6"/>
      <c r="AD86" s="22"/>
      <c r="AE86" s="22"/>
      <c r="AF86" s="22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6"/>
      <c r="J87" s="6"/>
      <c r="K87" s="6"/>
      <c r="L87" s="6">
        <f t="shared" si="9"/>
        <v>0.40814091777676759</v>
      </c>
      <c r="M87" s="1">
        <v>83</v>
      </c>
      <c r="N87" s="6">
        <f>VLOOKUP($N$2,角色品星!$C$16:$D$20,2,0)*VLOOKUP($N$3,角色品星!$C$3:$E$14,3,0)*V87</f>
        <v>11064.901477179292</v>
      </c>
      <c r="O87" s="6">
        <f>VLOOKUP($N$2,角色品星!$C$16:$D$20,2,0)*VLOOKUP($N$3,角色品星!$C$3:$E$14,3,0)*W87</f>
        <v>83630.352666767765</v>
      </c>
      <c r="P87" s="6">
        <f>VLOOKUP($N$2,角色品星!$C$16:$D$20,2,0)*VLOOKUP($N$3,角色品星!$C$3:$E$14,3,0)*X87</f>
        <v>204905.58291072724</v>
      </c>
      <c r="Q87" s="24">
        <f t="shared" si="10"/>
        <v>0.05</v>
      </c>
      <c r="R87" s="24">
        <f t="shared" si="11"/>
        <v>1.5</v>
      </c>
      <c r="S87" s="24">
        <f t="shared" si="12"/>
        <v>1</v>
      </c>
      <c r="T87" s="42">
        <f>N87*(1+Q87*(R87-1))*S87*战斗公式!$E$39+(P87*战斗公式!$E$40+1)*O87*战斗公式!$E$41</f>
        <v>538531.71464162448</v>
      </c>
      <c r="U87" s="42">
        <f t="shared" si="13"/>
        <v>26926.585732081323</v>
      </c>
      <c r="V87" s="6">
        <f>VLOOKUP($N$1,$D$4:$J$15,MATCH(F$4,$D$4:$J$4,0),0)*角色成长!E100*角色成长!$L$15*AB87/AA87/(1+$Y$2*($Z$2-1))</f>
        <v>11064.901477179292</v>
      </c>
      <c r="W87" s="6">
        <f>VLOOKUP($N$1,$D$4:$J$15,MATCH(G$4,$D$4:$J$4,0),0)*角色成长!F100*角色成长!$L$15/(1+X87/角色成长!$N$16)</f>
        <v>83630.352666767765</v>
      </c>
      <c r="X87" s="6">
        <f>VLOOKUP($N$1,$D$4:$J$15,MATCH(H$4,$D$4:$J$4,0),0)*角色成长!G100*角色成长!$L$15</f>
        <v>204905.58291072724</v>
      </c>
      <c r="Y87" s="1">
        <v>0.05</v>
      </c>
      <c r="Z87" s="1">
        <v>1.5</v>
      </c>
      <c r="AA87" s="1">
        <f>VLOOKUP($N$1,$D$4:$J$15,MATCH(I$4,$D$4:$J$4,0),0)*角色成长!J100</f>
        <v>1</v>
      </c>
      <c r="AB87" s="1">
        <f t="shared" si="8"/>
        <v>0.9</v>
      </c>
      <c r="AC87" s="6"/>
      <c r="AD87" s="22"/>
      <c r="AE87" s="22"/>
      <c r="AF87" s="22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6"/>
      <c r="J88" s="6"/>
      <c r="K88" s="6"/>
      <c r="L88" s="6">
        <f t="shared" si="9"/>
        <v>0.39487261317478989</v>
      </c>
      <c r="M88" s="1">
        <v>84</v>
      </c>
      <c r="N88" s="6">
        <f>VLOOKUP($N$2,角色品星!$C$16:$D$20,2,0)*VLOOKUP($N$3,角色品星!$C$3:$E$14,3,0)*V88</f>
        <v>11618.146551038257</v>
      </c>
      <c r="O88" s="6">
        <f>VLOOKUP($N$2,角色品星!$C$16:$D$20,2,0)*VLOOKUP($N$3,角色品星!$C$3:$E$14,3,0)*W88</f>
        <v>84957.183126965552</v>
      </c>
      <c r="P88" s="6">
        <f>VLOOKUP($N$2,角色品星!$C$16:$D$20,2,0)*VLOOKUP($N$3,角色品星!$C$3:$E$14,3,0)*X88</f>
        <v>215150.86205626358</v>
      </c>
      <c r="Q88" s="24">
        <f t="shared" si="10"/>
        <v>0.05</v>
      </c>
      <c r="R88" s="24">
        <f t="shared" si="11"/>
        <v>1.5</v>
      </c>
      <c r="S88" s="24">
        <f t="shared" si="12"/>
        <v>1</v>
      </c>
      <c r="T88" s="42">
        <f>N88*(1+Q88*(R88-1))*S88*战斗公式!$E$39+(P88*战斗公式!$E$40+1)*O88*战斗公式!$E$41</f>
        <v>565458.3003737058</v>
      </c>
      <c r="U88" s="42">
        <f t="shared" si="13"/>
        <v>28272.915018685278</v>
      </c>
      <c r="V88" s="6">
        <f>VLOOKUP($N$1,$D$4:$J$15,MATCH(F$4,$D$4:$J$4,0),0)*角色成长!E101*角色成长!$L$15*AB88/AA88/(1+$Y$2*($Z$2-1))</f>
        <v>11618.146551038257</v>
      </c>
      <c r="W88" s="6">
        <f>VLOOKUP($N$1,$D$4:$J$15,MATCH(G$4,$D$4:$J$4,0),0)*角色成长!F101*角色成长!$L$15/(1+X88/角色成长!$N$16)</f>
        <v>84957.183126965552</v>
      </c>
      <c r="X88" s="6">
        <f>VLOOKUP($N$1,$D$4:$J$15,MATCH(H$4,$D$4:$J$4,0),0)*角色成长!G101*角色成长!$L$15</f>
        <v>215150.86205626358</v>
      </c>
      <c r="Y88" s="1">
        <v>0.05</v>
      </c>
      <c r="Z88" s="1">
        <v>1.5</v>
      </c>
      <c r="AA88" s="1">
        <f>VLOOKUP($N$1,$D$4:$J$15,MATCH(I$4,$D$4:$J$4,0),0)*角色成长!J101</f>
        <v>1</v>
      </c>
      <c r="AB88" s="1">
        <f t="shared" si="8"/>
        <v>0.9</v>
      </c>
      <c r="AC88" s="6"/>
      <c r="AD88" s="22"/>
      <c r="AE88" s="22"/>
      <c r="AF88" s="22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6"/>
      <c r="J89" s="6"/>
      <c r="K89" s="6"/>
      <c r="L89" s="6">
        <f t="shared" si="9"/>
        <v>0.38183870828278532</v>
      </c>
      <c r="M89" s="1">
        <v>85</v>
      </c>
      <c r="N89" s="6">
        <f>VLOOKUP($N$2,角色品星!$C$16:$D$20,2,0)*VLOOKUP($N$3,角色品星!$C$3:$E$14,3,0)*V89</f>
        <v>12199.053878590172</v>
      </c>
      <c r="O89" s="6">
        <f>VLOOKUP($N$2,角色品星!$C$16:$D$20,2,0)*VLOOKUP($N$3,角色品星!$C$3:$E$14,3,0)*W89</f>
        <v>86260.573616165988</v>
      </c>
      <c r="P89" s="6">
        <f>VLOOKUP($N$2,角色品星!$C$16:$D$20,2,0)*VLOOKUP($N$3,角色品星!$C$3:$E$14,3,0)*X89</f>
        <v>225908.40515907676</v>
      </c>
      <c r="Q89" s="24">
        <f t="shared" si="10"/>
        <v>0.05</v>
      </c>
      <c r="R89" s="24">
        <f t="shared" si="11"/>
        <v>1.5</v>
      </c>
      <c r="S89" s="24">
        <f t="shared" si="12"/>
        <v>1</v>
      </c>
      <c r="T89" s="42">
        <f>N89*(1+Q89*(R89-1))*S89*战斗公式!$E$39+(P89*战斗公式!$E$40+1)*O89*战斗公式!$E$41</f>
        <v>593731.21539239108</v>
      </c>
      <c r="U89" s="42">
        <f t="shared" si="13"/>
        <v>29686.560769619653</v>
      </c>
      <c r="V89" s="6">
        <f>VLOOKUP($N$1,$D$4:$J$15,MATCH(F$4,$D$4:$J$4,0),0)*角色成长!E102*角色成长!$L$15*AB89/AA89/(1+$Y$2*($Z$2-1))</f>
        <v>12199.053878590172</v>
      </c>
      <c r="W89" s="6">
        <f>VLOOKUP($N$1,$D$4:$J$15,MATCH(G$4,$D$4:$J$4,0),0)*角色成长!F102*角色成长!$L$15/(1+X89/角色成长!$N$16)</f>
        <v>86260.573616165988</v>
      </c>
      <c r="X89" s="6">
        <f>VLOOKUP($N$1,$D$4:$J$15,MATCH(H$4,$D$4:$J$4,0),0)*角色成长!G102*角色成长!$L$15</f>
        <v>225908.40515907676</v>
      </c>
      <c r="Y89" s="1">
        <v>0.05</v>
      </c>
      <c r="Z89" s="1">
        <v>1.5</v>
      </c>
      <c r="AA89" s="1">
        <f>VLOOKUP($N$1,$D$4:$J$15,MATCH(I$4,$D$4:$J$4,0),0)*角色成长!J102</f>
        <v>1</v>
      </c>
      <c r="AB89" s="1">
        <f t="shared" si="8"/>
        <v>0.9</v>
      </c>
      <c r="AC89" s="6"/>
      <c r="AD89" s="22"/>
      <c r="AE89" s="22"/>
      <c r="AF89" s="22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6"/>
      <c r="J90" s="6"/>
      <c r="K90" s="6"/>
      <c r="L90" s="6">
        <f t="shared" si="9"/>
        <v>0.36904813962457322</v>
      </c>
      <c r="M90" s="1">
        <v>86</v>
      </c>
      <c r="N90" s="6">
        <f>VLOOKUP($N$2,角色品星!$C$16:$D$20,2,0)*VLOOKUP($N$3,角色品星!$C$3:$E$14,3,0)*V90</f>
        <v>12809.006572519682</v>
      </c>
      <c r="O90" s="6">
        <f>VLOOKUP($N$2,角色品星!$C$16:$D$20,2,0)*VLOOKUP($N$3,角色品星!$C$3:$E$14,3,0)*W90</f>
        <v>87539.630481987217</v>
      </c>
      <c r="P90" s="6">
        <f>VLOOKUP($N$2,角色品星!$C$16:$D$20,2,0)*VLOOKUP($N$3,角色品星!$C$3:$E$14,3,0)*X90</f>
        <v>237203.82541703063</v>
      </c>
      <c r="Q90" s="24">
        <f t="shared" si="10"/>
        <v>0.05</v>
      </c>
      <c r="R90" s="24">
        <f t="shared" si="11"/>
        <v>1.5</v>
      </c>
      <c r="S90" s="24">
        <f t="shared" si="12"/>
        <v>1</v>
      </c>
      <c r="T90" s="42">
        <f>N90*(1+Q90*(R90-1))*S90*战斗公式!$E$39+(P90*战斗公式!$E$40+1)*O90*战斗公式!$E$41</f>
        <v>623417.77616201073</v>
      </c>
      <c r="U90" s="42">
        <f t="shared" si="13"/>
        <v>31170.888808100601</v>
      </c>
      <c r="V90" s="6">
        <f>VLOOKUP($N$1,$D$4:$J$15,MATCH(F$4,$D$4:$J$4,0),0)*角色成长!E103*角色成长!$L$15*AB90/AA90/(1+$Y$2*($Z$2-1))</f>
        <v>12809.006572519682</v>
      </c>
      <c r="W90" s="6">
        <f>VLOOKUP($N$1,$D$4:$J$15,MATCH(G$4,$D$4:$J$4,0),0)*角色成长!F103*角色成长!$L$15/(1+X90/角色成长!$N$16)</f>
        <v>87539.630481987217</v>
      </c>
      <c r="X90" s="6">
        <f>VLOOKUP($N$1,$D$4:$J$15,MATCH(H$4,$D$4:$J$4,0),0)*角色成长!G103*角色成长!$L$15</f>
        <v>237203.82541703063</v>
      </c>
      <c r="Y90" s="1">
        <v>0.05</v>
      </c>
      <c r="Z90" s="1">
        <v>1.5</v>
      </c>
      <c r="AA90" s="1">
        <f>VLOOKUP($N$1,$D$4:$J$15,MATCH(I$4,$D$4:$J$4,0),0)*角色成长!J103</f>
        <v>1</v>
      </c>
      <c r="AB90" s="1">
        <f t="shared" si="8"/>
        <v>0.9</v>
      </c>
      <c r="AC90" s="6"/>
      <c r="AD90" s="22"/>
      <c r="AE90" s="22"/>
      <c r="AF90" s="22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6"/>
      <c r="J91" s="6"/>
      <c r="K91" s="6"/>
      <c r="L91" s="6">
        <f t="shared" si="9"/>
        <v>0.35650894533685873</v>
      </c>
      <c r="M91" s="1">
        <v>87</v>
      </c>
      <c r="N91" s="6">
        <f>VLOOKUP($N$2,角色品星!$C$16:$D$20,2,0)*VLOOKUP($N$3,角色品星!$C$3:$E$14,3,0)*V91</f>
        <v>13449.456901145666</v>
      </c>
      <c r="O91" s="6">
        <f>VLOOKUP($N$2,角色品星!$C$16:$D$20,2,0)*VLOOKUP($N$3,角色品星!$C$3:$E$14,3,0)*W91</f>
        <v>88793.549910758666</v>
      </c>
      <c r="P91" s="6">
        <f>VLOOKUP($N$2,角色品星!$C$16:$D$20,2,0)*VLOOKUP($N$3,角色品星!$C$3:$E$14,3,0)*X91</f>
        <v>249064.01668788219</v>
      </c>
      <c r="Q91" s="24">
        <f t="shared" si="10"/>
        <v>0.05</v>
      </c>
      <c r="R91" s="24">
        <f t="shared" si="11"/>
        <v>1.5</v>
      </c>
      <c r="S91" s="24">
        <f t="shared" si="12"/>
        <v>1</v>
      </c>
      <c r="T91" s="42">
        <f>N91*(1+Q91*(R91-1))*S91*战斗公式!$E$39+(P91*战斗公式!$E$40+1)*O91*战斗公式!$E$41</f>
        <v>654588.66497011133</v>
      </c>
      <c r="U91" s="42">
        <f t="shared" si="13"/>
        <v>32729.433248505462</v>
      </c>
      <c r="V91" s="6">
        <f>VLOOKUP($N$1,$D$4:$J$15,MATCH(F$4,$D$4:$J$4,0),0)*角色成长!E104*角色成长!$L$15*AB91/AA91/(1+$Y$2*($Z$2-1))</f>
        <v>13449.456901145666</v>
      </c>
      <c r="W91" s="6">
        <f>VLOOKUP($N$1,$D$4:$J$15,MATCH(G$4,$D$4:$J$4,0),0)*角色成长!F104*角色成长!$L$15/(1+X91/角色成长!$N$16)</f>
        <v>88793.549910758666</v>
      </c>
      <c r="X91" s="6">
        <f>VLOOKUP($N$1,$D$4:$J$15,MATCH(H$4,$D$4:$J$4,0),0)*角色成长!G104*角色成长!$L$15</f>
        <v>249064.01668788219</v>
      </c>
      <c r="Y91" s="1">
        <v>0.05</v>
      </c>
      <c r="Z91" s="1">
        <v>1.5</v>
      </c>
      <c r="AA91" s="1">
        <f>VLOOKUP($N$1,$D$4:$J$15,MATCH(I$4,$D$4:$J$4,0),0)*角色成长!J104</f>
        <v>1</v>
      </c>
      <c r="AB91" s="1">
        <f t="shared" si="8"/>
        <v>0.9</v>
      </c>
      <c r="AC91" s="6"/>
      <c r="AD91" s="22"/>
      <c r="AE91" s="22"/>
      <c r="AF91" s="22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6"/>
      <c r="J92" s="6"/>
      <c r="K92" s="6"/>
      <c r="L92" s="6">
        <f t="shared" si="9"/>
        <v>0.34422826469330309</v>
      </c>
      <c r="M92" s="1">
        <v>88</v>
      </c>
      <c r="N92" s="6">
        <f>VLOOKUP($N$2,角色品星!$C$16:$D$20,2,0)*VLOOKUP($N$3,角色品星!$C$3:$E$14,3,0)*V92</f>
        <v>14121.929746202948</v>
      </c>
      <c r="O92" s="6">
        <f>VLOOKUP($N$2,角色品星!$C$16:$D$20,2,0)*VLOOKUP($N$3,角色品星!$C$3:$E$14,3,0)*W92</f>
        <v>90021.617975114234</v>
      </c>
      <c r="P92" s="6">
        <f>VLOOKUP($N$2,角色品星!$C$16:$D$20,2,0)*VLOOKUP($N$3,角色品星!$C$3:$E$14,3,0)*X92</f>
        <v>261517.21752227627</v>
      </c>
      <c r="Q92" s="24">
        <f t="shared" si="10"/>
        <v>0.05</v>
      </c>
      <c r="R92" s="24">
        <f t="shared" si="11"/>
        <v>1.5</v>
      </c>
      <c r="S92" s="24">
        <f t="shared" si="12"/>
        <v>1</v>
      </c>
      <c r="T92" s="42">
        <f>N92*(1+Q92*(R92-1))*S92*战斗公式!$E$39+(P92*战斗公式!$E$40+1)*O92*战斗公式!$E$41</f>
        <v>687318.0982186168</v>
      </c>
      <c r="U92" s="42">
        <f t="shared" si="13"/>
        <v>34365.904910930898</v>
      </c>
      <c r="V92" s="6">
        <f>VLOOKUP($N$1,$D$4:$J$15,MATCH(F$4,$D$4:$J$4,0),0)*角色成长!E105*角色成长!$L$15*AB92/AA92/(1+$Y$2*($Z$2-1))</f>
        <v>14121.929746202948</v>
      </c>
      <c r="W92" s="6">
        <f>VLOOKUP($N$1,$D$4:$J$15,MATCH(G$4,$D$4:$J$4,0),0)*角色成长!F105*角色成长!$L$15/(1+X92/角色成长!$N$16)</f>
        <v>90021.617975114234</v>
      </c>
      <c r="X92" s="6">
        <f>VLOOKUP($N$1,$D$4:$J$15,MATCH(H$4,$D$4:$J$4,0),0)*角色成长!G105*角色成长!$L$15</f>
        <v>261517.21752227627</v>
      </c>
      <c r="Y92" s="1">
        <v>0.05</v>
      </c>
      <c r="Z92" s="1">
        <v>1.5</v>
      </c>
      <c r="AA92" s="1">
        <f>VLOOKUP($N$1,$D$4:$J$15,MATCH(I$4,$D$4:$J$4,0),0)*角色成长!J105</f>
        <v>1</v>
      </c>
      <c r="AB92" s="1">
        <f t="shared" si="8"/>
        <v>0.9</v>
      </c>
      <c r="AC92" s="6"/>
      <c r="AD92" s="22"/>
      <c r="AE92" s="22"/>
      <c r="AF92" s="22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6"/>
      <c r="J93" s="6"/>
      <c r="K93" s="6"/>
      <c r="L93" s="6">
        <f t="shared" si="9"/>
        <v>0.33221234352892781</v>
      </c>
      <c r="M93" s="1">
        <v>89</v>
      </c>
      <c r="N93" s="6">
        <f>VLOOKUP($N$2,角色品星!$C$16:$D$20,2,0)*VLOOKUP($N$3,角色品星!$C$3:$E$14,3,0)*V93</f>
        <v>14828.026233513096</v>
      </c>
      <c r="O93" s="6">
        <f>VLOOKUP($N$2,角色品星!$C$16:$D$20,2,0)*VLOOKUP($N$3,角色品星!$C$3:$E$14,3,0)*W93</f>
        <v>91223.21009155178</v>
      </c>
      <c r="P93" s="6">
        <f>VLOOKUP($N$2,角色品星!$C$16:$D$20,2,0)*VLOOKUP($N$3,角色品星!$C$3:$E$14,3,0)*X93</f>
        <v>274593.07839839009</v>
      </c>
      <c r="Q93" s="24">
        <f t="shared" si="10"/>
        <v>0.05</v>
      </c>
      <c r="R93" s="24">
        <f t="shared" si="11"/>
        <v>1.5</v>
      </c>
      <c r="S93" s="24">
        <f t="shared" si="12"/>
        <v>1</v>
      </c>
      <c r="T93" s="42">
        <f>N93*(1+Q93*(R93-1))*S93*战斗公式!$E$39+(P93*战斗公式!$E$40+1)*O93*战斗公式!$E$41</f>
        <v>721684.00312954769</v>
      </c>
      <c r="U93" s="42">
        <f t="shared" si="13"/>
        <v>36084.200156477513</v>
      </c>
      <c r="V93" s="6">
        <f>VLOOKUP($N$1,$D$4:$J$15,MATCH(F$4,$D$4:$J$4,0),0)*角色成长!E106*角色成长!$L$15*AB93/AA93/(1+$Y$2*($Z$2-1))</f>
        <v>14828.026233513096</v>
      </c>
      <c r="W93" s="6">
        <f>VLOOKUP($N$1,$D$4:$J$15,MATCH(G$4,$D$4:$J$4,0),0)*角色成长!F106*角色成长!$L$15/(1+X93/角色成长!$N$16)</f>
        <v>91223.21009155178</v>
      </c>
      <c r="X93" s="6">
        <f>VLOOKUP($N$1,$D$4:$J$15,MATCH(H$4,$D$4:$J$4,0),0)*角色成长!G106*角色成长!$L$15</f>
        <v>274593.07839839009</v>
      </c>
      <c r="Y93" s="1">
        <v>0.05</v>
      </c>
      <c r="Z93" s="1">
        <v>1.5</v>
      </c>
      <c r="AA93" s="1">
        <f>VLOOKUP($N$1,$D$4:$J$15,MATCH(I$4,$D$4:$J$4,0),0)*角色成长!J106</f>
        <v>1</v>
      </c>
      <c r="AB93" s="1">
        <f t="shared" si="8"/>
        <v>0.9</v>
      </c>
      <c r="AC93" s="6"/>
      <c r="AD93" s="22"/>
      <c r="AE93" s="22"/>
      <c r="AF93" s="22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6"/>
      <c r="J94" s="6"/>
      <c r="K94" s="6"/>
      <c r="L94" s="6">
        <f t="shared" si="9"/>
        <v>0.32046654518911072</v>
      </c>
      <c r="M94" s="1">
        <v>90</v>
      </c>
      <c r="N94" s="6">
        <f>VLOOKUP($N$2,角色品星!$C$16:$D$20,2,0)*VLOOKUP($N$3,角色品星!$C$3:$E$14,3,0)*V94</f>
        <v>15569.427545188753</v>
      </c>
      <c r="O94" s="6">
        <f>VLOOKUP($N$2,角色品星!$C$16:$D$20,2,0)*VLOOKUP($N$3,角色品星!$C$3:$E$14,3,0)*W94</f>
        <v>92397.789925533449</v>
      </c>
      <c r="P94" s="6">
        <f>VLOOKUP($N$2,角色品星!$C$16:$D$20,2,0)*VLOOKUP($N$3,角色品星!$C$3:$E$14,3,0)*X94</f>
        <v>288322.73231830966</v>
      </c>
      <c r="Q94" s="24">
        <f t="shared" si="10"/>
        <v>0.05</v>
      </c>
      <c r="R94" s="24">
        <f t="shared" si="11"/>
        <v>1.5</v>
      </c>
      <c r="S94" s="24">
        <f t="shared" si="12"/>
        <v>1</v>
      </c>
      <c r="T94" s="42">
        <f>N94*(1+Q94*(R94-1))*S94*战斗公式!$E$39+(P94*战斗公式!$E$40+1)*O94*战斗公式!$E$41</f>
        <v>757768.20328602521</v>
      </c>
      <c r="U94" s="42">
        <f t="shared" si="13"/>
        <v>37888.410164301167</v>
      </c>
      <c r="V94" s="6">
        <f>VLOOKUP($N$1,$D$4:$J$15,MATCH(F$4,$D$4:$J$4,0),0)*角色成长!E107*角色成长!$L$15*AB94/AA94/(1+$Y$2*($Z$2-1))</f>
        <v>15569.427545188753</v>
      </c>
      <c r="W94" s="6">
        <f>VLOOKUP($N$1,$D$4:$J$15,MATCH(G$4,$D$4:$J$4,0),0)*角色成长!F107*角色成长!$L$15/(1+X94/角色成长!$N$16)</f>
        <v>92397.789925533449</v>
      </c>
      <c r="X94" s="6">
        <f>VLOOKUP($N$1,$D$4:$J$15,MATCH(H$4,$D$4:$J$4,0),0)*角色成长!G107*角色成长!$L$15</f>
        <v>288322.73231830966</v>
      </c>
      <c r="Y94" s="1">
        <v>0.05</v>
      </c>
      <c r="Z94" s="1">
        <v>1.5</v>
      </c>
      <c r="AA94" s="1">
        <f>VLOOKUP($N$1,$D$4:$J$15,MATCH(I$4,$D$4:$J$4,0),0)*角色成长!J107</f>
        <v>1</v>
      </c>
      <c r="AB94" s="1">
        <f t="shared" si="8"/>
        <v>0.9</v>
      </c>
      <c r="AC94" s="6"/>
      <c r="AD94" s="22"/>
      <c r="AE94" s="22"/>
      <c r="AF94" s="22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6"/>
      <c r="J95" s="6"/>
      <c r="K95" s="6"/>
      <c r="L95" s="6">
        <f t="shared" si="9"/>
        <v>0.30899536658521198</v>
      </c>
      <c r="M95" s="1">
        <v>91</v>
      </c>
      <c r="N95" s="6">
        <f>VLOOKUP($N$2,角色品星!$C$16:$D$20,2,0)*VLOOKUP($N$3,角色品星!$C$3:$E$14,3,0)*V95</f>
        <v>16347.898922448192</v>
      </c>
      <c r="O95" s="6">
        <f>VLOOKUP($N$2,角色品星!$C$16:$D$20,2,0)*VLOOKUP($N$3,角色品星!$C$3:$E$14,3,0)*W95</f>
        <v>93544.907785923337</v>
      </c>
      <c r="P95" s="6">
        <f>VLOOKUP($N$2,角色品星!$C$16:$D$20,2,0)*VLOOKUP($N$3,角色品星!$C$3:$E$14,3,0)*X95</f>
        <v>302738.86893422512</v>
      </c>
      <c r="Q95" s="24">
        <f t="shared" si="10"/>
        <v>0.05</v>
      </c>
      <c r="R95" s="24">
        <f t="shared" si="11"/>
        <v>1.5</v>
      </c>
      <c r="S95" s="24">
        <f t="shared" si="12"/>
        <v>1</v>
      </c>
      <c r="T95" s="42">
        <f>N95*(1+Q95*(R95-1))*S95*战斗公式!$E$39+(P95*战斗公式!$E$40+1)*O95*战斗公式!$E$41</f>
        <v>795656.61345032637</v>
      </c>
      <c r="U95" s="42">
        <f t="shared" si="13"/>
        <v>39782.830672516488</v>
      </c>
      <c r="V95" s="6">
        <f>VLOOKUP($N$1,$D$4:$J$15,MATCH(F$4,$D$4:$J$4,0),0)*角色成长!E108*角色成长!$L$15*AB95/AA95/(1+$Y$2*($Z$2-1))</f>
        <v>16347.898922448192</v>
      </c>
      <c r="W95" s="6">
        <f>VLOOKUP($N$1,$D$4:$J$15,MATCH(G$4,$D$4:$J$4,0),0)*角色成长!F108*角色成长!$L$15/(1+X95/角色成长!$N$16)</f>
        <v>93544.907785923337</v>
      </c>
      <c r="X95" s="6">
        <f>VLOOKUP($N$1,$D$4:$J$15,MATCH(H$4,$D$4:$J$4,0),0)*角色成长!G108*角色成长!$L$15</f>
        <v>302738.86893422512</v>
      </c>
      <c r="Y95" s="1">
        <v>0.05</v>
      </c>
      <c r="Z95" s="1">
        <v>1.5</v>
      </c>
      <c r="AA95" s="1">
        <f>VLOOKUP($N$1,$D$4:$J$15,MATCH(I$4,$D$4:$J$4,0),0)*角色成长!J108</f>
        <v>1</v>
      </c>
      <c r="AB95" s="1">
        <f t="shared" si="8"/>
        <v>0.9</v>
      </c>
      <c r="AC95" s="6"/>
      <c r="AD95" s="22"/>
      <c r="AE95" s="22"/>
      <c r="AF95" s="22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6"/>
      <c r="J96" s="6"/>
      <c r="K96" s="6"/>
      <c r="L96" s="6">
        <f t="shared" si="9"/>
        <v>0.29780245890614204</v>
      </c>
      <c r="M96" s="1">
        <v>92</v>
      </c>
      <c r="N96" s="6">
        <f>VLOOKUP($N$2,角色品星!$C$16:$D$20,2,0)*VLOOKUP($N$3,角色品星!$C$3:$E$14,3,0)*V96</f>
        <v>17165.293868570603</v>
      </c>
      <c r="O96" s="6">
        <f>VLOOKUP($N$2,角色品星!$C$16:$D$20,2,0)*VLOOKUP($N$3,角色品星!$C$3:$E$14,3,0)*W96</f>
        <v>94664.198553830327</v>
      </c>
      <c r="P96" s="6">
        <f>VLOOKUP($N$2,角色品星!$C$16:$D$20,2,0)*VLOOKUP($N$3,角色品星!$C$3:$E$14,3,0)*X96</f>
        <v>317875.8123809364</v>
      </c>
      <c r="Q96" s="24">
        <f t="shared" si="10"/>
        <v>0.05</v>
      </c>
      <c r="R96" s="24">
        <f t="shared" si="11"/>
        <v>1.5</v>
      </c>
      <c r="S96" s="24">
        <f t="shared" si="12"/>
        <v>1</v>
      </c>
      <c r="T96" s="42">
        <f>N96*(1+Q96*(R96-1))*S96*战斗公式!$E$39+(P96*战斗公式!$E$40+1)*O96*战斗公式!$E$41</f>
        <v>835439.44412284286</v>
      </c>
      <c r="U96" s="42">
        <f t="shared" si="13"/>
        <v>41771.972206142149</v>
      </c>
      <c r="V96" s="6">
        <f>VLOOKUP($N$1,$D$4:$J$15,MATCH(F$4,$D$4:$J$4,0),0)*角色成长!E109*角色成长!$L$15*AB96/AA96/(1+$Y$2*($Z$2-1))</f>
        <v>17165.293868570603</v>
      </c>
      <c r="W96" s="6">
        <f>VLOOKUP($N$1,$D$4:$J$15,MATCH(G$4,$D$4:$J$4,0),0)*角色成长!F109*角色成长!$L$15/(1+X96/角色成长!$N$16)</f>
        <v>94664.198553830327</v>
      </c>
      <c r="X96" s="6">
        <f>VLOOKUP($N$1,$D$4:$J$15,MATCH(H$4,$D$4:$J$4,0),0)*角色成长!G109*角色成长!$L$15</f>
        <v>317875.8123809364</v>
      </c>
      <c r="Y96" s="1">
        <v>0.05</v>
      </c>
      <c r="Z96" s="1">
        <v>1.5</v>
      </c>
      <c r="AA96" s="1">
        <f>VLOOKUP($N$1,$D$4:$J$15,MATCH(I$4,$D$4:$J$4,0),0)*角色成长!J109</f>
        <v>1</v>
      </c>
      <c r="AB96" s="1">
        <f t="shared" si="8"/>
        <v>0.9</v>
      </c>
      <c r="AC96" s="6"/>
      <c r="AD96" s="22"/>
      <c r="AE96" s="22"/>
      <c r="AF96" s="22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6"/>
      <c r="J97" s="6"/>
      <c r="K97" s="6"/>
      <c r="L97" s="6">
        <f t="shared" si="9"/>
        <v>0.28689065251178825</v>
      </c>
      <c r="M97" s="1">
        <v>93</v>
      </c>
      <c r="N97" s="6">
        <f>VLOOKUP($N$2,角色品星!$C$16:$D$20,2,0)*VLOOKUP($N$3,角色品星!$C$3:$E$14,3,0)*V97</f>
        <v>18023.558561999133</v>
      </c>
      <c r="O97" s="6">
        <f>VLOOKUP($N$2,角色品星!$C$16:$D$20,2,0)*VLOOKUP($N$3,角色品星!$C$3:$E$14,3,0)*W97</f>
        <v>95755.379193265704</v>
      </c>
      <c r="P97" s="6">
        <f>VLOOKUP($N$2,角色品星!$C$16:$D$20,2,0)*VLOOKUP($N$3,角色品星!$C$3:$E$14,3,0)*X97</f>
        <v>333769.60299998324</v>
      </c>
      <c r="Q97" s="24">
        <f t="shared" si="10"/>
        <v>0.05</v>
      </c>
      <c r="R97" s="24">
        <f t="shared" si="11"/>
        <v>1.5</v>
      </c>
      <c r="S97" s="24">
        <f t="shared" si="12"/>
        <v>1</v>
      </c>
      <c r="T97" s="42">
        <f>N97*(1+Q97*(R97-1))*S97*战斗公式!$E$39+(P97*战斗公式!$E$40+1)*O97*战斗公式!$E$41</f>
        <v>877211.41632898501</v>
      </c>
      <c r="U97" s="42">
        <f t="shared" si="13"/>
        <v>43860.570816449123</v>
      </c>
      <c r="V97" s="6">
        <f>VLOOKUP($N$1,$D$4:$J$15,MATCH(F$4,$D$4:$J$4,0),0)*角色成长!E110*角色成长!$L$15*AB97/AA97/(1+$Y$2*($Z$2-1))</f>
        <v>18023.558561999133</v>
      </c>
      <c r="W97" s="6">
        <f>VLOOKUP($N$1,$D$4:$J$15,MATCH(G$4,$D$4:$J$4,0),0)*角色成长!F110*角色成长!$L$15/(1+X97/角色成长!$N$16)</f>
        <v>95755.379193265704</v>
      </c>
      <c r="X97" s="6">
        <f>VLOOKUP($N$1,$D$4:$J$15,MATCH(H$4,$D$4:$J$4,0),0)*角色成长!G110*角色成长!$L$15</f>
        <v>333769.60299998324</v>
      </c>
      <c r="Y97" s="1">
        <v>0.05</v>
      </c>
      <c r="Z97" s="1">
        <v>1.5</v>
      </c>
      <c r="AA97" s="1">
        <f>VLOOKUP($N$1,$D$4:$J$15,MATCH(I$4,$D$4:$J$4,0),0)*角色成长!J110</f>
        <v>1</v>
      </c>
      <c r="AB97" s="1">
        <f t="shared" si="8"/>
        <v>0.9</v>
      </c>
      <c r="AC97" s="6"/>
      <c r="AD97" s="22"/>
      <c r="AE97" s="22"/>
      <c r="AF97" s="22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6"/>
      <c r="J98" s="6"/>
      <c r="K98" s="6"/>
      <c r="L98" s="6">
        <f t="shared" si="9"/>
        <v>0.2762619855197716</v>
      </c>
      <c r="M98" s="1">
        <v>94</v>
      </c>
      <c r="N98" s="6">
        <f>VLOOKUP($N$2,角色品星!$C$16:$D$20,2,0)*VLOOKUP($N$3,角色品星!$C$3:$E$14,3,0)*V98</f>
        <v>18924.736490099091</v>
      </c>
      <c r="O98" s="6">
        <f>VLOOKUP($N$2,角色品星!$C$16:$D$20,2,0)*VLOOKUP($N$3,角色品星!$C$3:$E$14,3,0)*W98</f>
        <v>96818.245892467356</v>
      </c>
      <c r="P98" s="6">
        <f>VLOOKUP($N$2,角色品星!$C$16:$D$20,2,0)*VLOOKUP($N$3,角色品星!$C$3:$E$14,3,0)*X98</f>
        <v>350458.08314998244</v>
      </c>
      <c r="Q98" s="24">
        <f t="shared" si="10"/>
        <v>0.05</v>
      </c>
      <c r="R98" s="24">
        <f t="shared" si="11"/>
        <v>1.5</v>
      </c>
      <c r="S98" s="24">
        <f t="shared" si="12"/>
        <v>1</v>
      </c>
      <c r="T98" s="42">
        <f>N98*(1+Q98*(R98-1))*S98*战斗公式!$E$39+(P98*战斗公式!$E$40+1)*O98*战斗公式!$E$41</f>
        <v>921071.98714543413</v>
      </c>
      <c r="U98" s="42">
        <f t="shared" si="13"/>
        <v>46053.5993572718</v>
      </c>
      <c r="V98" s="6">
        <f>VLOOKUP($N$1,$D$4:$J$15,MATCH(F$4,$D$4:$J$4,0),0)*角色成长!E111*角色成长!$L$15*AB98/AA98/(1+$Y$2*($Z$2-1))</f>
        <v>18924.736490099091</v>
      </c>
      <c r="W98" s="6">
        <f>VLOOKUP($N$1,$D$4:$J$15,MATCH(G$4,$D$4:$J$4,0),0)*角色成长!F111*角色成长!$L$15/(1+X98/角色成长!$N$16)</f>
        <v>96818.245892467356</v>
      </c>
      <c r="X98" s="6">
        <f>VLOOKUP($N$1,$D$4:$J$15,MATCH(H$4,$D$4:$J$4,0),0)*角色成长!G111*角色成长!$L$15</f>
        <v>350458.08314998244</v>
      </c>
      <c r="Y98" s="1">
        <v>0.05</v>
      </c>
      <c r="Z98" s="1">
        <v>1.5</v>
      </c>
      <c r="AA98" s="1">
        <f>VLOOKUP($N$1,$D$4:$J$15,MATCH(I$4,$D$4:$J$4,0),0)*角色成长!J111</f>
        <v>1</v>
      </c>
      <c r="AB98" s="1">
        <f t="shared" si="8"/>
        <v>0.9</v>
      </c>
      <c r="AC98" s="6"/>
      <c r="AD98" s="22"/>
      <c r="AE98" s="22"/>
      <c r="AF98" s="22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6"/>
      <c r="J99" s="6"/>
      <c r="K99" s="6"/>
      <c r="L99" s="6">
        <f t="shared" si="9"/>
        <v>0.26591773559099685</v>
      </c>
      <c r="M99" s="1">
        <v>95</v>
      </c>
      <c r="N99" s="6">
        <f>VLOOKUP($N$2,角色品星!$C$16:$D$20,2,0)*VLOOKUP($N$3,角色品星!$C$3:$E$14,3,0)*V99</f>
        <v>19870.973314604045</v>
      </c>
      <c r="O99" s="6">
        <f>VLOOKUP($N$2,角色品星!$C$16:$D$20,2,0)*VLOOKUP($N$3,角色品星!$C$3:$E$14,3,0)*W99</f>
        <v>97852.670885344851</v>
      </c>
      <c r="P99" s="6">
        <f>VLOOKUP($N$2,角色品星!$C$16:$D$20,2,0)*VLOOKUP($N$3,角色品星!$C$3:$E$14,3,0)*X99</f>
        <v>367980.98730748153</v>
      </c>
      <c r="Q99" s="24">
        <f t="shared" si="10"/>
        <v>0.05</v>
      </c>
      <c r="R99" s="24">
        <f t="shared" si="11"/>
        <v>1.5</v>
      </c>
      <c r="S99" s="24">
        <f t="shared" si="12"/>
        <v>1</v>
      </c>
      <c r="T99" s="42">
        <f>N99*(1+Q99*(R99-1))*S99*战斗公式!$E$39+(P99*战斗公式!$E$40+1)*O99*战斗公式!$E$41</f>
        <v>967125.58650270593</v>
      </c>
      <c r="U99" s="42">
        <f t="shared" si="13"/>
        <v>48356.279325135285</v>
      </c>
      <c r="V99" s="6">
        <f>VLOOKUP($N$1,$D$4:$J$15,MATCH(F$4,$D$4:$J$4,0),0)*角色成长!E112*角色成长!$L$15*AB99/AA99/(1+$Y$2*($Z$2-1))</f>
        <v>19870.973314604045</v>
      </c>
      <c r="W99" s="6">
        <f>VLOOKUP($N$1,$D$4:$J$15,MATCH(G$4,$D$4:$J$4,0),0)*角色成长!F112*角色成长!$L$15/(1+X99/角色成长!$N$16)</f>
        <v>97852.670885344851</v>
      </c>
      <c r="X99" s="6">
        <f>VLOOKUP($N$1,$D$4:$J$15,MATCH(H$4,$D$4:$J$4,0),0)*角色成长!G112*角色成长!$L$15</f>
        <v>367980.98730748153</v>
      </c>
      <c r="Y99" s="1">
        <v>0.05</v>
      </c>
      <c r="Z99" s="1">
        <v>1.5</v>
      </c>
      <c r="AA99" s="1">
        <f>VLOOKUP($N$1,$D$4:$J$15,MATCH(I$4,$D$4:$J$4,0),0)*角色成长!J112</f>
        <v>1</v>
      </c>
      <c r="AB99" s="1">
        <f t="shared" si="8"/>
        <v>0.9</v>
      </c>
      <c r="AC99" s="6"/>
      <c r="AD99" s="22"/>
      <c r="AE99" s="22"/>
      <c r="AF99" s="22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6"/>
      <c r="J100" s="6"/>
      <c r="K100" s="6"/>
      <c r="L100" s="6">
        <f t="shared" si="9"/>
        <v>0.25585845442120231</v>
      </c>
      <c r="M100" s="1">
        <v>96</v>
      </c>
      <c r="N100" s="6">
        <f>VLOOKUP($N$2,角色品星!$C$16:$D$20,2,0)*VLOOKUP($N$3,角色品星!$C$3:$E$14,3,0)*V100</f>
        <v>20864.521980334244</v>
      </c>
      <c r="O100" s="6">
        <f>VLOOKUP($N$2,角色品星!$C$16:$D$20,2,0)*VLOOKUP($N$3,角色品星!$C$3:$E$14,3,0)*W100</f>
        <v>98858.599002324307</v>
      </c>
      <c r="P100" s="6">
        <f>VLOOKUP($N$2,角色品星!$C$16:$D$20,2,0)*VLOOKUP($N$3,角色品星!$C$3:$E$14,3,0)*X100</f>
        <v>386380.03667285561</v>
      </c>
      <c r="Q100" s="24">
        <f t="shared" si="10"/>
        <v>0.05</v>
      </c>
      <c r="R100" s="24">
        <f t="shared" si="11"/>
        <v>1.5</v>
      </c>
      <c r="S100" s="24">
        <f t="shared" si="12"/>
        <v>1</v>
      </c>
      <c r="T100" s="42">
        <f>N100*(1+Q100*(R100-1))*S100*战斗公式!$E$39+(P100*战斗公式!$E$40+1)*O100*战斗公式!$E$41</f>
        <v>1015481.8658278412</v>
      </c>
      <c r="U100" s="42">
        <f t="shared" si="13"/>
        <v>50774.093291392084</v>
      </c>
      <c r="V100" s="6">
        <f>VLOOKUP($N$1,$D$4:$J$15,MATCH(F$4,$D$4:$J$4,0),0)*角色成长!E113*角色成长!$L$15*AB100/AA100/(1+$Y$2*($Z$2-1))</f>
        <v>20864.521980334244</v>
      </c>
      <c r="W100" s="6">
        <f>VLOOKUP($N$1,$D$4:$J$15,MATCH(G$4,$D$4:$J$4,0),0)*角色成长!F113*角色成长!$L$15/(1+X100/角色成长!$N$16)</f>
        <v>98858.599002324307</v>
      </c>
      <c r="X100" s="6">
        <f>VLOOKUP($N$1,$D$4:$J$15,MATCH(H$4,$D$4:$J$4,0),0)*角色成长!G113*角色成长!$L$15</f>
        <v>386380.03667285561</v>
      </c>
      <c r="Y100" s="1">
        <v>0.05</v>
      </c>
      <c r="Z100" s="1">
        <v>1.5</v>
      </c>
      <c r="AA100" s="1">
        <f>VLOOKUP($N$1,$D$4:$J$15,MATCH(I$4,$D$4:$J$4,0),0)*角色成长!J113</f>
        <v>1</v>
      </c>
      <c r="AB100" s="1">
        <f t="shared" si="8"/>
        <v>0.9</v>
      </c>
      <c r="AC100" s="6"/>
      <c r="AD100" s="22"/>
      <c r="AE100" s="22"/>
      <c r="AF100" s="22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6"/>
      <c r="J101" s="6"/>
      <c r="K101" s="6"/>
      <c r="L101" s="6">
        <f t="shared" si="9"/>
        <v>0.24608400445445047</v>
      </c>
      <c r="M101" s="1">
        <v>97</v>
      </c>
      <c r="N101" s="6">
        <f>VLOOKUP($N$2,角色品星!$C$16:$D$20,2,0)*VLOOKUP($N$3,角色品星!$C$3:$E$14,3,0)*V101</f>
        <v>21907.74807935096</v>
      </c>
      <c r="O101" s="6">
        <f>VLOOKUP($N$2,角色品星!$C$16:$D$20,2,0)*VLOOKUP($N$3,角色品星!$C$3:$E$14,3,0)*W101</f>
        <v>99836.043998999448</v>
      </c>
      <c r="P101" s="6">
        <f>VLOOKUP($N$2,角色品星!$C$16:$D$20,2,0)*VLOOKUP($N$3,角色品星!$C$3:$E$14,3,0)*X101</f>
        <v>405699.0385064985</v>
      </c>
      <c r="Q101" s="24">
        <f t="shared" si="10"/>
        <v>0.05</v>
      </c>
      <c r="R101" s="24">
        <f t="shared" si="11"/>
        <v>1.5</v>
      </c>
      <c r="S101" s="24">
        <f t="shared" si="12"/>
        <v>1</v>
      </c>
      <c r="T101" s="42">
        <f>N101*(1+Q101*(R101-1))*S101*战斗公式!$E$39+(P101*战斗公式!$E$40+1)*O101*战斗公式!$E$41</f>
        <v>1066255.9591192333</v>
      </c>
      <c r="U101" s="42">
        <f t="shared" si="13"/>
        <v>53312.797955961898</v>
      </c>
      <c r="V101" s="6">
        <f>VLOOKUP($N$1,$D$4:$J$15,MATCH(F$4,$D$4:$J$4,0),0)*角色成长!E114*角色成长!$L$15*AB101/AA101/(1+$Y$2*($Z$2-1))</f>
        <v>21907.74807935096</v>
      </c>
      <c r="W101" s="6">
        <f>VLOOKUP($N$1,$D$4:$J$15,MATCH(G$4,$D$4:$J$4,0),0)*角色成长!F114*角色成长!$L$15/(1+X101/角色成长!$N$16)</f>
        <v>99836.043998999448</v>
      </c>
      <c r="X101" s="6">
        <f>VLOOKUP($N$1,$D$4:$J$15,MATCH(H$4,$D$4:$J$4,0),0)*角色成长!G114*角色成长!$L$15</f>
        <v>405699.0385064985</v>
      </c>
      <c r="Y101" s="1">
        <v>0.05</v>
      </c>
      <c r="Z101" s="1">
        <v>1.5</v>
      </c>
      <c r="AA101" s="1">
        <f>VLOOKUP($N$1,$D$4:$J$15,MATCH(I$4,$D$4:$J$4,0),0)*角色成长!J114</f>
        <v>1</v>
      </c>
      <c r="AB101" s="1">
        <f t="shared" si="8"/>
        <v>0.9</v>
      </c>
      <c r="AC101" s="6"/>
      <c r="AD101" s="22"/>
      <c r="AE101" s="22"/>
      <c r="AF101" s="22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6"/>
      <c r="J102" s="6"/>
      <c r="K102" s="6"/>
      <c r="L102" s="6">
        <f t="shared" si="9"/>
        <v>0.23659359734937535</v>
      </c>
      <c r="M102" s="1">
        <v>98</v>
      </c>
      <c r="N102" s="6">
        <f>VLOOKUP($N$2,角色品星!$C$16:$D$20,2,0)*VLOOKUP($N$3,角色品星!$C$3:$E$14,3,0)*V102</f>
        <v>23003.135483318507</v>
      </c>
      <c r="O102" s="6">
        <f>VLOOKUP($N$2,角色品星!$C$16:$D$20,2,0)*VLOOKUP($N$3,角色品星!$C$3:$E$14,3,0)*W102</f>
        <v>100785.08470950698</v>
      </c>
      <c r="P102" s="6">
        <f>VLOOKUP($N$2,角色品星!$C$16:$D$20,2,0)*VLOOKUP($N$3,角色品星!$C$3:$E$14,3,0)*X102</f>
        <v>425983.99043182336</v>
      </c>
      <c r="Q102" s="24">
        <f t="shared" si="10"/>
        <v>0.05</v>
      </c>
      <c r="R102" s="24">
        <f t="shared" si="11"/>
        <v>1.5</v>
      </c>
      <c r="S102" s="24">
        <f t="shared" si="12"/>
        <v>1</v>
      </c>
      <c r="T102" s="42">
        <f>N102*(1+Q102*(R102-1))*S102*战斗公式!$E$39+(P102*战斗公式!$E$40+1)*O102*战斗公式!$E$41</f>
        <v>1119568.7570751952</v>
      </c>
      <c r="U102" s="42">
        <f t="shared" si="13"/>
        <v>55978.43785375962</v>
      </c>
      <c r="V102" s="6">
        <f>VLOOKUP($N$1,$D$4:$J$15,MATCH(F$4,$D$4:$J$4,0),0)*角色成长!E115*角色成长!$L$15*AB102/AA102/(1+$Y$2*($Z$2-1))</f>
        <v>23003.135483318507</v>
      </c>
      <c r="W102" s="6">
        <f>VLOOKUP($N$1,$D$4:$J$15,MATCH(G$4,$D$4:$J$4,0),0)*角色成长!F115*角色成长!$L$15/(1+X102/角色成长!$N$16)</f>
        <v>100785.08470950698</v>
      </c>
      <c r="X102" s="6">
        <f>VLOOKUP($N$1,$D$4:$J$15,MATCH(H$4,$D$4:$J$4,0),0)*角色成长!G115*角色成长!$L$15</f>
        <v>425983.99043182336</v>
      </c>
      <c r="Y102" s="1">
        <v>0.05</v>
      </c>
      <c r="Z102" s="1">
        <v>1.5</v>
      </c>
      <c r="AA102" s="1">
        <f>VLOOKUP($N$1,$D$4:$J$15,MATCH(I$4,$D$4:$J$4,0),0)*角色成长!J115</f>
        <v>1</v>
      </c>
      <c r="AB102" s="1">
        <f t="shared" si="8"/>
        <v>0.9</v>
      </c>
      <c r="AC102" s="6"/>
      <c r="AD102" s="22"/>
      <c r="AE102" s="22"/>
      <c r="AF102" s="22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6"/>
      <c r="J103" s="6"/>
      <c r="K103" s="6"/>
      <c r="L103" s="6">
        <f t="shared" si="9"/>
        <v>0.22738583374913704</v>
      </c>
      <c r="M103" s="1">
        <v>99</v>
      </c>
      <c r="N103" s="6">
        <f>VLOOKUP($N$2,角色品星!$C$16:$D$20,2,0)*VLOOKUP($N$3,角色品星!$C$3:$E$14,3,0)*V103</f>
        <v>24153.292257484434</v>
      </c>
      <c r="O103" s="6">
        <f>VLOOKUP($N$2,角色品星!$C$16:$D$20,2,0)*VLOOKUP($N$3,角色品星!$C$3:$E$14,3,0)*W103</f>
        <v>101705.86106953082</v>
      </c>
      <c r="P103" s="6">
        <f>VLOOKUP($N$2,角色品星!$C$16:$D$20,2,0)*VLOOKUP($N$3,角色品星!$C$3:$E$14,3,0)*X103</f>
        <v>447283.18995341461</v>
      </c>
      <c r="Q103" s="24">
        <f t="shared" si="10"/>
        <v>0.05</v>
      </c>
      <c r="R103" s="24">
        <f t="shared" si="11"/>
        <v>1.5</v>
      </c>
      <c r="S103" s="24">
        <f t="shared" si="12"/>
        <v>1</v>
      </c>
      <c r="T103" s="42">
        <f>N103*(1+Q103*(R103-1))*S103*战斗公式!$E$39+(P103*战斗公式!$E$40+1)*O103*战斗公式!$E$41</f>
        <v>1175547.1949289548</v>
      </c>
      <c r="U103" s="42">
        <f t="shared" si="13"/>
        <v>58777.359746447764</v>
      </c>
      <c r="V103" s="6">
        <f>VLOOKUP($N$1,$D$4:$J$15,MATCH(F$4,$D$4:$J$4,0),0)*角色成长!E116*角色成长!$L$15*AB103/AA103/(1+$Y$2*($Z$2-1))</f>
        <v>24153.292257484434</v>
      </c>
      <c r="W103" s="6">
        <f>VLOOKUP($N$1,$D$4:$J$15,MATCH(G$4,$D$4:$J$4,0),0)*角色成长!F116*角色成长!$L$15/(1+X103/角色成长!$N$16)</f>
        <v>101705.86106953082</v>
      </c>
      <c r="X103" s="6">
        <f>VLOOKUP($N$1,$D$4:$J$15,MATCH(H$4,$D$4:$J$4,0),0)*角色成长!G116*角色成长!$L$15</f>
        <v>447283.18995341461</v>
      </c>
      <c r="Y103" s="1">
        <v>0.05</v>
      </c>
      <c r="Z103" s="1">
        <v>1.5</v>
      </c>
      <c r="AA103" s="1">
        <f>VLOOKUP($N$1,$D$4:$J$15,MATCH(I$4,$D$4:$J$4,0),0)*角色成长!J116</f>
        <v>1</v>
      </c>
      <c r="AB103" s="1">
        <f t="shared" si="8"/>
        <v>0.9</v>
      </c>
      <c r="AC103" s="6"/>
      <c r="AD103" s="22"/>
      <c r="AE103" s="22"/>
      <c r="AF103" s="22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6"/>
      <c r="J104" s="6"/>
      <c r="K104" s="6"/>
      <c r="L104" s="6">
        <f t="shared" si="9"/>
        <v>0.21845874393053835</v>
      </c>
      <c r="M104" s="1">
        <v>100</v>
      </c>
      <c r="N104" s="6">
        <f>VLOOKUP($N$2,角色品星!$C$16:$D$20,2,0)*VLOOKUP($N$3,角色品星!$C$3:$E$14,3,0)*V104</f>
        <v>25360.956870358656</v>
      </c>
      <c r="O104" s="6">
        <f>VLOOKUP($N$2,角色品星!$C$16:$D$20,2,0)*VLOOKUP($N$3,角色品星!$C$3:$E$14,3,0)*W104</f>
        <v>102598.57005139071</v>
      </c>
      <c r="P104" s="6">
        <f>VLOOKUP($N$2,角色品星!$C$16:$D$20,2,0)*VLOOKUP($N$3,角色品星!$C$3:$E$14,3,0)*X104</f>
        <v>469647.34945108532</v>
      </c>
      <c r="Q104" s="24">
        <f t="shared" si="10"/>
        <v>0.05</v>
      </c>
      <c r="R104" s="24">
        <f t="shared" si="11"/>
        <v>1.5</v>
      </c>
      <c r="S104" s="24">
        <f t="shared" si="12"/>
        <v>1</v>
      </c>
      <c r="T104" s="42">
        <f>N104*(1+Q104*(R104-1))*S104*战斗公式!$E$39+(P104*战斗公式!$E$40+1)*O104*战斗公式!$E$41</f>
        <v>1234324.5546754026</v>
      </c>
      <c r="U104" s="42">
        <f t="shared" si="13"/>
        <v>-1234324.5546754026</v>
      </c>
      <c r="V104" s="6">
        <f>VLOOKUP($N$1,$D$4:$J$15,MATCH(F$4,$D$4:$J$4,0),0)*角色成长!E117*角色成长!$L$15*AB104/AA104/(1+$Y$2*($Z$2-1))</f>
        <v>25360.956870358656</v>
      </c>
      <c r="W104" s="6">
        <f>VLOOKUP($N$1,$D$4:$J$15,MATCH(G$4,$D$4:$J$4,0),0)*角色成长!F117*角色成长!$L$15/(1+X104/角色成长!$N$16)</f>
        <v>102598.57005139071</v>
      </c>
      <c r="X104" s="6">
        <f>VLOOKUP($N$1,$D$4:$J$15,MATCH(H$4,$D$4:$J$4,0),0)*角色成长!G117*角色成长!$L$15</f>
        <v>469647.34945108532</v>
      </c>
      <c r="Y104" s="1">
        <v>0.05</v>
      </c>
      <c r="Z104" s="1">
        <v>1.5</v>
      </c>
      <c r="AA104" s="1">
        <f>VLOOKUP($N$1,$D$4:$J$15,MATCH(I$4,$D$4:$J$4,0),0)*角色成长!J117</f>
        <v>1</v>
      </c>
      <c r="AB104" s="1">
        <f t="shared" si="8"/>
        <v>0.9</v>
      </c>
      <c r="AC104" s="6"/>
      <c r="AD104" s="22"/>
      <c r="AE104" s="22"/>
      <c r="AF104" s="22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2"/>
      <c r="AE105" s="22"/>
      <c r="AF105" s="22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2"/>
      <c r="AE106" s="22"/>
      <c r="AF106" s="22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2"/>
      <c r="AE107" s="22"/>
      <c r="AF107" s="22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2"/>
      <c r="AE108" s="22"/>
      <c r="AF108" s="22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2"/>
      <c r="AE109" s="22"/>
      <c r="AF109" s="22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2"/>
      <c r="AE110" s="22"/>
      <c r="AF110" s="22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2"/>
      <c r="AE111" s="22"/>
      <c r="AF111" s="22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2"/>
      <c r="AE112" s="22"/>
      <c r="AF112" s="22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2"/>
      <c r="AE113" s="22"/>
      <c r="AF113" s="22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2"/>
      <c r="AE114" s="22"/>
      <c r="AF114" s="22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2"/>
      <c r="AE115" s="22"/>
      <c r="AF115" s="22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2"/>
      <c r="AE116" s="22"/>
      <c r="AF116" s="22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2"/>
      <c r="AE117" s="22"/>
      <c r="AF117" s="22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4" sqref="J14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47" t="s">
        <v>201</v>
      </c>
      <c r="B1" s="48"/>
    </row>
    <row r="2" spans="1:21" ht="14.25" customHeight="1" x14ac:dyDescent="0.2">
      <c r="A2" s="49"/>
      <c r="B2" s="50"/>
      <c r="Q2" s="36">
        <f>Q5+Q6+Q7+Q8+Q10</f>
        <v>0.70000000000000018</v>
      </c>
      <c r="R2" s="36">
        <f>R5+R6+R7+R8+R10</f>
        <v>0.70000000000000018</v>
      </c>
    </row>
    <row r="3" spans="1:21" s="3" customFormat="1" ht="14.25" customHeight="1" x14ac:dyDescent="0.2">
      <c r="C3" s="3" t="s">
        <v>219</v>
      </c>
    </row>
    <row r="4" spans="1:21" s="3" customFormat="1" ht="14.25" customHeight="1" x14ac:dyDescent="0.2">
      <c r="D4" s="3" t="s">
        <v>205</v>
      </c>
      <c r="E4" s="3" t="s">
        <v>202</v>
      </c>
      <c r="F4" s="3" t="s">
        <v>152</v>
      </c>
      <c r="G4" s="3" t="s">
        <v>175</v>
      </c>
      <c r="H4" s="3" t="s">
        <v>203</v>
      </c>
      <c r="I4" s="3" t="s">
        <v>204</v>
      </c>
      <c r="J4" s="25" t="s">
        <v>212</v>
      </c>
      <c r="K4" s="3" t="s">
        <v>146</v>
      </c>
      <c r="L4" s="3" t="s">
        <v>147</v>
      </c>
      <c r="M4" s="3" t="s">
        <v>148</v>
      </c>
      <c r="N4" s="3" t="s">
        <v>5</v>
      </c>
      <c r="O4" s="3" t="s">
        <v>214</v>
      </c>
      <c r="P4" s="3" t="s">
        <v>215</v>
      </c>
      <c r="Q4" s="3" t="s">
        <v>216</v>
      </c>
      <c r="R4" s="3" t="s">
        <v>217</v>
      </c>
    </row>
    <row r="5" spans="1:21" ht="14.25" customHeight="1" x14ac:dyDescent="0.2">
      <c r="D5" s="1" t="s">
        <v>158</v>
      </c>
      <c r="E5" s="1" t="s">
        <v>127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0.9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1</v>
      </c>
      <c r="N5" s="1">
        <f>VLOOKUP(E5,'基础模型(废）'!$D$10:$G$13,4,0)</f>
        <v>5</v>
      </c>
      <c r="O5" s="1">
        <v>2</v>
      </c>
      <c r="P5" s="5">
        <f>G5/(G5+(1-G5)*O5)</f>
        <v>0.81818181818181812</v>
      </c>
      <c r="Q5" s="5">
        <f>G5+(1-G5)*O5-1</f>
        <v>0.10000000000000009</v>
      </c>
      <c r="R5" s="5">
        <f>($N$5+$N$6)/($N$5+$N$6+$N$10)*$Q$2/2</f>
        <v>0.13461538461538466</v>
      </c>
      <c r="S5" s="6">
        <f>N5*(1+R5)</f>
        <v>5.6730769230769234</v>
      </c>
    </row>
    <row r="6" spans="1:21" ht="14.25" customHeight="1" x14ac:dyDescent="0.2">
      <c r="D6" s="1" t="s">
        <v>159</v>
      </c>
      <c r="E6" s="1" t="s">
        <v>127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0.9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1.1000000000000001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0.81818181818181812</v>
      </c>
      <c r="Q6" s="5">
        <f t="shared" ref="Q6:Q10" si="1">G6+(1-G6)*O6-1</f>
        <v>0.10000000000000009</v>
      </c>
      <c r="R6" s="5">
        <f>($N$5+$N$6)/($N$5+$N$6+$N$10)*$Q$2/2</f>
        <v>0.13461538461538466</v>
      </c>
      <c r="S6" s="6">
        <f t="shared" ref="S6:S10" si="2">N6*(1+R6)</f>
        <v>5.6730769230769234</v>
      </c>
    </row>
    <row r="7" spans="1:21" ht="14.25" customHeight="1" x14ac:dyDescent="0.2">
      <c r="D7" s="1" t="s">
        <v>160</v>
      </c>
      <c r="E7" s="1" t="s">
        <v>128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0.8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</row>
    <row r="8" spans="1:21" ht="14.25" customHeight="1" x14ac:dyDescent="0.2">
      <c r="D8" s="1" t="s">
        <v>161</v>
      </c>
      <c r="E8" s="1" t="s">
        <v>128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</v>
      </c>
      <c r="N8" s="1">
        <f>VLOOKUP(E8,'基础模型(废）'!$D$10:$G$13,4,0)</f>
        <v>0</v>
      </c>
      <c r="O8" s="1">
        <v>2</v>
      </c>
      <c r="P8" s="5">
        <f t="shared" si="0"/>
        <v>0.66666666666666674</v>
      </c>
      <c r="Q8" s="5">
        <f t="shared" si="1"/>
        <v>0.19999999999999996</v>
      </c>
      <c r="R8" s="5"/>
      <c r="S8" s="6">
        <f t="shared" si="2"/>
        <v>0</v>
      </c>
    </row>
    <row r="9" spans="1:21" ht="14.25" customHeight="1" x14ac:dyDescent="0.2">
      <c r="D9" s="1" t="s">
        <v>162</v>
      </c>
      <c r="E9" s="1" t="s">
        <v>128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0.8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0.9</v>
      </c>
      <c r="N9" s="1">
        <f>VLOOKUP(E9,'基础模型(废）'!$D$10:$G$13,4,0)</f>
        <v>0</v>
      </c>
      <c r="O9" s="1">
        <v>2</v>
      </c>
      <c r="P9" s="5">
        <f t="shared" si="0"/>
        <v>0.66666666666666674</v>
      </c>
      <c r="Q9" s="5">
        <f t="shared" si="1"/>
        <v>0.19999999999999996</v>
      </c>
      <c r="R9" s="5"/>
      <c r="S9" s="6">
        <f t="shared" si="2"/>
        <v>0</v>
      </c>
    </row>
    <row r="10" spans="1:21" ht="14.25" customHeight="1" x14ac:dyDescent="0.2">
      <c r="D10" s="1" t="s">
        <v>163</v>
      </c>
      <c r="E10" s="1" t="s">
        <v>129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0.9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1</v>
      </c>
      <c r="N10" s="1">
        <f>VLOOKUP(E10,'基础模型(废）'!$D$10:$G$13,4,0)</f>
        <v>16</v>
      </c>
      <c r="O10" s="1">
        <v>2</v>
      </c>
      <c r="P10" s="5">
        <f t="shared" si="0"/>
        <v>0.81818181818181812</v>
      </c>
      <c r="Q10" s="5">
        <f t="shared" si="1"/>
        <v>0.10000000000000009</v>
      </c>
      <c r="R10" s="5">
        <f>($N$10)/($N$5+$N$6+$N$10)*$Q$2</f>
        <v>0.4307692307692309</v>
      </c>
      <c r="S10" s="6">
        <f t="shared" si="2"/>
        <v>22.892307692307696</v>
      </c>
    </row>
    <row r="11" spans="1:21" ht="14.25" customHeight="1" x14ac:dyDescent="0.2"/>
    <row r="12" spans="1:21" ht="14.25" customHeight="1" x14ac:dyDescent="0.2"/>
    <row r="13" spans="1:21" ht="14.25" customHeight="1" x14ac:dyDescent="0.2">
      <c r="C13" s="3"/>
      <c r="D13" s="3" t="s">
        <v>205</v>
      </c>
      <c r="E13" s="3" t="s">
        <v>202</v>
      </c>
      <c r="F13" s="3" t="s">
        <v>34</v>
      </c>
      <c r="G13" s="3" t="s">
        <v>213</v>
      </c>
      <c r="H13" s="25" t="s">
        <v>206</v>
      </c>
      <c r="I13" s="25" t="s">
        <v>279</v>
      </c>
      <c r="J13" s="3" t="s">
        <v>207</v>
      </c>
      <c r="K13" s="3" t="s">
        <v>209</v>
      </c>
      <c r="L13" s="3" t="s">
        <v>211</v>
      </c>
      <c r="M13" s="3" t="s">
        <v>218</v>
      </c>
      <c r="N13" s="3" t="s">
        <v>239</v>
      </c>
      <c r="O13" s="3" t="s">
        <v>240</v>
      </c>
      <c r="P13" s="3" t="s">
        <v>241</v>
      </c>
      <c r="Q13" s="3" t="s">
        <v>242</v>
      </c>
      <c r="R13" s="3" t="s">
        <v>247</v>
      </c>
      <c r="S13" s="3" t="s">
        <v>248</v>
      </c>
      <c r="T13" s="3" t="s">
        <v>249</v>
      </c>
      <c r="U13" s="3" t="s">
        <v>250</v>
      </c>
    </row>
    <row r="14" spans="1:21" ht="14.25" customHeight="1" x14ac:dyDescent="0.2">
      <c r="D14" s="1" t="s">
        <v>158</v>
      </c>
      <c r="E14" s="1" t="s">
        <v>127</v>
      </c>
      <c r="F14" s="6">
        <f>H5*G5/M5/(1+K5*(L5-1))</f>
        <v>3.375</v>
      </c>
      <c r="G14" s="6">
        <f t="shared" ref="G14:G19" si="3">I5*(1-J5)</f>
        <v>55.555555555555557</v>
      </c>
      <c r="H14" s="1">
        <v>10</v>
      </c>
      <c r="I14" s="1">
        <f>H14*0.5</f>
        <v>5</v>
      </c>
      <c r="J14" s="5">
        <f t="shared" ref="J14:J19" si="4">H5*(1-G5)/(1/H14)/(1+K5*(L5-1))/F14</f>
        <v>1.1111111111111109</v>
      </c>
      <c r="K14" s="4">
        <f t="shared" ref="K14:K19" si="5">N5/H5*H14</f>
        <v>11.111111111111111</v>
      </c>
      <c r="L14" s="5">
        <f t="shared" ref="L14:L19" si="6">N5*H14/G14</f>
        <v>0.9</v>
      </c>
      <c r="M14" s="36">
        <f>N5*H14/(G14+G15+G16+G17+G19)</f>
        <v>0.2715985514743921</v>
      </c>
      <c r="N14" s="5">
        <f t="shared" ref="N14:N19" si="7">H5*(1-P5)/(1/H14)/(1+K5*(L5-1))/F14</f>
        <v>2.0202020202020208</v>
      </c>
      <c r="O14" s="24">
        <f t="shared" ref="O14:O19" si="8">S5/H5*H14</f>
        <v>12.606837606837606</v>
      </c>
      <c r="P14" s="5">
        <f t="shared" ref="P14:P19" si="9">S5*H14/G14</f>
        <v>1.0211538461538461</v>
      </c>
      <c r="Q14" s="5">
        <f>S5*H14/(G14+G15+G16+G17+G19)</f>
        <v>0.30815989494209878</v>
      </c>
      <c r="R14" s="6">
        <f>N14/J14</f>
        <v>1.818181818181819</v>
      </c>
      <c r="S14" s="6">
        <f t="shared" ref="S14:U14" si="10">O14/K14</f>
        <v>1.1346153846153846</v>
      </c>
      <c r="T14" s="6">
        <f t="shared" si="10"/>
        <v>1.1346153846153846</v>
      </c>
      <c r="U14" s="6">
        <f t="shared" si="10"/>
        <v>1.1346153846153848</v>
      </c>
    </row>
    <row r="15" spans="1:21" ht="14.25" customHeight="1" x14ac:dyDescent="0.2">
      <c r="D15" s="1" t="s">
        <v>159</v>
      </c>
      <c r="E15" s="1" t="s">
        <v>127</v>
      </c>
      <c r="F15" s="6">
        <f t="shared" ref="F15:F19" si="11">H6*G6/M6/(1+K6*(L6-1))</f>
        <v>4.0909090909090908</v>
      </c>
      <c r="G15" s="6">
        <f t="shared" si="3"/>
        <v>41.666666666666664</v>
      </c>
      <c r="H15" s="1">
        <v>8</v>
      </c>
      <c r="I15" s="1">
        <f t="shared" ref="I15:I19" si="12">H15*0.5</f>
        <v>4</v>
      </c>
      <c r="J15" s="5">
        <f t="shared" si="4"/>
        <v>0.97777777777777763</v>
      </c>
      <c r="K15" s="4">
        <f t="shared" si="5"/>
        <v>6.666666666666667</v>
      </c>
      <c r="L15" s="5">
        <f t="shared" si="6"/>
        <v>0.96000000000000008</v>
      </c>
      <c r="M15" s="36"/>
      <c r="N15" s="5">
        <f t="shared" si="7"/>
        <v>1.7777777777777783</v>
      </c>
      <c r="O15" s="24">
        <f t="shared" si="8"/>
        <v>7.5641025641025648</v>
      </c>
      <c r="P15" s="5">
        <f t="shared" si="9"/>
        <v>1.0892307692307694</v>
      </c>
      <c r="R15" s="6">
        <f t="shared" ref="R15:R19" si="13">N15/J15</f>
        <v>1.818181818181819</v>
      </c>
      <c r="S15" s="6">
        <f t="shared" ref="S15:S19" si="14">O15/K15</f>
        <v>1.1346153846153846</v>
      </c>
      <c r="T15" s="6">
        <f t="shared" ref="T15:T19" si="15">P15/L15</f>
        <v>1.1346153846153848</v>
      </c>
      <c r="U15" s="6"/>
    </row>
    <row r="16" spans="1:21" ht="14.25" customHeight="1" x14ac:dyDescent="0.2">
      <c r="D16" s="1" t="s">
        <v>160</v>
      </c>
      <c r="E16" s="1" t="s">
        <v>128</v>
      </c>
      <c r="F16" s="6">
        <f t="shared" si="11"/>
        <v>8.75</v>
      </c>
      <c r="G16" s="6">
        <f t="shared" si="3"/>
        <v>24.761904761904763</v>
      </c>
      <c r="H16" s="1">
        <v>15</v>
      </c>
      <c r="I16" s="1">
        <f t="shared" si="12"/>
        <v>7.5</v>
      </c>
      <c r="J16" s="5">
        <f t="shared" si="4"/>
        <v>2.9999999999999996</v>
      </c>
      <c r="K16" s="4">
        <f t="shared" si="5"/>
        <v>0</v>
      </c>
      <c r="L16" s="5">
        <f t="shared" si="6"/>
        <v>0</v>
      </c>
      <c r="M16" s="36"/>
      <c r="N16" s="5">
        <f t="shared" si="7"/>
        <v>4.9999999999999991</v>
      </c>
      <c r="O16" s="24">
        <f t="shared" si="8"/>
        <v>0</v>
      </c>
      <c r="P16" s="5">
        <f t="shared" si="9"/>
        <v>0</v>
      </c>
      <c r="R16" s="6">
        <f>N16/J16</f>
        <v>1.6666666666666665</v>
      </c>
      <c r="S16" s="6"/>
      <c r="T16" s="6"/>
      <c r="U16" s="6"/>
    </row>
    <row r="17" spans="2:21" ht="14.25" customHeight="1" x14ac:dyDescent="0.2">
      <c r="D17" s="1" t="s">
        <v>161</v>
      </c>
      <c r="E17" s="1" t="s">
        <v>128</v>
      </c>
      <c r="F17" s="6">
        <f t="shared" si="11"/>
        <v>6.666666666666667</v>
      </c>
      <c r="G17" s="6">
        <f t="shared" si="3"/>
        <v>26</v>
      </c>
      <c r="H17" s="1">
        <v>15</v>
      </c>
      <c r="I17" s="1">
        <f t="shared" si="12"/>
        <v>7.5</v>
      </c>
      <c r="J17" s="5">
        <f t="shared" si="4"/>
        <v>3.7499999999999991</v>
      </c>
      <c r="K17" s="4">
        <f t="shared" si="5"/>
        <v>0</v>
      </c>
      <c r="L17" s="5">
        <f t="shared" si="6"/>
        <v>0</v>
      </c>
      <c r="M17" s="36"/>
      <c r="N17" s="5">
        <f t="shared" si="7"/>
        <v>6.2499999999999991</v>
      </c>
      <c r="O17" s="24">
        <f t="shared" si="8"/>
        <v>0</v>
      </c>
      <c r="P17" s="5">
        <f t="shared" si="9"/>
        <v>0</v>
      </c>
      <c r="R17" s="6">
        <f t="shared" si="13"/>
        <v>1.6666666666666667</v>
      </c>
      <c r="S17" s="6"/>
      <c r="T17" s="6"/>
      <c r="U17" s="6"/>
    </row>
    <row r="18" spans="2:21" ht="14.25" customHeight="1" x14ac:dyDescent="0.2">
      <c r="D18" s="1" t="s">
        <v>162</v>
      </c>
      <c r="E18" s="1" t="s">
        <v>128</v>
      </c>
      <c r="F18" s="6">
        <f t="shared" si="11"/>
        <v>7.0370370370370372</v>
      </c>
      <c r="G18" s="6">
        <f t="shared" si="3"/>
        <v>27.368421052631582</v>
      </c>
      <c r="H18" s="1">
        <v>15</v>
      </c>
      <c r="I18" s="1">
        <f t="shared" si="12"/>
        <v>7.5</v>
      </c>
      <c r="J18" s="5">
        <f t="shared" si="4"/>
        <v>3.3749999999999996</v>
      </c>
      <c r="K18" s="4">
        <f t="shared" si="5"/>
        <v>0</v>
      </c>
      <c r="L18" s="5">
        <f t="shared" si="6"/>
        <v>0</v>
      </c>
      <c r="M18" s="36"/>
      <c r="N18" s="5">
        <f t="shared" si="7"/>
        <v>5.6249999999999991</v>
      </c>
      <c r="O18" s="24">
        <f t="shared" si="8"/>
        <v>0</v>
      </c>
      <c r="P18" s="5">
        <f t="shared" si="9"/>
        <v>0</v>
      </c>
      <c r="R18" s="6">
        <f t="shared" si="13"/>
        <v>1.6666666666666665</v>
      </c>
      <c r="S18" s="6"/>
      <c r="T18" s="6"/>
      <c r="U18" s="6"/>
    </row>
    <row r="19" spans="2:21" ht="14.25" customHeight="1" x14ac:dyDescent="0.2">
      <c r="D19" s="1" t="s">
        <v>163</v>
      </c>
      <c r="E19" s="1" t="s">
        <v>129</v>
      </c>
      <c r="F19" s="6">
        <f t="shared" si="11"/>
        <v>2.7</v>
      </c>
      <c r="G19" s="6">
        <f t="shared" si="3"/>
        <v>36.111111111111114</v>
      </c>
      <c r="H19" s="1">
        <v>11</v>
      </c>
      <c r="I19" s="1">
        <f t="shared" si="12"/>
        <v>5.5</v>
      </c>
      <c r="J19" s="5">
        <f t="shared" si="4"/>
        <v>1.2222222222222219</v>
      </c>
      <c r="K19" s="4">
        <f t="shared" si="5"/>
        <v>48.888888888888893</v>
      </c>
      <c r="L19" s="5">
        <f t="shared" si="6"/>
        <v>4.8738461538461531</v>
      </c>
      <c r="M19" s="5">
        <f>N10*H19/(G14+G15+G16+G17+G19)</f>
        <v>0.95602690118986033</v>
      </c>
      <c r="N19" s="5">
        <f t="shared" si="7"/>
        <v>2.2222222222222228</v>
      </c>
      <c r="O19" s="24">
        <f t="shared" si="8"/>
        <v>69.948717948717956</v>
      </c>
      <c r="P19" s="5">
        <f t="shared" si="9"/>
        <v>6.9733491124260363</v>
      </c>
      <c r="Q19" s="5">
        <f>S10*H19/(G14+G15+G16+G17+G19)</f>
        <v>1.3678538740101081</v>
      </c>
      <c r="R19" s="6">
        <f t="shared" si="13"/>
        <v>1.8181818181818192</v>
      </c>
      <c r="S19" s="6">
        <f t="shared" si="14"/>
        <v>1.4307692307692308</v>
      </c>
      <c r="T19" s="6">
        <f t="shared" si="15"/>
        <v>1.4307692307692312</v>
      </c>
      <c r="U19" s="6">
        <f t="shared" ref="U19" si="16">Q19/M19</f>
        <v>1.430769230769231</v>
      </c>
    </row>
    <row r="20" spans="2:21" ht="14.25" customHeight="1" x14ac:dyDescent="0.2">
      <c r="C20" s="22"/>
      <c r="D20" s="22"/>
      <c r="E20" s="22"/>
      <c r="F20" s="22"/>
      <c r="G20" s="22"/>
      <c r="H20" s="9"/>
      <c r="I20" s="9"/>
      <c r="J20" s="9"/>
      <c r="K20" s="9"/>
      <c r="L20" s="9"/>
      <c r="M20" s="9"/>
    </row>
    <row r="21" spans="2:21" ht="14.25" customHeight="1" x14ac:dyDescent="0.2">
      <c r="C21" s="22"/>
      <c r="D21" s="22"/>
      <c r="E21" s="22"/>
      <c r="F21" s="22"/>
      <c r="G21" s="22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43" t="s">
        <v>220</v>
      </c>
      <c r="D22" s="2" t="s">
        <v>221</v>
      </c>
      <c r="E22" s="22"/>
      <c r="F22" s="22"/>
      <c r="G22" s="22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2"/>
      <c r="D23" s="10">
        <v>0.2</v>
      </c>
      <c r="E23" s="2" t="s">
        <v>232</v>
      </c>
      <c r="F23" s="22"/>
      <c r="G23" s="22"/>
      <c r="H23" s="9"/>
      <c r="I23" s="9"/>
      <c r="J23" s="9"/>
      <c r="K23" s="9"/>
      <c r="L23" s="9"/>
      <c r="M23" s="9"/>
    </row>
    <row r="24" spans="2:21" ht="14.25" customHeight="1" x14ac:dyDescent="0.2">
      <c r="C24" s="22"/>
      <c r="D24" s="22" t="s">
        <v>34</v>
      </c>
      <c r="E24" s="5">
        <f>D23</f>
        <v>0.2</v>
      </c>
      <c r="F24" s="22"/>
      <c r="G24" s="22"/>
      <c r="H24" s="9"/>
      <c r="I24" s="9"/>
      <c r="J24" s="9"/>
      <c r="K24" s="9"/>
      <c r="L24" s="9"/>
      <c r="M24" s="9"/>
    </row>
    <row r="25" spans="2:21" ht="14.25" customHeight="1" x14ac:dyDescent="0.2">
      <c r="C25" s="22"/>
      <c r="D25" s="22" t="s">
        <v>37</v>
      </c>
      <c r="E25" s="5">
        <f>((1+$D$23)*(1+F25*(G25-1))-1)/(G25-1)-F25</f>
        <v>0.47999999999999987</v>
      </c>
      <c r="F25" s="24">
        <v>0.4</v>
      </c>
      <c r="G25" s="24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3"/>
      <c r="C26" s="22"/>
      <c r="D26" s="22" t="s">
        <v>89</v>
      </c>
      <c r="E26" s="5">
        <f>((1+$D$23)*(1+F26*(G26-1))-1)/F26+1-G26</f>
        <v>0.59999999999999964</v>
      </c>
      <c r="F26" s="24">
        <v>0.4</v>
      </c>
      <c r="G26" s="24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3"/>
      <c r="C27" s="22"/>
      <c r="D27" s="22" t="s">
        <v>213</v>
      </c>
      <c r="E27" s="5">
        <f>D23</f>
        <v>0.2</v>
      </c>
      <c r="G27" s="22"/>
      <c r="H27" s="9"/>
      <c r="I27" s="9"/>
      <c r="J27" s="9"/>
      <c r="K27" s="9"/>
      <c r="L27" s="9"/>
      <c r="M27" s="9"/>
    </row>
    <row r="28" spans="2:21" ht="14.25" customHeight="1" x14ac:dyDescent="0.2">
      <c r="B28" s="33"/>
      <c r="C28" s="22"/>
      <c r="D28" s="22" t="s">
        <v>212</v>
      </c>
      <c r="E28" s="4">
        <f>1-(1-(1+$D$23)*(1-F28))-F28</f>
        <v>9.9999999999999978E-2</v>
      </c>
      <c r="F28" s="23">
        <v>0.5</v>
      </c>
      <c r="G28" s="22"/>
      <c r="H28" s="9"/>
      <c r="I28" s="9"/>
      <c r="J28" s="9"/>
      <c r="K28" s="9"/>
      <c r="L28" s="9"/>
      <c r="M28" s="9"/>
    </row>
    <row r="29" spans="2:21" ht="14.25" customHeight="1" x14ac:dyDescent="0.2">
      <c r="B29" s="33"/>
      <c r="C29" s="22"/>
      <c r="D29" s="22" t="s">
        <v>35</v>
      </c>
      <c r="E29" s="22">
        <f>100000/(1-E28-F28)-100000</f>
        <v>150000</v>
      </c>
      <c r="F29" s="23">
        <f>E29/G29</f>
        <v>1.5</v>
      </c>
      <c r="G29" s="22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3"/>
      <c r="C30" s="22"/>
      <c r="D30" s="22"/>
      <c r="E30" s="22"/>
      <c r="F30" s="22"/>
      <c r="G30" s="22"/>
      <c r="H30" s="9"/>
      <c r="I30" s="9"/>
      <c r="J30" s="9"/>
      <c r="K30" s="9"/>
      <c r="L30" s="9"/>
      <c r="M30" s="9"/>
    </row>
    <row r="31" spans="2:21" ht="14.25" customHeight="1" x14ac:dyDescent="0.2">
      <c r="B31" s="33"/>
      <c r="C31" s="22"/>
      <c r="D31" s="22"/>
      <c r="E31" s="22"/>
      <c r="F31" s="22"/>
      <c r="G31" s="22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2"/>
      <c r="D32" s="22"/>
      <c r="E32" s="22"/>
      <c r="F32" s="22"/>
      <c r="G32" s="22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2"/>
      <c r="D33" s="22"/>
      <c r="E33" s="22"/>
      <c r="F33" s="22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2"/>
      <c r="D34" s="22"/>
      <c r="E34" s="22"/>
      <c r="F34" s="22"/>
      <c r="G34" s="22"/>
      <c r="H34" s="9"/>
      <c r="I34" s="9"/>
      <c r="J34" s="9"/>
      <c r="K34" s="9"/>
      <c r="L34" s="9"/>
      <c r="M34" s="9"/>
    </row>
    <row r="35" spans="2:13" ht="14.25" customHeight="1" x14ac:dyDescent="0.2">
      <c r="C35" s="22"/>
      <c r="D35" s="22"/>
      <c r="E35" s="22"/>
      <c r="F35" s="22"/>
      <c r="G35" s="22"/>
      <c r="H35" s="9"/>
      <c r="I35" s="9"/>
      <c r="J35" s="9"/>
      <c r="K35" s="9"/>
      <c r="L35" s="9"/>
      <c r="M35" s="9"/>
    </row>
    <row r="36" spans="2:13" ht="14.25" customHeight="1" x14ac:dyDescent="0.2">
      <c r="C36" s="22"/>
      <c r="D36" s="22"/>
      <c r="E36" s="22"/>
      <c r="F36" s="22"/>
      <c r="G36" s="22"/>
      <c r="H36" s="9"/>
      <c r="I36" s="9"/>
      <c r="J36" s="9"/>
      <c r="K36" s="9"/>
      <c r="L36" s="9"/>
      <c r="M36" s="9"/>
    </row>
    <row r="37" spans="2:13" ht="14.25" customHeight="1" x14ac:dyDescent="0.2">
      <c r="C37" s="22"/>
      <c r="D37" s="22"/>
      <c r="E37" s="22"/>
      <c r="F37" s="22"/>
      <c r="G37" s="22"/>
      <c r="H37" s="9"/>
      <c r="I37" s="9"/>
      <c r="J37" s="9"/>
      <c r="K37" s="9"/>
      <c r="L37" s="9"/>
      <c r="M37" s="9"/>
    </row>
    <row r="38" spans="2:13" ht="14.25" customHeight="1" x14ac:dyDescent="0.2">
      <c r="C38" s="22"/>
      <c r="D38" s="22"/>
      <c r="E38" s="22"/>
      <c r="F38" s="22"/>
      <c r="G38" s="22"/>
      <c r="H38" s="9"/>
      <c r="I38" s="9"/>
      <c r="J38" s="9"/>
      <c r="K38" s="9"/>
      <c r="L38" s="9"/>
      <c r="M38" s="9"/>
    </row>
    <row r="39" spans="2:13" ht="14.25" customHeight="1" x14ac:dyDescent="0.2">
      <c r="C39" s="22"/>
      <c r="D39" s="22"/>
      <c r="E39" s="22"/>
      <c r="F39" s="22"/>
      <c r="G39" s="22"/>
      <c r="H39" s="9"/>
      <c r="I39" s="9"/>
      <c r="J39" s="9"/>
      <c r="K39" s="9"/>
      <c r="L39" s="9"/>
      <c r="M39" s="9"/>
    </row>
    <row r="40" spans="2:13" ht="14.25" customHeight="1" x14ac:dyDescent="0.2">
      <c r="C40" s="22"/>
      <c r="D40" s="22"/>
      <c r="E40" s="22"/>
      <c r="F40" s="22"/>
      <c r="G40" s="22"/>
      <c r="H40" s="9"/>
      <c r="I40" s="9"/>
      <c r="J40" s="9"/>
      <c r="K40" s="9"/>
      <c r="L40" s="9"/>
      <c r="M40" s="9"/>
    </row>
    <row r="41" spans="2:13" ht="14.25" customHeight="1" x14ac:dyDescent="0.2">
      <c r="C41" s="22"/>
      <c r="D41" s="22"/>
      <c r="E41" s="22"/>
      <c r="F41" s="22"/>
      <c r="G41" s="22"/>
      <c r="H41" s="9"/>
      <c r="I41" s="9"/>
      <c r="J41" s="9"/>
      <c r="K41" s="9"/>
      <c r="L41" s="9"/>
      <c r="M41" s="9"/>
    </row>
    <row r="42" spans="2:13" ht="14.25" customHeight="1" x14ac:dyDescent="0.2">
      <c r="C42" s="22"/>
      <c r="D42" s="22"/>
      <c r="E42" s="22"/>
      <c r="F42" s="22"/>
      <c r="G42" s="22"/>
      <c r="H42" s="9"/>
      <c r="I42" s="9"/>
      <c r="J42" s="9"/>
      <c r="K42" s="9"/>
      <c r="L42" s="9"/>
      <c r="M42" s="9"/>
    </row>
    <row r="43" spans="2:13" ht="14.25" customHeight="1" x14ac:dyDescent="0.2">
      <c r="C43" s="22"/>
      <c r="D43" s="22"/>
      <c r="E43" s="22"/>
      <c r="F43" s="22"/>
      <c r="G43" s="22"/>
      <c r="H43" s="9"/>
      <c r="I43" s="9"/>
      <c r="J43" s="9"/>
      <c r="K43" s="9"/>
      <c r="L43" s="9"/>
      <c r="M43" s="9"/>
    </row>
    <row r="44" spans="2:13" ht="14.25" customHeight="1" x14ac:dyDescent="0.2">
      <c r="C44" s="22"/>
      <c r="D44" s="22"/>
      <c r="E44" s="22"/>
      <c r="F44" s="22"/>
      <c r="G44" s="22"/>
      <c r="H44" s="9"/>
      <c r="I44" s="9"/>
      <c r="J44" s="9"/>
      <c r="K44" s="9"/>
      <c r="L44" s="9"/>
      <c r="M44" s="9"/>
    </row>
    <row r="45" spans="2:13" ht="14.25" customHeight="1" x14ac:dyDescent="0.2">
      <c r="C45" s="22"/>
      <c r="D45" s="22"/>
      <c r="E45" s="22"/>
      <c r="F45" s="22"/>
      <c r="G45" s="22"/>
      <c r="H45" s="9"/>
      <c r="I45" s="9"/>
      <c r="J45" s="9"/>
      <c r="K45" s="9"/>
      <c r="L45" s="9"/>
      <c r="M45" s="9"/>
    </row>
    <row r="46" spans="2:13" ht="14.25" customHeight="1" x14ac:dyDescent="0.2">
      <c r="C46" s="22"/>
      <c r="D46" s="22"/>
      <c r="E46" s="22"/>
      <c r="F46" s="22"/>
      <c r="G46" s="22"/>
      <c r="H46" s="9"/>
      <c r="I46" s="9"/>
      <c r="J46" s="9"/>
      <c r="K46" s="9"/>
      <c r="L46" s="9"/>
      <c r="M46" s="9"/>
    </row>
    <row r="47" spans="2:13" ht="14.25" customHeight="1" x14ac:dyDescent="0.2">
      <c r="C47" s="22"/>
      <c r="D47" s="22"/>
      <c r="E47" s="22"/>
      <c r="F47" s="22"/>
      <c r="G47" s="22"/>
      <c r="H47" s="9"/>
      <c r="I47" s="9"/>
      <c r="J47" s="9"/>
      <c r="K47" s="9"/>
      <c r="L47" s="9"/>
      <c r="M47" s="9"/>
    </row>
    <row r="48" spans="2:13" ht="14.25" customHeight="1" x14ac:dyDescent="0.2">
      <c r="C48" s="22"/>
      <c r="D48" s="22"/>
      <c r="E48" s="22"/>
      <c r="F48" s="22"/>
      <c r="G48" s="22"/>
      <c r="H48" s="9"/>
      <c r="I48" s="9"/>
      <c r="J48" s="9"/>
      <c r="K48" s="9"/>
      <c r="L48" s="9"/>
      <c r="M48" s="9"/>
    </row>
    <row r="49" spans="3:13" ht="14.25" customHeight="1" x14ac:dyDescent="0.2">
      <c r="C49" s="22"/>
      <c r="D49" s="22"/>
      <c r="E49" s="22"/>
      <c r="F49" s="22"/>
      <c r="G49" s="22"/>
      <c r="H49" s="9"/>
      <c r="I49" s="9"/>
      <c r="J49" s="9"/>
      <c r="K49" s="9"/>
      <c r="L49" s="9"/>
      <c r="M49" s="9"/>
    </row>
    <row r="50" spans="3:13" ht="14.25" customHeight="1" x14ac:dyDescent="0.2">
      <c r="C50" s="22"/>
      <c r="D50" s="22"/>
      <c r="E50" s="22"/>
      <c r="F50" s="22"/>
      <c r="G50" s="22"/>
      <c r="H50" s="9"/>
      <c r="I50" s="9"/>
      <c r="J50" s="9"/>
      <c r="K50" s="9"/>
      <c r="L50" s="9"/>
      <c r="M50" s="9"/>
    </row>
    <row r="51" spans="3:13" ht="14.25" customHeight="1" x14ac:dyDescent="0.2">
      <c r="C51" s="22"/>
      <c r="D51" s="22"/>
      <c r="E51" s="22"/>
      <c r="F51" s="22"/>
      <c r="G51" s="22"/>
      <c r="H51" s="9"/>
      <c r="I51" s="9"/>
      <c r="J51" s="9"/>
      <c r="K51" s="9"/>
      <c r="L51" s="9"/>
      <c r="M51" s="9"/>
    </row>
    <row r="52" spans="3:13" ht="14.25" customHeight="1" x14ac:dyDescent="0.2">
      <c r="C52" s="22"/>
      <c r="D52" s="22"/>
      <c r="E52" s="22"/>
      <c r="F52" s="22"/>
      <c r="G52" s="22"/>
      <c r="H52" s="9"/>
      <c r="I52" s="9"/>
      <c r="J52" s="9"/>
      <c r="K52" s="9"/>
      <c r="L52" s="9"/>
      <c r="M52" s="9"/>
    </row>
    <row r="53" spans="3:13" ht="14.25" customHeight="1" x14ac:dyDescent="0.2">
      <c r="C53" s="22"/>
      <c r="D53" s="22"/>
      <c r="E53" s="22"/>
      <c r="F53" s="22"/>
      <c r="G53" s="22"/>
      <c r="H53" s="9"/>
      <c r="I53" s="9"/>
      <c r="J53" s="9"/>
      <c r="K53" s="9"/>
      <c r="L53" s="9"/>
      <c r="M53" s="9"/>
    </row>
    <row r="54" spans="3:13" ht="14.25" customHeight="1" x14ac:dyDescent="0.2">
      <c r="C54" s="22"/>
      <c r="D54" s="22"/>
      <c r="E54" s="22"/>
      <c r="F54" s="22"/>
      <c r="G54" s="22"/>
      <c r="H54" s="9"/>
      <c r="I54" s="9"/>
      <c r="J54" s="9"/>
      <c r="K54" s="9"/>
      <c r="L54" s="9"/>
      <c r="M54" s="9"/>
    </row>
    <row r="55" spans="3:13" ht="14.25" customHeight="1" x14ac:dyDescent="0.2">
      <c r="C55" s="22"/>
      <c r="D55" s="22"/>
      <c r="E55" s="22"/>
      <c r="F55" s="22"/>
      <c r="G55" s="22"/>
      <c r="H55" s="9"/>
      <c r="I55" s="9"/>
      <c r="J55" s="9"/>
      <c r="K55" s="9"/>
      <c r="L55" s="9"/>
      <c r="M55" s="9"/>
    </row>
    <row r="56" spans="3:13" ht="14.25" customHeight="1" x14ac:dyDescent="0.2">
      <c r="C56" s="22"/>
      <c r="D56" s="22"/>
      <c r="E56" s="22"/>
      <c r="F56" s="22"/>
      <c r="G56" s="22"/>
      <c r="H56" s="9"/>
      <c r="I56" s="9"/>
      <c r="J56" s="9"/>
      <c r="K56" s="9"/>
      <c r="L56" s="9"/>
      <c r="M56" s="9"/>
    </row>
    <row r="57" spans="3:13" ht="14.25" customHeight="1" x14ac:dyDescent="0.2">
      <c r="C57" s="22"/>
      <c r="D57" s="22"/>
      <c r="E57" s="22"/>
      <c r="F57" s="22"/>
      <c r="G57" s="22"/>
      <c r="H57" s="9"/>
      <c r="I57" s="9"/>
      <c r="J57" s="9"/>
      <c r="K57" s="9"/>
      <c r="L57" s="9"/>
      <c r="M57" s="9"/>
    </row>
    <row r="58" spans="3:13" ht="14.25" customHeight="1" x14ac:dyDescent="0.2">
      <c r="C58" s="22"/>
      <c r="D58" s="22"/>
      <c r="E58" s="22"/>
      <c r="F58" s="22"/>
      <c r="G58" s="22"/>
      <c r="H58" s="9"/>
      <c r="I58" s="9"/>
      <c r="J58" s="9"/>
      <c r="K58" s="9"/>
      <c r="L58" s="9"/>
      <c r="M58" s="9"/>
    </row>
    <row r="59" spans="3:13" ht="14.25" customHeight="1" x14ac:dyDescent="0.2">
      <c r="C59" s="22"/>
      <c r="D59" s="22"/>
      <c r="E59" s="22"/>
      <c r="F59" s="22"/>
      <c r="G59" s="22"/>
      <c r="H59" s="9"/>
      <c r="I59" s="9"/>
      <c r="J59" s="9"/>
      <c r="K59" s="9"/>
      <c r="L59" s="9"/>
      <c r="M59" s="9"/>
    </row>
    <row r="60" spans="3:13" ht="14.25" customHeight="1" x14ac:dyDescent="0.2">
      <c r="C60" s="22"/>
      <c r="D60" s="22"/>
      <c r="E60" s="22"/>
      <c r="F60" s="22"/>
      <c r="G60" s="22"/>
      <c r="H60" s="9"/>
      <c r="I60" s="9"/>
      <c r="J60" s="9"/>
      <c r="K60" s="9"/>
      <c r="L60" s="9"/>
      <c r="M60" s="9"/>
    </row>
    <row r="61" spans="3:13" ht="14.25" customHeight="1" x14ac:dyDescent="0.2">
      <c r="C61" s="22"/>
      <c r="D61" s="22"/>
      <c r="E61" s="22"/>
      <c r="F61" s="22"/>
      <c r="G61" s="22"/>
      <c r="H61" s="9"/>
      <c r="I61" s="9"/>
      <c r="J61" s="9"/>
      <c r="K61" s="9"/>
      <c r="L61" s="9"/>
      <c r="M61" s="9"/>
    </row>
    <row r="62" spans="3:13" ht="14.25" customHeight="1" x14ac:dyDescent="0.2">
      <c r="C62" s="22"/>
      <c r="D62" s="22"/>
      <c r="E62" s="22"/>
      <c r="F62" s="22"/>
      <c r="G62" s="22"/>
      <c r="H62" s="9"/>
      <c r="I62" s="9"/>
      <c r="J62" s="9"/>
      <c r="K62" s="9"/>
      <c r="L62" s="9"/>
      <c r="M62" s="9"/>
    </row>
    <row r="63" spans="3:13" ht="14.25" customHeight="1" x14ac:dyDescent="0.2">
      <c r="C63" s="22"/>
      <c r="D63" s="22"/>
      <c r="E63" s="22"/>
      <c r="F63" s="22"/>
      <c r="G63" s="22"/>
      <c r="H63" s="9"/>
      <c r="I63" s="9"/>
      <c r="J63" s="9"/>
      <c r="K63" s="9"/>
      <c r="L63" s="9"/>
      <c r="M63" s="9"/>
    </row>
    <row r="64" spans="3:13" ht="14.25" customHeight="1" x14ac:dyDescent="0.2">
      <c r="C64" s="22"/>
      <c r="D64" s="22"/>
      <c r="E64" s="22"/>
      <c r="F64" s="22"/>
      <c r="G64" s="22"/>
      <c r="H64" s="9"/>
      <c r="I64" s="9"/>
      <c r="J64" s="9"/>
      <c r="K64" s="9"/>
      <c r="L64" s="9"/>
      <c r="M64" s="9"/>
    </row>
    <row r="65" spans="3:13" ht="14.25" customHeight="1" x14ac:dyDescent="0.2">
      <c r="C65" s="22"/>
      <c r="D65" s="22"/>
      <c r="E65" s="22"/>
      <c r="F65" s="22"/>
      <c r="G65" s="22"/>
      <c r="H65" s="9"/>
      <c r="I65" s="9"/>
      <c r="J65" s="9"/>
      <c r="K65" s="9"/>
      <c r="L65" s="9"/>
      <c r="M65" s="9"/>
    </row>
    <row r="66" spans="3:13" ht="14.25" customHeight="1" x14ac:dyDescent="0.2">
      <c r="C66" s="22"/>
      <c r="D66" s="22"/>
      <c r="E66" s="22"/>
      <c r="F66" s="22"/>
      <c r="G66" s="22"/>
      <c r="H66" s="9"/>
      <c r="I66" s="9"/>
      <c r="J66" s="9"/>
      <c r="K66" s="9"/>
      <c r="L66" s="9"/>
      <c r="M66" s="9"/>
    </row>
    <row r="67" spans="3:13" ht="14.25" customHeight="1" x14ac:dyDescent="0.2">
      <c r="C67" s="22"/>
      <c r="D67" s="22"/>
      <c r="E67" s="22"/>
      <c r="F67" s="22"/>
      <c r="G67" s="22"/>
      <c r="H67" s="9"/>
      <c r="I67" s="9"/>
      <c r="J67" s="9"/>
      <c r="K67" s="9"/>
      <c r="L67" s="9"/>
      <c r="M67" s="9"/>
    </row>
    <row r="68" spans="3:13" ht="14.25" customHeight="1" x14ac:dyDescent="0.2">
      <c r="C68" s="22"/>
      <c r="D68" s="22"/>
      <c r="E68" s="22"/>
      <c r="F68" s="22"/>
      <c r="G68" s="22"/>
      <c r="H68" s="9"/>
      <c r="I68" s="9"/>
      <c r="J68" s="9"/>
      <c r="K68" s="9"/>
      <c r="L68" s="9"/>
      <c r="M68" s="9"/>
    </row>
    <row r="69" spans="3:13" ht="14.25" customHeight="1" x14ac:dyDescent="0.2">
      <c r="C69" s="22"/>
      <c r="D69" s="22"/>
      <c r="E69" s="22"/>
      <c r="F69" s="22"/>
      <c r="G69" s="22"/>
      <c r="H69" s="9"/>
      <c r="I69" s="9"/>
      <c r="J69" s="9"/>
      <c r="K69" s="9"/>
      <c r="L69" s="9"/>
      <c r="M69" s="9"/>
    </row>
    <row r="70" spans="3:13" ht="14.25" customHeight="1" x14ac:dyDescent="0.2">
      <c r="C70" s="22"/>
      <c r="D70" s="22"/>
      <c r="E70" s="22"/>
      <c r="F70" s="22"/>
      <c r="G70" s="22"/>
      <c r="H70" s="9"/>
      <c r="I70" s="9"/>
      <c r="J70" s="9"/>
      <c r="K70" s="9"/>
      <c r="L70" s="9"/>
      <c r="M70" s="9"/>
    </row>
    <row r="71" spans="3:13" ht="14.25" customHeight="1" x14ac:dyDescent="0.2">
      <c r="C71" s="22"/>
      <c r="D71" s="22"/>
      <c r="E71" s="22"/>
      <c r="F71" s="22"/>
      <c r="G71" s="22"/>
      <c r="H71" s="9"/>
      <c r="I71" s="9"/>
      <c r="J71" s="9"/>
      <c r="K71" s="9"/>
      <c r="L71" s="9"/>
      <c r="M71" s="9"/>
    </row>
    <row r="72" spans="3:13" ht="14.25" customHeight="1" x14ac:dyDescent="0.2">
      <c r="C72" s="22"/>
      <c r="D72" s="22"/>
      <c r="E72" s="22"/>
      <c r="F72" s="22"/>
      <c r="G72" s="22"/>
      <c r="H72" s="9"/>
      <c r="I72" s="9"/>
      <c r="J72" s="9"/>
      <c r="K72" s="9"/>
      <c r="L72" s="9"/>
      <c r="M72" s="9"/>
    </row>
    <row r="73" spans="3:13" ht="14.25" customHeight="1" x14ac:dyDescent="0.2">
      <c r="C73" s="22"/>
      <c r="D73" s="22"/>
      <c r="E73" s="22"/>
      <c r="F73" s="22"/>
      <c r="G73" s="22"/>
      <c r="H73" s="9"/>
      <c r="I73" s="9"/>
      <c r="J73" s="9"/>
      <c r="K73" s="9"/>
      <c r="L73" s="9"/>
      <c r="M73" s="9"/>
    </row>
    <row r="74" spans="3:13" ht="14.25" customHeight="1" x14ac:dyDescent="0.2">
      <c r="C74" s="22"/>
      <c r="D74" s="22"/>
      <c r="E74" s="22"/>
      <c r="F74" s="22"/>
      <c r="G74" s="22"/>
      <c r="H74" s="9"/>
      <c r="I74" s="9"/>
      <c r="J74" s="9"/>
      <c r="K74" s="9"/>
      <c r="L74" s="9"/>
      <c r="M74" s="9"/>
    </row>
    <row r="75" spans="3:13" ht="14.25" customHeight="1" x14ac:dyDescent="0.2">
      <c r="C75" s="22"/>
      <c r="D75" s="22"/>
      <c r="E75" s="22"/>
      <c r="F75" s="22"/>
      <c r="G75" s="22"/>
      <c r="H75" s="9"/>
      <c r="I75" s="9"/>
      <c r="J75" s="9"/>
      <c r="K75" s="9"/>
      <c r="L75" s="9"/>
      <c r="M75" s="9"/>
    </row>
    <row r="76" spans="3:13" ht="14.25" customHeight="1" x14ac:dyDescent="0.2">
      <c r="C76" s="22"/>
      <c r="D76" s="22"/>
      <c r="E76" s="22"/>
      <c r="F76" s="22"/>
      <c r="G76" s="22"/>
      <c r="H76" s="9"/>
      <c r="I76" s="9"/>
      <c r="J76" s="9"/>
      <c r="K76" s="9"/>
      <c r="L76" s="9"/>
      <c r="M76" s="9"/>
    </row>
    <row r="77" spans="3:13" ht="14.25" customHeight="1" x14ac:dyDescent="0.2">
      <c r="C77" s="22"/>
      <c r="D77" s="22"/>
      <c r="E77" s="22"/>
      <c r="F77" s="22"/>
      <c r="G77" s="22"/>
      <c r="H77" s="9"/>
      <c r="I77" s="9"/>
      <c r="J77" s="9"/>
      <c r="K77" s="9"/>
      <c r="L77" s="9"/>
      <c r="M77" s="9"/>
    </row>
    <row r="78" spans="3:13" ht="14.25" customHeight="1" x14ac:dyDescent="0.2">
      <c r="C78" s="22"/>
      <c r="D78" s="22"/>
      <c r="E78" s="22"/>
      <c r="F78" s="22"/>
      <c r="G78" s="22"/>
      <c r="H78" s="9"/>
      <c r="I78" s="9"/>
      <c r="J78" s="9"/>
      <c r="K78" s="9"/>
      <c r="L78" s="9"/>
      <c r="M78" s="9"/>
    </row>
    <row r="79" spans="3:13" ht="14.25" customHeight="1" x14ac:dyDescent="0.2">
      <c r="C79" s="22"/>
      <c r="D79" s="22"/>
      <c r="E79" s="22"/>
      <c r="F79" s="22"/>
      <c r="G79" s="22"/>
      <c r="H79" s="9"/>
      <c r="I79" s="9"/>
      <c r="J79" s="9"/>
      <c r="K79" s="9"/>
      <c r="L79" s="9"/>
      <c r="M79" s="9"/>
    </row>
    <row r="80" spans="3:13" ht="14.25" customHeight="1" x14ac:dyDescent="0.2">
      <c r="C80" s="22"/>
      <c r="D80" s="22"/>
      <c r="E80" s="22"/>
      <c r="F80" s="22"/>
      <c r="G80" s="22"/>
      <c r="H80" s="9"/>
      <c r="I80" s="9"/>
      <c r="J80" s="9"/>
      <c r="K80" s="9"/>
      <c r="L80" s="9"/>
      <c r="M80" s="9"/>
    </row>
    <row r="81" spans="3:13" ht="14.25" customHeight="1" x14ac:dyDescent="0.2">
      <c r="C81" s="22"/>
      <c r="D81" s="22"/>
      <c r="E81" s="22"/>
      <c r="F81" s="22"/>
      <c r="G81" s="22"/>
      <c r="H81" s="9"/>
      <c r="I81" s="9"/>
      <c r="J81" s="9"/>
      <c r="K81" s="9"/>
      <c r="L81" s="9"/>
      <c r="M81" s="9"/>
    </row>
    <row r="82" spans="3:13" ht="14.25" customHeight="1" x14ac:dyDescent="0.2">
      <c r="C82" s="22"/>
      <c r="D82" s="22"/>
      <c r="E82" s="22"/>
      <c r="F82" s="22"/>
      <c r="G82" s="22"/>
      <c r="H82" s="9"/>
      <c r="I82" s="9"/>
      <c r="J82" s="9"/>
      <c r="K82" s="9"/>
      <c r="L82" s="9"/>
      <c r="M82" s="9"/>
    </row>
    <row r="83" spans="3:13" ht="14.25" customHeight="1" x14ac:dyDescent="0.2">
      <c r="C83" s="22"/>
      <c r="D83" s="22"/>
      <c r="E83" s="22"/>
      <c r="F83" s="22"/>
      <c r="G83" s="22"/>
      <c r="H83" s="9"/>
      <c r="I83" s="9"/>
      <c r="J83" s="9"/>
      <c r="K83" s="9"/>
      <c r="L83" s="9"/>
      <c r="M83" s="9"/>
    </row>
    <row r="84" spans="3:13" ht="14.25" customHeight="1" x14ac:dyDescent="0.2">
      <c r="C84" s="22"/>
      <c r="D84" s="22"/>
      <c r="E84" s="22"/>
      <c r="F84" s="22"/>
      <c r="G84" s="22"/>
      <c r="H84" s="9"/>
      <c r="I84" s="9"/>
      <c r="J84" s="9"/>
      <c r="K84" s="9"/>
      <c r="L84" s="9"/>
      <c r="M84" s="9"/>
    </row>
    <row r="85" spans="3:13" ht="14.25" customHeight="1" x14ac:dyDescent="0.2">
      <c r="C85" s="22"/>
      <c r="D85" s="22"/>
      <c r="E85" s="22"/>
      <c r="F85" s="22"/>
      <c r="G85" s="22"/>
      <c r="H85" s="9"/>
      <c r="I85" s="9"/>
      <c r="J85" s="9"/>
      <c r="K85" s="9"/>
      <c r="L85" s="9"/>
      <c r="M85" s="9"/>
    </row>
    <row r="86" spans="3:13" ht="14.25" customHeight="1" x14ac:dyDescent="0.2">
      <c r="C86" s="22"/>
      <c r="D86" s="22"/>
      <c r="E86" s="22"/>
      <c r="F86" s="22"/>
      <c r="G86" s="22"/>
      <c r="H86" s="9"/>
      <c r="I86" s="9"/>
      <c r="J86" s="9"/>
      <c r="K86" s="9"/>
      <c r="L86" s="9"/>
      <c r="M86" s="9"/>
    </row>
    <row r="87" spans="3:13" ht="14.25" customHeight="1" x14ac:dyDescent="0.2">
      <c r="C87" s="22"/>
      <c r="D87" s="22"/>
      <c r="E87" s="22"/>
      <c r="F87" s="22"/>
      <c r="G87" s="22"/>
      <c r="H87" s="9"/>
      <c r="I87" s="9"/>
      <c r="J87" s="9"/>
      <c r="K87" s="9"/>
      <c r="L87" s="9"/>
      <c r="M87" s="9"/>
    </row>
    <row r="88" spans="3:13" ht="14.25" customHeight="1" x14ac:dyDescent="0.2">
      <c r="C88" s="22"/>
      <c r="D88" s="22"/>
      <c r="E88" s="22"/>
      <c r="F88" s="22"/>
      <c r="G88" s="22"/>
      <c r="H88" s="9"/>
      <c r="I88" s="9"/>
      <c r="J88" s="9"/>
      <c r="K88" s="9"/>
      <c r="L88" s="9"/>
      <c r="M88" s="9"/>
    </row>
    <row r="89" spans="3:13" ht="14.25" customHeight="1" x14ac:dyDescent="0.2">
      <c r="C89" s="22"/>
      <c r="D89" s="22"/>
      <c r="E89" s="22"/>
      <c r="F89" s="22"/>
      <c r="G89" s="22"/>
      <c r="H89" s="9"/>
      <c r="I89" s="9"/>
      <c r="J89" s="9"/>
      <c r="K89" s="9"/>
      <c r="L89" s="9"/>
      <c r="M89" s="9"/>
    </row>
    <row r="90" spans="3:13" ht="14.25" customHeight="1" x14ac:dyDescent="0.2">
      <c r="C90" s="22"/>
      <c r="D90" s="22"/>
      <c r="E90" s="22"/>
      <c r="F90" s="22"/>
      <c r="G90" s="22"/>
      <c r="H90" s="9"/>
      <c r="I90" s="9"/>
      <c r="J90" s="9"/>
      <c r="K90" s="9"/>
      <c r="L90" s="9"/>
      <c r="M90" s="9"/>
    </row>
    <row r="91" spans="3:13" ht="14.25" customHeight="1" x14ac:dyDescent="0.2">
      <c r="C91" s="22"/>
      <c r="D91" s="22"/>
      <c r="E91" s="22"/>
      <c r="F91" s="22"/>
      <c r="G91" s="22"/>
      <c r="H91" s="9"/>
      <c r="I91" s="9"/>
      <c r="J91" s="9"/>
      <c r="K91" s="9"/>
      <c r="L91" s="9"/>
      <c r="M91" s="9"/>
    </row>
    <row r="92" spans="3:13" ht="14.25" customHeight="1" x14ac:dyDescent="0.2">
      <c r="C92" s="22"/>
      <c r="D92" s="22"/>
      <c r="E92" s="22"/>
      <c r="F92" s="22"/>
      <c r="G92" s="22"/>
      <c r="H92" s="9"/>
      <c r="I92" s="9"/>
      <c r="J92" s="9"/>
      <c r="K92" s="9"/>
      <c r="L92" s="9"/>
      <c r="M92" s="9"/>
    </row>
    <row r="93" spans="3:13" ht="14.25" customHeight="1" x14ac:dyDescent="0.2">
      <c r="C93" s="22"/>
      <c r="D93" s="22"/>
      <c r="E93" s="22"/>
      <c r="F93" s="22"/>
      <c r="G93" s="22"/>
      <c r="H93" s="9"/>
      <c r="I93" s="9"/>
      <c r="J93" s="9"/>
      <c r="K93" s="9"/>
      <c r="L93" s="9"/>
      <c r="M93" s="9"/>
    </row>
    <row r="94" spans="3:13" ht="14.25" customHeight="1" x14ac:dyDescent="0.2">
      <c r="C94" s="22"/>
      <c r="D94" s="22"/>
      <c r="E94" s="22"/>
      <c r="F94" s="22"/>
      <c r="G94" s="22"/>
      <c r="H94" s="9"/>
      <c r="I94" s="9"/>
      <c r="J94" s="9"/>
      <c r="K94" s="9"/>
      <c r="L94" s="9"/>
      <c r="M94" s="9"/>
    </row>
    <row r="95" spans="3:13" ht="14.25" customHeight="1" x14ac:dyDescent="0.2">
      <c r="C95" s="22"/>
      <c r="D95" s="22"/>
      <c r="E95" s="22"/>
      <c r="F95" s="22"/>
      <c r="G95" s="22"/>
      <c r="H95" s="9"/>
      <c r="I95" s="9"/>
      <c r="J95" s="9"/>
      <c r="K95" s="9"/>
      <c r="L95" s="9"/>
      <c r="M95" s="9"/>
    </row>
    <row r="96" spans="3:13" ht="14.25" customHeight="1" x14ac:dyDescent="0.2">
      <c r="C96" s="22"/>
      <c r="D96" s="22"/>
      <c r="E96" s="22"/>
      <c r="F96" s="22"/>
      <c r="G96" s="22"/>
      <c r="H96" s="9"/>
      <c r="I96" s="9"/>
      <c r="J96" s="9"/>
      <c r="K96" s="9"/>
      <c r="L96" s="9"/>
      <c r="M96" s="9"/>
    </row>
    <row r="97" spans="3:13" ht="14.25" customHeight="1" x14ac:dyDescent="0.2">
      <c r="C97" s="22"/>
      <c r="D97" s="22"/>
      <c r="E97" s="22"/>
      <c r="F97" s="22"/>
      <c r="G97" s="22"/>
      <c r="H97" s="9"/>
      <c r="I97" s="9"/>
      <c r="J97" s="9"/>
      <c r="K97" s="9"/>
      <c r="L97" s="9"/>
      <c r="M97" s="9"/>
    </row>
    <row r="98" spans="3:13" ht="14.25" customHeight="1" x14ac:dyDescent="0.2">
      <c r="C98" s="22"/>
      <c r="D98" s="22"/>
      <c r="E98" s="22"/>
      <c r="F98" s="22"/>
      <c r="G98" s="22"/>
      <c r="H98" s="9"/>
      <c r="I98" s="9"/>
      <c r="J98" s="9"/>
      <c r="K98" s="9"/>
      <c r="L98" s="9"/>
      <c r="M98" s="9"/>
    </row>
    <row r="99" spans="3:13" ht="14.25" customHeight="1" x14ac:dyDescent="0.2">
      <c r="C99" s="22"/>
      <c r="D99" s="22"/>
      <c r="E99" s="22"/>
      <c r="F99" s="22"/>
      <c r="G99" s="22"/>
      <c r="H99" s="9"/>
      <c r="I99" s="9"/>
      <c r="J99" s="9"/>
      <c r="K99" s="9"/>
      <c r="L99" s="9"/>
      <c r="M99" s="9"/>
    </row>
    <row r="100" spans="3:13" ht="14.25" customHeight="1" x14ac:dyDescent="0.2">
      <c r="C100" s="22"/>
      <c r="D100" s="22"/>
      <c r="E100" s="22"/>
      <c r="F100" s="22"/>
      <c r="G100" s="22"/>
      <c r="H100" s="9"/>
      <c r="I100" s="9"/>
      <c r="J100" s="9"/>
      <c r="K100" s="9"/>
      <c r="L100" s="9"/>
      <c r="M100" s="9"/>
    </row>
    <row r="101" spans="3:13" ht="14.25" customHeight="1" x14ac:dyDescent="0.2">
      <c r="C101" s="22"/>
      <c r="D101" s="22"/>
      <c r="E101" s="22"/>
      <c r="F101" s="22"/>
      <c r="G101" s="22"/>
      <c r="H101" s="9"/>
      <c r="I101" s="9"/>
      <c r="J101" s="9"/>
      <c r="K101" s="9"/>
      <c r="L101" s="9"/>
      <c r="M101" s="9"/>
    </row>
    <row r="102" spans="3:13" ht="14.25" customHeight="1" x14ac:dyDescent="0.2">
      <c r="C102" s="22"/>
      <c r="D102" s="22"/>
      <c r="E102" s="22"/>
      <c r="F102" s="22"/>
      <c r="G102" s="22"/>
      <c r="H102" s="9"/>
      <c r="I102" s="9"/>
      <c r="J102" s="9"/>
      <c r="K102" s="9"/>
      <c r="L102" s="9"/>
      <c r="M102" s="9"/>
    </row>
    <row r="103" spans="3:13" ht="14.25" customHeight="1" x14ac:dyDescent="0.2">
      <c r="C103" s="22"/>
      <c r="D103" s="22"/>
      <c r="E103" s="22"/>
      <c r="F103" s="22"/>
      <c r="G103" s="22"/>
      <c r="H103" s="9"/>
      <c r="I103" s="9"/>
      <c r="J103" s="9"/>
      <c r="K103" s="9"/>
      <c r="L103" s="9"/>
      <c r="M103" s="9"/>
    </row>
    <row r="104" spans="3:13" ht="14.25" customHeight="1" x14ac:dyDescent="0.2">
      <c r="C104" s="22"/>
      <c r="D104" s="22"/>
      <c r="E104" s="22"/>
      <c r="F104" s="22"/>
      <c r="G104" s="22"/>
      <c r="H104" s="9"/>
      <c r="I104" s="9"/>
      <c r="J104" s="9"/>
      <c r="K104" s="9"/>
      <c r="L104" s="9"/>
      <c r="M104" s="9"/>
    </row>
    <row r="105" spans="3:13" ht="14.25" customHeight="1" x14ac:dyDescent="0.2">
      <c r="C105" s="22"/>
      <c r="D105" s="22"/>
      <c r="E105" s="22"/>
      <c r="F105" s="22"/>
      <c r="G105" s="22"/>
      <c r="H105" s="9"/>
      <c r="I105" s="9"/>
      <c r="J105" s="9"/>
      <c r="K105" s="9"/>
      <c r="L105" s="9"/>
      <c r="M105" s="9"/>
    </row>
    <row r="106" spans="3:13" ht="14.25" customHeight="1" x14ac:dyDescent="0.2">
      <c r="C106" s="22"/>
      <c r="D106" s="22"/>
      <c r="E106" s="22"/>
      <c r="F106" s="22"/>
      <c r="G106" s="22"/>
      <c r="H106" s="9"/>
      <c r="I106" s="9"/>
      <c r="J106" s="9"/>
      <c r="K106" s="9"/>
      <c r="L106" s="9"/>
      <c r="M106" s="9"/>
    </row>
    <row r="107" spans="3:13" ht="14.25" customHeight="1" x14ac:dyDescent="0.2">
      <c r="C107" s="22"/>
      <c r="D107" s="22"/>
      <c r="E107" s="22"/>
      <c r="F107" s="22"/>
      <c r="G107" s="22"/>
      <c r="H107" s="9"/>
      <c r="I107" s="9"/>
      <c r="J107" s="9"/>
      <c r="K107" s="9"/>
      <c r="L107" s="9"/>
      <c r="M107" s="9"/>
    </row>
    <row r="108" spans="3:13" ht="14.25" customHeight="1" x14ac:dyDescent="0.2">
      <c r="C108" s="22"/>
      <c r="D108" s="22"/>
      <c r="E108" s="22"/>
      <c r="F108" s="22"/>
      <c r="G108" s="22"/>
      <c r="H108" s="9"/>
      <c r="I108" s="9"/>
      <c r="J108" s="9"/>
      <c r="K108" s="9"/>
      <c r="L108" s="9"/>
      <c r="M108" s="9"/>
    </row>
    <row r="109" spans="3:13" ht="14.25" customHeight="1" x14ac:dyDescent="0.2">
      <c r="C109" s="22"/>
      <c r="D109" s="22"/>
      <c r="E109" s="22"/>
      <c r="F109" s="22"/>
      <c r="G109" s="22"/>
      <c r="H109" s="9"/>
      <c r="I109" s="9"/>
      <c r="J109" s="9"/>
      <c r="K109" s="9"/>
      <c r="L109" s="9"/>
      <c r="M109" s="9"/>
    </row>
    <row r="110" spans="3:13" ht="14.25" customHeight="1" x14ac:dyDescent="0.2">
      <c r="C110" s="22"/>
      <c r="D110" s="22"/>
      <c r="E110" s="22"/>
      <c r="F110" s="22"/>
      <c r="G110" s="22"/>
      <c r="H110" s="9"/>
      <c r="I110" s="9"/>
      <c r="J110" s="9"/>
      <c r="K110" s="9"/>
      <c r="L110" s="9"/>
      <c r="M110" s="9"/>
    </row>
    <row r="111" spans="3:13" ht="14.25" customHeight="1" x14ac:dyDescent="0.2">
      <c r="C111" s="22"/>
      <c r="D111" s="22"/>
      <c r="E111" s="22"/>
      <c r="F111" s="22"/>
      <c r="G111" s="22"/>
      <c r="H111" s="9"/>
      <c r="I111" s="9"/>
      <c r="J111" s="9"/>
      <c r="K111" s="9"/>
      <c r="L111" s="9"/>
      <c r="M111" s="9"/>
    </row>
    <row r="112" spans="3:13" ht="14.25" customHeight="1" x14ac:dyDescent="0.2">
      <c r="C112" s="22"/>
      <c r="D112" s="22"/>
      <c r="E112" s="22"/>
      <c r="F112" s="22"/>
      <c r="G112" s="22"/>
      <c r="H112" s="9"/>
      <c r="I112" s="9"/>
      <c r="J112" s="9"/>
      <c r="K112" s="9"/>
      <c r="L112" s="9"/>
      <c r="M112" s="9"/>
    </row>
    <row r="113" spans="3:13" ht="14.25" customHeight="1" x14ac:dyDescent="0.2">
      <c r="C113" s="22"/>
      <c r="D113" s="22"/>
      <c r="E113" s="22"/>
      <c r="F113" s="22"/>
      <c r="G113" s="22"/>
      <c r="H113" s="9"/>
      <c r="I113" s="9"/>
      <c r="J113" s="9"/>
      <c r="K113" s="9"/>
      <c r="L113" s="9"/>
      <c r="M113" s="9"/>
    </row>
    <row r="114" spans="3:13" ht="14.25" customHeight="1" x14ac:dyDescent="0.2">
      <c r="C114" s="22"/>
      <c r="D114" s="22"/>
      <c r="E114" s="22"/>
      <c r="F114" s="22"/>
      <c r="G114" s="22"/>
      <c r="H114" s="9"/>
      <c r="I114" s="9"/>
      <c r="J114" s="9"/>
      <c r="K114" s="9"/>
      <c r="L114" s="9"/>
      <c r="M114" s="9"/>
    </row>
    <row r="115" spans="3:13" ht="14.25" customHeight="1" x14ac:dyDescent="0.2">
      <c r="C115" s="22"/>
      <c r="D115" s="22"/>
      <c r="E115" s="22"/>
      <c r="F115" s="22"/>
      <c r="G115" s="22"/>
      <c r="H115" s="9"/>
      <c r="I115" s="9"/>
      <c r="J115" s="9"/>
      <c r="K115" s="9"/>
      <c r="L115" s="9"/>
      <c r="M115" s="9"/>
    </row>
    <row r="116" spans="3:13" ht="14.25" customHeight="1" x14ac:dyDescent="0.2">
      <c r="C116" s="22"/>
      <c r="D116" s="22"/>
      <c r="E116" s="22"/>
      <c r="F116" s="22"/>
      <c r="G116" s="22"/>
      <c r="H116" s="9"/>
      <c r="I116" s="9"/>
      <c r="J116" s="9"/>
      <c r="K116" s="9"/>
      <c r="L116" s="9"/>
      <c r="M116" s="9"/>
    </row>
    <row r="117" spans="3:13" ht="14.25" customHeight="1" x14ac:dyDescent="0.2">
      <c r="C117" s="22"/>
      <c r="D117" s="22"/>
      <c r="E117" s="22"/>
      <c r="F117" s="22"/>
      <c r="G117" s="22"/>
      <c r="H117" s="9"/>
      <c r="I117" s="9"/>
      <c r="J117" s="9"/>
      <c r="K117" s="9"/>
      <c r="L117" s="9"/>
      <c r="M117" s="9"/>
    </row>
    <row r="118" spans="3:13" ht="14.25" customHeight="1" x14ac:dyDescent="0.2">
      <c r="C118" s="22"/>
      <c r="D118" s="22"/>
      <c r="E118" s="22"/>
      <c r="F118" s="22"/>
      <c r="G118" s="22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H5" sqref="H5:H16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47" t="s">
        <v>219</v>
      </c>
      <c r="B1" s="48"/>
    </row>
    <row r="2" spans="1:14" ht="14.25" customHeight="1" x14ac:dyDescent="0.2">
      <c r="A2" s="49"/>
      <c r="B2" s="50"/>
    </row>
    <row r="4" spans="1:14" ht="14.25" customHeight="1" x14ac:dyDescent="0.2">
      <c r="D4" s="3" t="s">
        <v>157</v>
      </c>
      <c r="E4" s="3" t="s">
        <v>92</v>
      </c>
      <c r="F4" s="3" t="s">
        <v>93</v>
      </c>
      <c r="G4" s="1" t="s">
        <v>206</v>
      </c>
      <c r="H4" s="1" t="s">
        <v>279</v>
      </c>
      <c r="I4" s="1" t="s">
        <v>207</v>
      </c>
      <c r="J4" s="1" t="s">
        <v>209</v>
      </c>
      <c r="K4" s="1" t="s">
        <v>211</v>
      </c>
      <c r="L4" s="1" t="s">
        <v>218</v>
      </c>
      <c r="N4" s="3" t="s">
        <v>238</v>
      </c>
    </row>
    <row r="5" spans="1:14" ht="14.25" customHeight="1" x14ac:dyDescent="0.2">
      <c r="D5" s="1" t="s">
        <v>263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1.1111111111111109</v>
      </c>
      <c r="J5" s="5"/>
      <c r="K5" s="5">
        <f>VLOOKUP($E5,技能模板!$D$13:$U$19,MATCH(K$4,技能模板!$D$13:$U$13,0),0)/VLOOKUP($E5,技能模板!$D$13:$U$19,MATCH($G$4,技能模板!$D$13:$U$13,0),0)*$G5</f>
        <v>0.89999999999999991</v>
      </c>
      <c r="L5" s="5"/>
      <c r="N5" s="45" t="s">
        <v>244</v>
      </c>
    </row>
    <row r="6" spans="1:14" ht="14.25" customHeight="1" x14ac:dyDescent="0.2">
      <c r="D6" s="1" t="s">
        <v>264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1.1111111111111109</v>
      </c>
      <c r="J6" s="5"/>
      <c r="K6" s="5">
        <f>VLOOKUP($E6,技能模板!$D$13:$U$19,MATCH(K$4,技能模板!$D$13:$U$13,0),0)/VLOOKUP($E6,技能模板!$D$13:$U$19,MATCH($G$4,技能模板!$D$13:$U$13,0),0)*$G6</f>
        <v>0.89999999999999991</v>
      </c>
      <c r="L6" s="5"/>
    </row>
    <row r="7" spans="1:14" ht="14.25" customHeight="1" x14ac:dyDescent="0.2">
      <c r="D7" s="1" t="s">
        <v>265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0.97777777777777763</v>
      </c>
      <c r="J7" s="5"/>
      <c r="K7" s="5">
        <f>VLOOKUP($E7,技能模板!$D$13:$U$19,MATCH(K$4,技能模板!$D$13:$U$13,0),0)/VLOOKUP($E7,技能模板!$D$13:$U$19,MATCH($G$4,技能模板!$D$13:$U$13,0),0)*$G7</f>
        <v>0.96000000000000008</v>
      </c>
      <c r="L7" s="5"/>
    </row>
    <row r="8" spans="1:14" ht="14.25" customHeight="1" x14ac:dyDescent="0.2">
      <c r="D8" s="1" t="s">
        <v>266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0.97777777777777763</v>
      </c>
      <c r="J8" s="5"/>
      <c r="K8" s="5">
        <f>VLOOKUP($E8,技能模板!$D$13:$U$19,MATCH(K$4,技能模板!$D$13:$U$13,0),0)/VLOOKUP($E8,技能模板!$D$13:$U$19,MATCH($G$4,技能模板!$D$13:$U$13,0),0)*$G8</f>
        <v>0.96000000000000008</v>
      </c>
      <c r="L8" s="5"/>
    </row>
    <row r="9" spans="1:14" ht="14.25" customHeight="1" x14ac:dyDescent="0.2">
      <c r="D9" s="1" t="s">
        <v>267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3.9999999999999996</v>
      </c>
      <c r="J9" s="5"/>
      <c r="K9" s="5"/>
      <c r="L9" s="5"/>
    </row>
    <row r="10" spans="1:14" ht="14.25" customHeight="1" x14ac:dyDescent="0.2">
      <c r="D10" s="1" t="s">
        <v>268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3.9999999999999996</v>
      </c>
      <c r="J10" s="5"/>
      <c r="K10" s="5"/>
      <c r="L10" s="5"/>
    </row>
    <row r="11" spans="1:14" ht="14.25" customHeight="1" x14ac:dyDescent="0.2">
      <c r="D11" s="1" t="s">
        <v>269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4.9999999999999991</v>
      </c>
      <c r="J11" s="5"/>
      <c r="K11" s="5"/>
      <c r="L11" s="5"/>
    </row>
    <row r="12" spans="1:14" ht="14.25" customHeight="1" x14ac:dyDescent="0.2">
      <c r="D12" s="1" t="s">
        <v>270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4.9999999999999991</v>
      </c>
      <c r="J12" s="5"/>
      <c r="K12" s="5"/>
      <c r="L12" s="5"/>
    </row>
    <row r="13" spans="1:14" ht="14.25" customHeight="1" x14ac:dyDescent="0.2">
      <c r="D13" s="1" t="s">
        <v>271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4.5</v>
      </c>
      <c r="J13" s="5"/>
      <c r="K13" s="5"/>
      <c r="L13" s="5"/>
    </row>
    <row r="14" spans="1:14" ht="14.25" customHeight="1" x14ac:dyDescent="0.2">
      <c r="D14" s="1" t="s">
        <v>272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4.5</v>
      </c>
      <c r="J14" s="5"/>
      <c r="K14" s="5"/>
      <c r="L14" s="5"/>
    </row>
    <row r="15" spans="1:14" ht="14.25" customHeight="1" x14ac:dyDescent="0.2">
      <c r="D15" s="1" t="s">
        <v>273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1.1111111111111107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0.86911536471805484</v>
      </c>
    </row>
    <row r="16" spans="1:14" ht="14.25" customHeight="1" x14ac:dyDescent="0.2">
      <c r="D16" s="1" t="s">
        <v>274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1.1111111111111107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0.86911536471805484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AI1256"/>
  <sheetViews>
    <sheetView tabSelected="1" workbookViewId="0">
      <selection activeCell="K30" sqref="K30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47" t="s">
        <v>234</v>
      </c>
      <c r="B1" s="48"/>
      <c r="F1" s="1" t="s">
        <v>280</v>
      </c>
      <c r="G1" s="1">
        <v>1000</v>
      </c>
      <c r="L1" s="6">
        <f>L10/($N$21/100000+1)</f>
        <v>487.95180722891564</v>
      </c>
      <c r="M1" s="6">
        <f>L1*P10</f>
        <v>731.92771084337346</v>
      </c>
      <c r="Z1" s="69" t="s">
        <v>281</v>
      </c>
      <c r="AA1" s="70"/>
      <c r="AB1" s="70"/>
      <c r="AC1" s="70"/>
      <c r="AD1" s="70"/>
      <c r="AE1" s="70"/>
      <c r="AF1" s="70"/>
      <c r="AG1" s="70"/>
      <c r="AH1" s="70"/>
      <c r="AI1" s="71"/>
    </row>
    <row r="2" spans="1:35" ht="14.25" customHeight="1" x14ac:dyDescent="0.2">
      <c r="A2" s="49"/>
      <c r="B2" s="50"/>
      <c r="D2" s="5">
        <f>D3/$G$1</f>
        <v>1</v>
      </c>
      <c r="G2" s="5">
        <f>G3/$G$1</f>
        <v>0</v>
      </c>
      <c r="H2" s="1" t="s">
        <v>282</v>
      </c>
      <c r="J2" s="5">
        <f>J3/$G$1</f>
        <v>0</v>
      </c>
      <c r="L2" s="6"/>
      <c r="M2" s="6"/>
      <c r="Z2" s="72"/>
      <c r="AA2" s="73"/>
      <c r="AB2" s="73"/>
      <c r="AC2" s="73"/>
      <c r="AD2" s="73"/>
      <c r="AE2" s="73"/>
      <c r="AF2" s="73"/>
      <c r="AG2" s="73"/>
      <c r="AH2" s="73"/>
      <c r="AI2" s="74"/>
    </row>
    <row r="3" spans="1:35" ht="14.25" customHeight="1" x14ac:dyDescent="0.2">
      <c r="C3" s="1" t="s">
        <v>235</v>
      </c>
      <c r="D3" s="1">
        <v>1000</v>
      </c>
      <c r="F3" s="1">
        <v>20</v>
      </c>
      <c r="G3" s="1">
        <v>0</v>
      </c>
      <c r="H3" s="1">
        <f>G1-D3-G3-J3</f>
        <v>0</v>
      </c>
      <c r="J3" s="1">
        <v>0</v>
      </c>
      <c r="L3" s="6"/>
      <c r="M3" s="6"/>
      <c r="Z3" s="72"/>
      <c r="AA3" s="73"/>
      <c r="AB3" s="73"/>
      <c r="AC3" s="73"/>
      <c r="AD3" s="73"/>
      <c r="AE3" s="73"/>
      <c r="AF3" s="73"/>
      <c r="AG3" s="73"/>
      <c r="AH3" s="73"/>
      <c r="AI3" s="74"/>
    </row>
    <row r="4" spans="1:35" ht="14.25" customHeight="1" x14ac:dyDescent="0.2">
      <c r="D4" s="66" t="s">
        <v>258</v>
      </c>
      <c r="E4" s="67"/>
      <c r="F4" s="68"/>
      <c r="G4" s="1" t="s">
        <v>258</v>
      </c>
      <c r="H4" s="66" t="s">
        <v>259</v>
      </c>
      <c r="I4" s="67"/>
      <c r="J4" s="68"/>
      <c r="K4" s="10">
        <f>L4+L1</f>
        <v>1753.0120481927709</v>
      </c>
      <c r="L4" s="6">
        <f t="shared" ref="L4:L6" si="0">L13/($N$21/100000+1)</f>
        <v>1265.0602409638552</v>
      </c>
      <c r="M4" s="6">
        <f t="shared" ref="M4:M6" si="1">L4*P13</f>
        <v>1897.5903614457829</v>
      </c>
      <c r="N4" s="10">
        <f>M4+M1</f>
        <v>2629.5180722891564</v>
      </c>
      <c r="Z4" s="72"/>
      <c r="AA4" s="73"/>
      <c r="AB4" s="73"/>
      <c r="AC4" s="73"/>
      <c r="AD4" s="73"/>
      <c r="AE4" s="73"/>
      <c r="AF4" s="73"/>
      <c r="AG4" s="73"/>
      <c r="AH4" s="73"/>
      <c r="AI4" s="74"/>
    </row>
    <row r="5" spans="1:35" ht="14.25" customHeight="1" x14ac:dyDescent="0.2">
      <c r="D5" s="1">
        <v>7</v>
      </c>
      <c r="E5" s="1">
        <v>4</v>
      </c>
      <c r="F5" s="1">
        <v>1</v>
      </c>
      <c r="H5" s="1">
        <v>1</v>
      </c>
      <c r="I5" s="1">
        <v>4</v>
      </c>
      <c r="J5" s="1">
        <v>7</v>
      </c>
      <c r="L5" s="6"/>
      <c r="M5" s="6"/>
      <c r="Z5" s="72"/>
      <c r="AA5" s="73"/>
      <c r="AB5" s="73"/>
      <c r="AC5" s="73"/>
      <c r="AD5" s="73"/>
      <c r="AE5" s="73"/>
      <c r="AF5" s="73"/>
      <c r="AG5" s="73"/>
      <c r="AH5" s="73"/>
      <c r="AI5" s="74"/>
    </row>
    <row r="6" spans="1:35" ht="14.25" customHeight="1" x14ac:dyDescent="0.2">
      <c r="D6" s="1">
        <v>8</v>
      </c>
      <c r="E6" s="1">
        <v>5</v>
      </c>
      <c r="F6" s="1">
        <v>2</v>
      </c>
      <c r="H6" s="1">
        <v>2</v>
      </c>
      <c r="I6" s="1">
        <v>5</v>
      </c>
      <c r="J6" s="1">
        <v>8</v>
      </c>
      <c r="K6" s="10">
        <f>K4+L6</f>
        <v>2678.3132530120479</v>
      </c>
      <c r="L6" s="6">
        <f t="shared" si="0"/>
        <v>925.30120481927702</v>
      </c>
      <c r="M6" s="6">
        <f t="shared" si="1"/>
        <v>1387.9518072289156</v>
      </c>
      <c r="N6" s="10">
        <f>N4+M6</f>
        <v>4017.469879518072</v>
      </c>
      <c r="Z6" s="72"/>
      <c r="AA6" s="73"/>
      <c r="AB6" s="73"/>
      <c r="AC6" s="73"/>
      <c r="AD6" s="73"/>
      <c r="AE6" s="73"/>
      <c r="AF6" s="73"/>
      <c r="AG6" s="73"/>
      <c r="AH6" s="73"/>
      <c r="AI6" s="74"/>
    </row>
    <row r="7" spans="1:35" ht="14.25" customHeight="1" x14ac:dyDescent="0.2">
      <c r="D7" s="1">
        <v>9</v>
      </c>
      <c r="E7" s="1">
        <v>6</v>
      </c>
      <c r="F7" s="1">
        <v>3</v>
      </c>
      <c r="H7" s="1">
        <v>3</v>
      </c>
      <c r="I7" s="1">
        <v>6</v>
      </c>
      <c r="J7" s="1">
        <v>9</v>
      </c>
      <c r="L7" s="6"/>
      <c r="M7" s="6"/>
      <c r="Z7" s="72"/>
      <c r="AA7" s="73"/>
      <c r="AB7" s="73"/>
      <c r="AC7" s="73"/>
      <c r="AD7" s="73"/>
      <c r="AE7" s="73"/>
      <c r="AF7" s="73"/>
      <c r="AG7" s="73"/>
      <c r="AH7" s="73"/>
      <c r="AI7" s="74"/>
    </row>
    <row r="8" spans="1:35" ht="14.25" customHeight="1" x14ac:dyDescent="0.2">
      <c r="D8" s="46">
        <v>1</v>
      </c>
      <c r="E8" s="46">
        <v>2</v>
      </c>
      <c r="F8" s="46">
        <v>3</v>
      </c>
      <c r="G8" s="46">
        <v>4</v>
      </c>
      <c r="H8" s="46">
        <v>5</v>
      </c>
      <c r="I8" s="46">
        <v>6</v>
      </c>
      <c r="J8" s="3">
        <v>1</v>
      </c>
      <c r="K8" s="3">
        <v>1</v>
      </c>
      <c r="L8" s="46">
        <v>9</v>
      </c>
      <c r="M8" s="46">
        <v>10</v>
      </c>
      <c r="N8" s="46">
        <v>11</v>
      </c>
      <c r="O8" s="46">
        <v>12</v>
      </c>
      <c r="P8" s="46">
        <v>13</v>
      </c>
      <c r="Q8" s="46">
        <v>14</v>
      </c>
      <c r="R8" s="46">
        <v>15</v>
      </c>
      <c r="S8" s="46">
        <v>16</v>
      </c>
      <c r="T8" s="46">
        <v>17</v>
      </c>
      <c r="U8" s="46">
        <v>18</v>
      </c>
      <c r="V8" s="1" t="s">
        <v>251</v>
      </c>
      <c r="W8" s="1" t="s">
        <v>252</v>
      </c>
      <c r="X8" s="1" t="s">
        <v>253</v>
      </c>
      <c r="Z8" s="72"/>
      <c r="AA8" s="73"/>
      <c r="AB8" s="73"/>
      <c r="AC8" s="73"/>
      <c r="AD8" s="73"/>
      <c r="AE8" s="73"/>
      <c r="AF8" s="73"/>
      <c r="AG8" s="73"/>
      <c r="AH8" s="73"/>
      <c r="AI8" s="74"/>
    </row>
    <row r="9" spans="1:35" ht="14.25" customHeight="1" x14ac:dyDescent="0.2">
      <c r="A9" s="4">
        <f>B9/(SUM(M10:M18)*$G$1)</f>
        <v>0.65308674232680919</v>
      </c>
      <c r="B9" s="6">
        <v>33135730.28056132</v>
      </c>
      <c r="C9" s="1">
        <f>ROW(D10)</f>
        <v>10</v>
      </c>
      <c r="D9" s="1" t="s">
        <v>260</v>
      </c>
      <c r="E9" s="1" t="s">
        <v>261</v>
      </c>
      <c r="F9" s="1" t="s">
        <v>236</v>
      </c>
      <c r="G9" s="18" t="s">
        <v>157</v>
      </c>
      <c r="H9" s="1" t="s">
        <v>92</v>
      </c>
      <c r="I9" s="1" t="s">
        <v>93</v>
      </c>
      <c r="J9" s="18" t="s">
        <v>245</v>
      </c>
      <c r="K9" s="18" t="s">
        <v>246</v>
      </c>
      <c r="L9" s="1" t="s">
        <v>34</v>
      </c>
      <c r="M9" s="1" t="s">
        <v>213</v>
      </c>
      <c r="N9" s="1" t="s">
        <v>35</v>
      </c>
      <c r="O9" s="1" t="s">
        <v>146</v>
      </c>
      <c r="P9" s="1" t="s">
        <v>147</v>
      </c>
      <c r="Q9" s="1" t="s">
        <v>148</v>
      </c>
      <c r="R9" s="1" t="s">
        <v>176</v>
      </c>
      <c r="S9" s="1" t="s">
        <v>206</v>
      </c>
      <c r="T9" s="1" t="s">
        <v>279</v>
      </c>
      <c r="U9" s="1" t="s">
        <v>207</v>
      </c>
      <c r="V9" s="1" t="s">
        <v>208</v>
      </c>
      <c r="W9" s="1" t="s">
        <v>210</v>
      </c>
      <c r="X9" s="1" t="s">
        <v>243</v>
      </c>
      <c r="Z9" s="72"/>
      <c r="AA9" s="73"/>
      <c r="AB9" s="73"/>
      <c r="AC9" s="73"/>
      <c r="AD9" s="73"/>
      <c r="AE9" s="73"/>
      <c r="AF9" s="73"/>
      <c r="AG9" s="73"/>
      <c r="AH9" s="73"/>
      <c r="AI9" s="74"/>
    </row>
    <row r="10" spans="1:35" ht="14.25" customHeight="1" x14ac:dyDescent="0.2">
      <c r="C10" s="1">
        <f>COLUMN(D10)</f>
        <v>4</v>
      </c>
      <c r="D10" s="1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263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1</v>
      </c>
      <c r="K10" s="1">
        <f>IF($G10="","",K$8)</f>
        <v>1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506.25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16064.25702811245</v>
      </c>
      <c r="N10" s="8">
        <f>IFERROR(VLOOKUP($G10,角色设定!$AB$9:$AJ$21,MATCH(N$9,角色设定!$AB$9:$AJ$9,0),0)*VLOOKUP($J10,角色成长!$D$17:$J$117,MATCH(N$9,角色成长!$D$17:$J$17,0),0)*角色成长!$L$15,"")</f>
        <v>3749.9999999999995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1</v>
      </c>
      <c r="R10" s="1">
        <f>IFERROR(VLOOKUP($G10,角色设定!$AB$9:$AJ$21,MATCH(R$9,角色设定!$AB$9:$AJ$9,0),0),"")</f>
        <v>0.9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1.1202020202020202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0.90121153846153845</v>
      </c>
      <c r="X10" s="6">
        <f>IFERROR(VLOOKUP($G10,角色技能!$D:$M,MATCH(X$9,角色技能!$D$4:$M$4,0),0)*(1+$K10/100*(VLOOKUP($H10,技能模板!$D$13:$U$19,MATCH(技能模板!U$13,技能模板!$D$13:$U$13,0),0)-1)),"")</f>
        <v>0</v>
      </c>
      <c r="Z10" s="72"/>
      <c r="AA10" s="73"/>
      <c r="AB10" s="73"/>
      <c r="AC10" s="73"/>
      <c r="AD10" s="73"/>
      <c r="AE10" s="73"/>
      <c r="AF10" s="73"/>
      <c r="AG10" s="73"/>
      <c r="AH10" s="73"/>
      <c r="AI10" s="74"/>
    </row>
    <row r="11" spans="1:35" ht="14.25" customHeight="1" x14ac:dyDescent="0.2">
      <c r="C11" s="1">
        <f>ROW(X18)</f>
        <v>18</v>
      </c>
      <c r="D11" s="1" t="str">
        <f t="shared" ref="D11:D18" si="2">IFERROR(MOD(F11+3-1,3)+1,"")</f>
        <v/>
      </c>
      <c r="E11" s="1" t="str">
        <f t="shared" ref="E11:E18" si="3">IFERROR(ABS(INT((F11-7)/3))+1,"")</f>
        <v/>
      </c>
      <c r="F11" s="1" t="str">
        <f t="shared" ref="F11:F18" si="4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5">IF($G11="","",J$8)</f>
        <v/>
      </c>
      <c r="K11" s="1" t="str">
        <f t="shared" si="5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6" t="str">
        <f>IFERROR(VLOOKUP($G11,角色技能!$D:$M,MATCH(X$9,角色技能!$D$4:$M$4,0),0)*(1+$K11/100*(VLOOKUP($H11,技能模板!$D$13:$U$19,MATCH(技能模板!U$13,技能模板!$D$13:$U$13,0),0)-1)),"")</f>
        <v/>
      </c>
      <c r="Z11" s="72"/>
      <c r="AA11" s="73"/>
      <c r="AB11" s="73"/>
      <c r="AC11" s="73"/>
      <c r="AD11" s="73"/>
      <c r="AE11" s="73"/>
      <c r="AF11" s="73"/>
      <c r="AG11" s="73"/>
      <c r="AH11" s="73"/>
      <c r="AI11" s="74"/>
    </row>
    <row r="12" spans="1:35" ht="14.25" customHeight="1" x14ac:dyDescent="0.2">
      <c r="C12" s="1">
        <f>COLUMN(X17)</f>
        <v>24</v>
      </c>
      <c r="D12" s="1">
        <f t="shared" si="2"/>
        <v>3</v>
      </c>
      <c r="E12" s="1">
        <f t="shared" si="3"/>
        <v>3</v>
      </c>
      <c r="F12" s="1">
        <f t="shared" si="4"/>
        <v>3</v>
      </c>
      <c r="G12" s="1" t="s">
        <v>275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5"/>
        <v>1</v>
      </c>
      <c r="K12" s="1">
        <f t="shared" si="5"/>
        <v>1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562.5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14563.106796116504</v>
      </c>
      <c r="N12" s="8">
        <f>IFERROR(VLOOKUP($G12,角色设定!$AB$9:$AJ$21,MATCH(N$9,角色设定!$AB$9:$AJ$9,0),0)*VLOOKUP($J12,角色成长!$D$17:$J$117,MATCH(N$9,角色成长!$D$17:$J$17,0),0)*角色成长!$L$15,"")</f>
        <v>3000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1</v>
      </c>
      <c r="R12" s="1">
        <f>IFERROR(VLOOKUP($G12,角色设定!$AB$9:$AJ$21,MATCH(R$9,角色设定!$AB$9:$AJ$9,0),0),"")</f>
        <v>0.9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1.1202020202020202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0.90121153846153845</v>
      </c>
      <c r="X12" s="6">
        <f>IFERROR(VLOOKUP($G12,角色技能!$D:$M,MATCH(X$9,角色技能!$D$4:$M$4,0),0)*(1+$K12/100*(VLOOKUP($H12,技能模板!$D$13:$U$19,MATCH(技能模板!U$13,技能模板!$D$13:$U$13,0),0)-1)),"")</f>
        <v>0</v>
      </c>
      <c r="Z12" s="72"/>
      <c r="AA12" s="73"/>
      <c r="AB12" s="73"/>
      <c r="AC12" s="73"/>
      <c r="AD12" s="73"/>
      <c r="AE12" s="73"/>
      <c r="AF12" s="73"/>
      <c r="AG12" s="73"/>
      <c r="AH12" s="73"/>
      <c r="AI12" s="74"/>
    </row>
    <row r="13" spans="1:35" ht="14.25" customHeight="1" x14ac:dyDescent="0.2">
      <c r="D13" s="1">
        <f t="shared" si="2"/>
        <v>1</v>
      </c>
      <c r="E13" s="1">
        <f t="shared" si="3"/>
        <v>2</v>
      </c>
      <c r="F13" s="1">
        <f t="shared" si="4"/>
        <v>4</v>
      </c>
      <c r="G13" s="1" t="s">
        <v>276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5"/>
        <v>1</v>
      </c>
      <c r="K13" s="1">
        <f t="shared" si="5"/>
        <v>1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1312.5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5671.7476072314785</v>
      </c>
      <c r="N13" s="8">
        <f>IFERROR(VLOOKUP($G13,角色设定!$AB$9:$AJ$21,MATCH(N$9,角色设定!$AB$9:$AJ$9,0),0)*VLOOKUP($J13,角色成长!$D$17:$J$117,MATCH(N$9,角色成长!$D$17:$J$17,0),0)*角色成长!$L$15,"")</f>
        <v>750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0.8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4.0266666666666655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6">
        <f>IFERROR(VLOOKUP($G13,角色技能!$D:$M,MATCH(X$9,角色技能!$D$4:$M$4,0),0)*(1+$K13/100*(VLOOKUP($H13,技能模板!$D$13:$U$19,MATCH(技能模板!U$13,技能模板!$D$13:$U$13,0),0)-1)),"")</f>
        <v>0</v>
      </c>
      <c r="Z13" s="72"/>
      <c r="AA13" s="73"/>
      <c r="AB13" s="73"/>
      <c r="AC13" s="73"/>
      <c r="AD13" s="73"/>
      <c r="AE13" s="73"/>
      <c r="AF13" s="73"/>
      <c r="AG13" s="73"/>
      <c r="AH13" s="73"/>
      <c r="AI13" s="74"/>
    </row>
    <row r="14" spans="1:35" ht="14.25" customHeight="1" x14ac:dyDescent="0.2">
      <c r="D14" s="1" t="str">
        <f t="shared" si="2"/>
        <v/>
      </c>
      <c r="E14" s="1" t="str">
        <f t="shared" si="3"/>
        <v/>
      </c>
      <c r="F14" s="1" t="str">
        <f t="shared" si="4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5"/>
        <v/>
      </c>
      <c r="K14" s="1" t="str">
        <f t="shared" si="5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6" t="str">
        <f>IFERROR(VLOOKUP($G14,角色技能!$D:$M,MATCH(X$9,角色技能!$D$4:$M$4,0),0)*(1+$K14/100*(VLOOKUP($H14,技能模板!$D$13:$U$19,MATCH(技能模板!U$13,技能模板!$D$13:$U$13,0),0)-1)),"")</f>
        <v/>
      </c>
      <c r="Z14" s="72"/>
      <c r="AA14" s="73"/>
      <c r="AB14" s="73"/>
      <c r="AC14" s="73"/>
      <c r="AD14" s="73"/>
      <c r="AE14" s="73"/>
      <c r="AF14" s="73"/>
      <c r="AG14" s="73"/>
      <c r="AH14" s="73"/>
      <c r="AI14" s="74"/>
    </row>
    <row r="15" spans="1:35" ht="14.25" customHeight="1" x14ac:dyDescent="0.2">
      <c r="D15" s="1">
        <f t="shared" si="2"/>
        <v>3</v>
      </c>
      <c r="E15" s="1">
        <f t="shared" si="3"/>
        <v>2</v>
      </c>
      <c r="F15" s="1">
        <f t="shared" si="4"/>
        <v>6</v>
      </c>
      <c r="G15" s="1" t="s">
        <v>277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5"/>
        <v>1</v>
      </c>
      <c r="K15" s="1">
        <f t="shared" si="5"/>
        <v>1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960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6203.4739454094297</v>
      </c>
      <c r="N15" s="8">
        <f>IFERROR(VLOOKUP($G15,角色设定!$AB$9:$AJ$21,MATCH(N$9,角色设定!$AB$9:$AJ$9,0),0)*VLOOKUP($J15,角色成长!$D$17:$J$117,MATCH(N$9,角色成长!$D$17:$J$17,0),0)*角色成长!$L$15,"")</f>
        <v>750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</v>
      </c>
      <c r="R15" s="1">
        <f>IFERROR(VLOOKUP($G15,角色设定!$AB$9:$AJ$21,MATCH(R$9,角色设定!$AB$9:$AJ$9,0),0),"")</f>
        <v>0.8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5.0333333333333323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6">
        <f>IFERROR(VLOOKUP($G15,角色技能!$D:$M,MATCH(X$9,角色技能!$D$4:$M$4,0),0)*(1+$K15/100*(VLOOKUP($H15,技能模板!$D$13:$U$19,MATCH(技能模板!U$13,技能模板!$D$13:$U$13,0),0)-1)),"")</f>
        <v>0</v>
      </c>
      <c r="Z15" s="72"/>
      <c r="AA15" s="73"/>
      <c r="AB15" s="73"/>
      <c r="AC15" s="73"/>
      <c r="AD15" s="73"/>
      <c r="AE15" s="73"/>
      <c r="AF15" s="73"/>
      <c r="AG15" s="73"/>
      <c r="AH15" s="73"/>
      <c r="AI15" s="74"/>
    </row>
    <row r="16" spans="1:35" ht="14.25" customHeight="1" x14ac:dyDescent="0.2">
      <c r="D16" s="1" t="str">
        <f t="shared" si="2"/>
        <v/>
      </c>
      <c r="E16" s="1" t="str">
        <f t="shared" si="3"/>
        <v/>
      </c>
      <c r="F16" s="1" t="str">
        <f t="shared" si="4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5"/>
        <v/>
      </c>
      <c r="K16" s="1" t="str">
        <f t="shared" si="5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6" t="str">
        <f>IFERROR(VLOOKUP($G16,角色技能!$D:$M,MATCH(X$9,角色技能!$D$4:$M$4,0),0)*(1+$K16/100*(VLOOKUP($H16,技能模板!$D$13:$U$19,MATCH(技能模板!U$13,技能模板!$D$13:$U$13,0),0)-1)),"")</f>
        <v/>
      </c>
      <c r="Z16" s="72"/>
      <c r="AA16" s="73"/>
      <c r="AB16" s="73"/>
      <c r="AC16" s="73"/>
      <c r="AD16" s="73"/>
      <c r="AE16" s="73"/>
      <c r="AF16" s="73"/>
      <c r="AG16" s="73"/>
      <c r="AH16" s="73"/>
      <c r="AI16" s="74"/>
    </row>
    <row r="17" spans="1:35" ht="14.25" customHeight="1" x14ac:dyDescent="0.2">
      <c r="D17" s="1">
        <f t="shared" si="2"/>
        <v>2</v>
      </c>
      <c r="E17" s="1">
        <f t="shared" si="3"/>
        <v>1</v>
      </c>
      <c r="F17" s="1">
        <f t="shared" si="4"/>
        <v>8</v>
      </c>
      <c r="G17" s="1" t="s">
        <v>278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5"/>
        <v>1</v>
      </c>
      <c r="K17" s="1">
        <f t="shared" si="5"/>
        <v>1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405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8234.519104084322</v>
      </c>
      <c r="N17" s="8">
        <f>IFERROR(VLOOKUP($G17,角色设定!$AB$9:$AJ$21,MATCH(N$9,角色设定!$AB$9:$AJ$9,0),0)*VLOOKUP($J17,角色成长!$D$17:$J$117,MATCH(N$9,角色成长!$D$17:$J$17,0),0)*角色成长!$L$15,"")</f>
        <v>1200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1</v>
      </c>
      <c r="R17" s="1">
        <f>IFERROR(VLOOKUP($G17,角色设定!$AB$9:$AJ$21,MATCH(R$9,角色设定!$AB$9:$AJ$9,0),0),"")</f>
        <v>0.9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1.12020202020202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6">
        <f>IFERROR(VLOOKUP($G17,角色技能!$D:$M,MATCH(X$9,角色技能!$D$4:$M$4,0),0)*(1+$K17/100*(VLOOKUP($H17,技能模板!$D$13:$U$19,MATCH(技能模板!U$13,技能模板!$D$13:$U$13,0),0)-1)),"")</f>
        <v>0.87285924628914802</v>
      </c>
      <c r="Z17" s="72"/>
      <c r="AA17" s="73"/>
      <c r="AB17" s="73"/>
      <c r="AC17" s="73"/>
      <c r="AD17" s="73"/>
      <c r="AE17" s="73"/>
      <c r="AF17" s="73"/>
      <c r="AG17" s="73"/>
      <c r="AH17" s="73"/>
      <c r="AI17" s="74"/>
    </row>
    <row r="18" spans="1:35" ht="14.25" customHeight="1" x14ac:dyDescent="0.2">
      <c r="D18" s="1" t="str">
        <f t="shared" si="2"/>
        <v/>
      </c>
      <c r="E18" s="1" t="str">
        <f t="shared" si="3"/>
        <v/>
      </c>
      <c r="F18" s="1" t="str">
        <f t="shared" si="4"/>
        <v/>
      </c>
      <c r="H18" s="1" t="str">
        <f>IFERROR(VLOOKUP($G18,角色设定!$R:$S,2,0),"")</f>
        <v/>
      </c>
      <c r="I18" s="1" t="str">
        <f>IFERROR(VLOOKUP(H18,角色设定!$D$9:$E$15,2,0),"")</f>
        <v/>
      </c>
      <c r="J18" s="1" t="str">
        <f t="shared" si="5"/>
        <v/>
      </c>
      <c r="K18" s="1" t="str">
        <f t="shared" si="5"/>
        <v/>
      </c>
      <c r="L18" s="8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8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8" t="str">
        <f>IFERROR(VLOOKUP($G18,角色设定!$AB$9:$AJ$21,MATCH(N$9,角色设定!$AB$9:$AJ$9,0),0)*VLOOKUP($J18,角色成长!$D$17:$J$117,MATCH(N$9,角色成长!$D$17:$J$17,0),0)*角色成长!$L$15,"")</f>
        <v/>
      </c>
      <c r="O18" s="1" t="str">
        <f>IFERROR(VLOOKUP($G18,角色设定!$AB$9:$AJ$21,MATCH(O$9,角色设定!$AB$9:$AJ$9,0),0)*VLOOKUP($J18,角色成长!$D$17:$J$117,MATCH(O$9,角色成长!$D$17:$J$17,0),0),"")</f>
        <v/>
      </c>
      <c r="P18" s="1" t="str">
        <f>IFERROR(VLOOKUP($G18,角色设定!$AB$9:$AJ$21,MATCH(P$9,角色设定!$AB$9:$AJ$9,0),0)*VLOOKUP($J18,角色成长!$D$17:$J$117,MATCH(P$9,角色成长!$D$17:$J$17,0),0),"")</f>
        <v/>
      </c>
      <c r="Q18" s="1" t="str">
        <f>IFERROR(VLOOKUP($G18,角色设定!$AB$9:$AJ$21,MATCH(Q$9,角色设定!$AB$9:$AJ$9,0),0)*VLOOKUP($J18,角色成长!$D$17:$J$117,MATCH(Q$9,角色成长!$D$17:$J$17,0),0),"")</f>
        <v/>
      </c>
      <c r="R18" s="1" t="str">
        <f>IFERROR(VLOOKUP($G18,角色设定!$AB$9:$AJ$21,MATCH(R$9,角色设定!$AB$9:$AJ$9,0),0),"")</f>
        <v/>
      </c>
      <c r="S18" s="1" t="str">
        <f>IFERROR(VLOOKUP($G18,角色技能!$D:$M,MATCH(S$9,角色技能!$D$4:$M$4,0),0),"")</f>
        <v/>
      </c>
      <c r="T18" s="1" t="str">
        <f>IFERROR(VLOOKUP($G18,角色技能!$D:$M,MATCH(T$9,角色技能!$D$4:$M$4,0),0),"")</f>
        <v/>
      </c>
      <c r="U18" s="6" t="str">
        <f>IFERROR(VLOOKUP($G18,角色技能!$D:$M,MATCH(U$9,角色技能!$D$4:$M$4,0),0)*(1+$K18/100*(VLOOKUP($H18,技能模板!$D$13:$U$19,MATCH(技能模板!R$13,技能模板!$D$13:$U$13,0),0)-1)),"")</f>
        <v/>
      </c>
      <c r="V18" s="6" t="str">
        <f>IFERROR(VLOOKUP($G18,角色技能!$D:$M,MATCH(V$9,角色技能!$D$4:$M$4,0),0)*(1+$K18/100*(VLOOKUP($H18,技能模板!$D$13:$U$19,MATCH(技能模板!S$13,技能模板!$D$13:$U$13,0),0)-1)),"")</f>
        <v/>
      </c>
      <c r="W18" s="6" t="str">
        <f>IFERROR(VLOOKUP($G18,角色技能!$D:$M,MATCH(W$9,角色技能!$D$4:$M$4,0),0)*(1+$K18/100*(VLOOKUP($H18,技能模板!$D$13:$U$19,MATCH(技能模板!T$13,技能模板!$D$13:$U$13,0),0)-1)),"")</f>
        <v/>
      </c>
      <c r="X18" s="6" t="str">
        <f>IFERROR(VLOOKUP($G18,角色技能!$D:$M,MATCH(X$9,角色技能!$D$4:$M$4,0),0)*(1+$K18/100*(VLOOKUP($H18,技能模板!$D$13:$U$19,MATCH(技能模板!U$13,技能模板!$D$13:$U$13,0),0)-1)),"")</f>
        <v/>
      </c>
      <c r="Z18" s="72"/>
      <c r="AA18" s="73"/>
      <c r="AB18" s="73"/>
      <c r="AC18" s="73"/>
      <c r="AD18" s="73"/>
      <c r="AE18" s="73"/>
      <c r="AF18" s="73"/>
      <c r="AG18" s="73"/>
      <c r="AH18" s="73"/>
      <c r="AI18" s="74"/>
    </row>
    <row r="19" spans="1:35" ht="14.25" customHeight="1" x14ac:dyDescent="0.2">
      <c r="J19" s="3">
        <v>1</v>
      </c>
      <c r="K19" s="3">
        <v>1</v>
      </c>
      <c r="L19" s="8"/>
      <c r="M19" s="8"/>
      <c r="N19" s="8"/>
      <c r="S19" s="1">
        <v>0</v>
      </c>
      <c r="T19" s="1">
        <v>0</v>
      </c>
      <c r="U19" s="6"/>
      <c r="V19" s="1" t="s">
        <v>251</v>
      </c>
      <c r="W19" s="1" t="s">
        <v>252</v>
      </c>
      <c r="X19" s="1" t="s">
        <v>253</v>
      </c>
      <c r="Z19" s="72"/>
      <c r="AA19" s="73"/>
      <c r="AB19" s="73"/>
      <c r="AC19" s="73"/>
      <c r="AD19" s="73"/>
      <c r="AE19" s="73"/>
      <c r="AF19" s="73"/>
      <c r="AG19" s="73"/>
      <c r="AH19" s="73"/>
      <c r="AI19" s="74"/>
    </row>
    <row r="20" spans="1:35" ht="14.25" customHeight="1" x14ac:dyDescent="0.2">
      <c r="A20" s="4">
        <f>B20/(SUM(M21:M29)*$G$1)</f>
        <v>0</v>
      </c>
      <c r="B20" s="6">
        <v>0</v>
      </c>
      <c r="C20" s="1">
        <f>ROW(D21)</f>
        <v>21</v>
      </c>
      <c r="D20" s="1" t="s">
        <v>260</v>
      </c>
      <c r="E20" s="1" t="s">
        <v>261</v>
      </c>
      <c r="F20" s="1" t="s">
        <v>237</v>
      </c>
      <c r="G20" s="18" t="s">
        <v>157</v>
      </c>
      <c r="H20" s="1" t="s">
        <v>92</v>
      </c>
      <c r="I20" s="1" t="s">
        <v>93</v>
      </c>
      <c r="J20" s="18" t="s">
        <v>245</v>
      </c>
      <c r="K20" s="18" t="s">
        <v>246</v>
      </c>
      <c r="L20" s="1" t="s">
        <v>34</v>
      </c>
      <c r="M20" s="1" t="s">
        <v>213</v>
      </c>
      <c r="N20" s="1" t="s">
        <v>35</v>
      </c>
      <c r="O20" s="1" t="s">
        <v>146</v>
      </c>
      <c r="P20" s="1" t="s">
        <v>147</v>
      </c>
      <c r="Q20" s="1" t="s">
        <v>148</v>
      </c>
      <c r="R20" s="1" t="s">
        <v>176</v>
      </c>
      <c r="S20" s="1" t="s">
        <v>206</v>
      </c>
      <c r="T20" s="1" t="s">
        <v>279</v>
      </c>
      <c r="U20" s="1" t="s">
        <v>207</v>
      </c>
      <c r="V20" s="1" t="s">
        <v>208</v>
      </c>
      <c r="W20" s="1" t="s">
        <v>210</v>
      </c>
      <c r="X20" s="1" t="s">
        <v>243</v>
      </c>
      <c r="Z20" s="72"/>
      <c r="AA20" s="73"/>
      <c r="AB20" s="73"/>
      <c r="AC20" s="73"/>
      <c r="AD20" s="73"/>
      <c r="AE20" s="73"/>
      <c r="AF20" s="73"/>
      <c r="AG20" s="73"/>
      <c r="AH20" s="73"/>
      <c r="AI20" s="74"/>
    </row>
    <row r="21" spans="1:35" ht="14.25" customHeight="1" x14ac:dyDescent="0.2">
      <c r="C21" s="1">
        <f>COLUMN(D21)</f>
        <v>4</v>
      </c>
      <c r="D21" s="1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263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1</v>
      </c>
      <c r="K21" s="1">
        <f>IF($G21="","",K$19)</f>
        <v>1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506.25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16064.25702811245</v>
      </c>
      <c r="N21" s="8">
        <f>IFERROR(VLOOKUP($G21,角色设定!$AB$9:$AJ$21,MATCH(N$9,角色设定!$AB$9:$AJ$9,0),0)*VLOOKUP($J21,角色成长!$D$17:$J$117,MATCH(N$9,角色成长!$D$17:$J$17,0),0)*角色成长!$L$15,"")</f>
        <v>3749.9999999999995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1</v>
      </c>
      <c r="R21" s="1">
        <f>IFERROR(VLOOKUP($G21,角色设定!$AB$9:$AJ$21,MATCH(R$9,角色设定!$AB$9:$AJ$9,0),0),"")</f>
        <v>0.9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1.1202020202020202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0.90121153846153845</v>
      </c>
      <c r="X21" s="6">
        <f>IFERROR(VLOOKUP($G21,角色技能!$D:$M,MATCH(X$9,角色技能!$D$4:$M$4,0),0)*(1+$K21/100*(VLOOKUP($H21,技能模板!$D$13:$U$19,MATCH(技能模板!U$13,技能模板!$D$13:$U$13,0),0)-1)),"")</f>
        <v>0</v>
      </c>
      <c r="Z21" s="72"/>
      <c r="AA21" s="73"/>
      <c r="AB21" s="73"/>
      <c r="AC21" s="73"/>
      <c r="AD21" s="73"/>
      <c r="AE21" s="73"/>
      <c r="AF21" s="73"/>
      <c r="AG21" s="73"/>
      <c r="AH21" s="73"/>
      <c r="AI21" s="74"/>
    </row>
    <row r="22" spans="1:35" ht="14.25" customHeight="1" x14ac:dyDescent="0.2">
      <c r="C22" s="1">
        <f>ROW(X29)</f>
        <v>29</v>
      </c>
      <c r="D22" s="1" t="str">
        <f t="shared" ref="D22:D29" si="6">IFERROR(MOD(F22+3-1,3)+1,"")</f>
        <v/>
      </c>
      <c r="E22" s="1" t="str">
        <f t="shared" ref="E22:E29" si="7">IFERROR(INT((F22-1)/3)+5,"")</f>
        <v/>
      </c>
      <c r="F22" s="1" t="str">
        <f t="shared" ref="F22:F29" si="8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9">IF($G22="","",J$19)</f>
        <v/>
      </c>
      <c r="K22" s="1" t="str">
        <f t="shared" si="9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6" t="str">
        <f>IFERROR(VLOOKUP($G22,角色技能!$D:$M,MATCH(X$9,角色技能!$D$4:$M$4,0),0)*(1+$K22/100*(VLOOKUP($H22,技能模板!$D$13:$U$19,MATCH(技能模板!U$13,技能模板!$D$13:$U$13,0),0)-1)),"")</f>
        <v/>
      </c>
      <c r="Z22" s="72"/>
      <c r="AA22" s="73"/>
      <c r="AB22" s="73"/>
      <c r="AC22" s="73"/>
      <c r="AD22" s="73"/>
      <c r="AE22" s="73"/>
      <c r="AF22" s="73"/>
      <c r="AG22" s="73"/>
      <c r="AH22" s="73"/>
      <c r="AI22" s="74"/>
    </row>
    <row r="23" spans="1:35" ht="14.25" customHeight="1" x14ac:dyDescent="0.2">
      <c r="C23" s="1">
        <f>COLUMN(X28)</f>
        <v>24</v>
      </c>
      <c r="D23" s="1">
        <f t="shared" si="6"/>
        <v>3</v>
      </c>
      <c r="E23" s="1">
        <f t="shared" si="7"/>
        <v>5</v>
      </c>
      <c r="F23" s="1">
        <f t="shared" si="8"/>
        <v>3</v>
      </c>
      <c r="G23" s="1" t="s">
        <v>275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9"/>
        <v>1</v>
      </c>
      <c r="K23" s="1">
        <f t="shared" si="9"/>
        <v>1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562.5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14563.106796116504</v>
      </c>
      <c r="N23" s="8">
        <f>IFERROR(VLOOKUP($G23,角色设定!$AB$9:$AJ$21,MATCH(N$9,角色设定!$AB$9:$AJ$9,0),0)*VLOOKUP($J23,角色成长!$D$17:$J$117,MATCH(N$9,角色成长!$D$17:$J$17,0),0)*角色成长!$L$15,"")</f>
        <v>3000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1</v>
      </c>
      <c r="R23" s="1">
        <f>IFERROR(VLOOKUP($G23,角色设定!$AB$9:$AJ$21,MATCH(R$9,角色设定!$AB$9:$AJ$9,0),0),"")</f>
        <v>0.9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1.1202020202020202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0.90121153846153845</v>
      </c>
      <c r="X23" s="6">
        <f>IFERROR(VLOOKUP($G23,角色技能!$D:$M,MATCH(X$9,角色技能!$D$4:$M$4,0),0)*(1+$K23/100*(VLOOKUP($H23,技能模板!$D$13:$U$19,MATCH(技能模板!U$13,技能模板!$D$13:$U$13,0),0)-1)),"")</f>
        <v>0</v>
      </c>
      <c r="Z23" s="72"/>
      <c r="AA23" s="73"/>
      <c r="AB23" s="73"/>
      <c r="AC23" s="73"/>
      <c r="AD23" s="73"/>
      <c r="AE23" s="73"/>
      <c r="AF23" s="73"/>
      <c r="AG23" s="73"/>
      <c r="AH23" s="73"/>
      <c r="AI23" s="74"/>
    </row>
    <row r="24" spans="1:35" ht="14.25" customHeight="1" x14ac:dyDescent="0.2">
      <c r="D24" s="1">
        <f t="shared" si="6"/>
        <v>1</v>
      </c>
      <c r="E24" s="1">
        <f t="shared" si="7"/>
        <v>6</v>
      </c>
      <c r="F24" s="1">
        <f t="shared" si="8"/>
        <v>4</v>
      </c>
      <c r="G24" s="1" t="s">
        <v>275</v>
      </c>
      <c r="H24" s="1" t="str">
        <f>IFERROR(VLOOKUP($G24,角色设定!$R:$S,2,0),"")</f>
        <v>防御</v>
      </c>
      <c r="I24" s="1" t="str">
        <f>IFERROR(VLOOKUP(H24,角色设定!$D$9:$E$15,2,0),"")</f>
        <v>坦克</v>
      </c>
      <c r="J24" s="1">
        <f t="shared" si="9"/>
        <v>1</v>
      </c>
      <c r="K24" s="1">
        <f t="shared" si="9"/>
        <v>1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562.5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14563.106796116504</v>
      </c>
      <c r="N24" s="8">
        <f>IFERROR(VLOOKUP($G24,角色设定!$AB$9:$AJ$21,MATCH(N$9,角色设定!$AB$9:$AJ$9,0),0)*VLOOKUP($J24,角色成长!$D$17:$J$117,MATCH(N$9,角色成长!$D$17:$J$17,0),0)*角色成长!$L$15,"")</f>
        <v>3000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0.9</v>
      </c>
      <c r="S24" s="1">
        <f>IFERROR(VLOOKUP($G24,角色技能!$D:$M,MATCH(S$9,角色技能!$D$4:$M$4,0),0)*(1-$S$19),"")</f>
        <v>10</v>
      </c>
      <c r="T24" s="1">
        <f>IFERROR(VLOOKUP($G24,角色技能!$D:$M,MATCH(T$9,角色技能!$D$4:$M$4,0),0)*(1-$T$19),"")</f>
        <v>5</v>
      </c>
      <c r="U24" s="6">
        <f>IFERROR(VLOOKUP($G24,角色技能!$D:$M,MATCH(U$9,角色技能!$D$4:$M$4,0),0)*(1+$K24/100*(VLOOKUP($H24,技能模板!$D$13:$U$19,MATCH(技能模板!R$13,技能模板!$D$13:$U$13,0),0)-1)),"")</f>
        <v>1.1202020202020202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0.90121153846153845</v>
      </c>
      <c r="X24" s="6">
        <f>IFERROR(VLOOKUP($G24,角色技能!$D:$M,MATCH(X$9,角色技能!$D$4:$M$4,0),0)*(1+$K24/100*(VLOOKUP($H24,技能模板!$D$13:$U$19,MATCH(技能模板!U$13,技能模板!$D$13:$U$13,0),0)-1)),"")</f>
        <v>0</v>
      </c>
      <c r="Z24" s="72"/>
      <c r="AA24" s="73"/>
      <c r="AB24" s="73"/>
      <c r="AC24" s="73"/>
      <c r="AD24" s="73"/>
      <c r="AE24" s="73"/>
      <c r="AF24" s="73"/>
      <c r="AG24" s="73"/>
      <c r="AH24" s="73"/>
      <c r="AI24" s="74"/>
    </row>
    <row r="25" spans="1:35" ht="14.25" customHeight="1" x14ac:dyDescent="0.2">
      <c r="D25" s="1" t="str">
        <f t="shared" si="6"/>
        <v/>
      </c>
      <c r="E25" s="1" t="str">
        <f t="shared" si="7"/>
        <v/>
      </c>
      <c r="F25" s="1" t="str">
        <f t="shared" si="8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9"/>
        <v/>
      </c>
      <c r="K25" s="1" t="str">
        <f t="shared" si="9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6" t="str">
        <f>IFERROR(VLOOKUP($G25,角色技能!$D:$M,MATCH(X$9,角色技能!$D$4:$M$4,0),0)*(1+$K25/100*(VLOOKUP($H25,技能模板!$D$13:$U$19,MATCH(技能模板!U$13,技能模板!$D$13:$U$13,0),0)-1)),"")</f>
        <v/>
      </c>
      <c r="Z25" s="72"/>
      <c r="AA25" s="73"/>
      <c r="AB25" s="73"/>
      <c r="AC25" s="73"/>
      <c r="AD25" s="73"/>
      <c r="AE25" s="73"/>
      <c r="AF25" s="73"/>
      <c r="AG25" s="73"/>
      <c r="AH25" s="73"/>
      <c r="AI25" s="74"/>
    </row>
    <row r="26" spans="1:35" ht="14.25" customHeight="1" x14ac:dyDescent="0.2">
      <c r="D26" s="1">
        <f t="shared" si="6"/>
        <v>3</v>
      </c>
      <c r="E26" s="1">
        <f t="shared" si="7"/>
        <v>6</v>
      </c>
      <c r="F26" s="1">
        <f t="shared" si="8"/>
        <v>6</v>
      </c>
      <c r="G26" s="1" t="s">
        <v>275</v>
      </c>
      <c r="H26" s="1" t="str">
        <f>IFERROR(VLOOKUP($G26,角色设定!$R:$S,2,0),"")</f>
        <v>防御</v>
      </c>
      <c r="I26" s="1" t="str">
        <f>IFERROR(VLOOKUP(H26,角色设定!$D$9:$E$15,2,0),"")</f>
        <v>坦克</v>
      </c>
      <c r="J26" s="1">
        <f t="shared" si="9"/>
        <v>1</v>
      </c>
      <c r="K26" s="1">
        <f t="shared" si="9"/>
        <v>1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562.5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14563.106796116504</v>
      </c>
      <c r="N26" s="8">
        <f>IFERROR(VLOOKUP($G26,角色设定!$AB$9:$AJ$21,MATCH(N$9,角色设定!$AB$9:$AJ$9,0),0)*VLOOKUP($J26,角色成长!$D$17:$J$117,MATCH(N$9,角色成长!$D$17:$J$17,0),0)*角色成长!$L$15,"")</f>
        <v>3000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</v>
      </c>
      <c r="R26" s="1">
        <f>IFERROR(VLOOKUP($G26,角色设定!$AB$9:$AJ$21,MATCH(R$9,角色设定!$AB$9:$AJ$9,0),0),"")</f>
        <v>0.9</v>
      </c>
      <c r="S26" s="1">
        <f>IFERROR(VLOOKUP($G26,角色技能!$D:$M,MATCH(S$9,角色技能!$D$4:$M$4,0),0)*(1-$S$19),"")</f>
        <v>10</v>
      </c>
      <c r="T26" s="1">
        <f>IFERROR(VLOOKUP($G26,角色技能!$D:$M,MATCH(T$9,角色技能!$D$4:$M$4,0),0)*(1-$T$19),"")</f>
        <v>5</v>
      </c>
      <c r="U26" s="6">
        <f>IFERROR(VLOOKUP($G26,角色技能!$D:$M,MATCH(U$9,角色技能!$D$4:$M$4,0),0)*(1+$K26/100*(VLOOKUP($H26,技能模板!$D$13:$U$19,MATCH(技能模板!R$13,技能模板!$D$13:$U$13,0),0)-1)),"")</f>
        <v>1.1202020202020202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0.90121153846153845</v>
      </c>
      <c r="X26" s="6">
        <f>IFERROR(VLOOKUP($G26,角色技能!$D:$M,MATCH(X$9,角色技能!$D$4:$M$4,0),0)*(1+$K26/100*(VLOOKUP($H26,技能模板!$D$13:$U$19,MATCH(技能模板!U$13,技能模板!$D$13:$U$13,0),0)-1)),"")</f>
        <v>0</v>
      </c>
      <c r="Z26" s="72"/>
      <c r="AA26" s="73"/>
      <c r="AB26" s="73"/>
      <c r="AC26" s="73"/>
      <c r="AD26" s="73"/>
      <c r="AE26" s="73"/>
      <c r="AF26" s="73"/>
      <c r="AG26" s="73"/>
      <c r="AH26" s="73"/>
      <c r="AI26" s="74"/>
    </row>
    <row r="27" spans="1:35" ht="14.25" customHeight="1" x14ac:dyDescent="0.2">
      <c r="D27" s="1" t="str">
        <f t="shared" si="6"/>
        <v/>
      </c>
      <c r="E27" s="1" t="str">
        <f t="shared" si="7"/>
        <v/>
      </c>
      <c r="F27" s="1" t="str">
        <f t="shared" si="8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9"/>
        <v/>
      </c>
      <c r="K27" s="1" t="str">
        <f t="shared" si="9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6" t="str">
        <f>IFERROR(VLOOKUP($G27,角色技能!$D:$M,MATCH(X$9,角色技能!$D$4:$M$4,0),0)*(1+$K27/100*(VLOOKUP($H27,技能模板!$D$13:$U$19,MATCH(技能模板!U$13,技能模板!$D$13:$U$13,0),0)-1)),"")</f>
        <v/>
      </c>
      <c r="Z27" s="72"/>
      <c r="AA27" s="73"/>
      <c r="AB27" s="73"/>
      <c r="AC27" s="73"/>
      <c r="AD27" s="73"/>
      <c r="AE27" s="73"/>
      <c r="AF27" s="73"/>
      <c r="AG27" s="73"/>
      <c r="AH27" s="73"/>
      <c r="AI27" s="74"/>
    </row>
    <row r="28" spans="1:35" ht="14.25" customHeight="1" x14ac:dyDescent="0.2">
      <c r="D28" s="1">
        <f t="shared" si="6"/>
        <v>2</v>
      </c>
      <c r="E28" s="1">
        <f t="shared" si="7"/>
        <v>7</v>
      </c>
      <c r="F28" s="1">
        <f t="shared" si="8"/>
        <v>8</v>
      </c>
      <c r="G28" s="1" t="s">
        <v>275</v>
      </c>
      <c r="H28" s="1" t="str">
        <f>IFERROR(VLOOKUP($G28,角色设定!$R:$S,2,0),"")</f>
        <v>防御</v>
      </c>
      <c r="I28" s="1" t="str">
        <f>IFERROR(VLOOKUP(H28,角色设定!$D$9:$E$15,2,0),"")</f>
        <v>坦克</v>
      </c>
      <c r="J28" s="1">
        <f t="shared" si="9"/>
        <v>1</v>
      </c>
      <c r="K28" s="1">
        <f t="shared" si="9"/>
        <v>1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562.5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14563.106796116504</v>
      </c>
      <c r="N28" s="8">
        <f>IFERROR(VLOOKUP($G28,角色设定!$AB$9:$AJ$21,MATCH(N$9,角色设定!$AB$9:$AJ$9,0),0)*VLOOKUP($J28,角色成长!$D$17:$J$117,MATCH(N$9,角色成长!$D$17:$J$17,0),0)*角色成长!$L$15,"")</f>
        <v>3000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1</v>
      </c>
      <c r="R28" s="1">
        <f>IFERROR(VLOOKUP($G28,角色设定!$AB$9:$AJ$21,MATCH(R$9,角色设定!$AB$9:$AJ$9,0),0),"")</f>
        <v>0.9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1.1202020202020202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0.90121153846153845</v>
      </c>
      <c r="X28" s="6">
        <f>IFERROR(VLOOKUP($G28,角色技能!$D:$M,MATCH(X$9,角色技能!$D$4:$M$4,0),0)*(1+$K28/100*(VLOOKUP($H28,技能模板!$D$13:$U$19,MATCH(技能模板!U$13,技能模板!$D$13:$U$13,0),0)-1)),"")</f>
        <v>0</v>
      </c>
      <c r="Z28" s="72"/>
      <c r="AA28" s="73"/>
      <c r="AB28" s="73"/>
      <c r="AC28" s="73"/>
      <c r="AD28" s="73"/>
      <c r="AE28" s="73"/>
      <c r="AF28" s="73"/>
      <c r="AG28" s="73"/>
      <c r="AH28" s="73"/>
      <c r="AI28" s="74"/>
    </row>
    <row r="29" spans="1:35" ht="14.25" customHeight="1" x14ac:dyDescent="0.2">
      <c r="D29" s="1" t="str">
        <f t="shared" si="6"/>
        <v/>
      </c>
      <c r="E29" s="1" t="str">
        <f t="shared" si="7"/>
        <v/>
      </c>
      <c r="F29" s="1" t="str">
        <f t="shared" si="8"/>
        <v/>
      </c>
      <c r="H29" s="1" t="str">
        <f>IFERROR(VLOOKUP($G29,角色设定!$R:$S,2,0),"")</f>
        <v/>
      </c>
      <c r="I29" s="1" t="str">
        <f>IFERROR(VLOOKUP(H29,角色设定!$D$9:$E$15,2,0),"")</f>
        <v/>
      </c>
      <c r="J29" s="1" t="str">
        <f t="shared" si="9"/>
        <v/>
      </c>
      <c r="K29" s="1" t="str">
        <f t="shared" si="9"/>
        <v/>
      </c>
      <c r="L29" s="8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8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8" t="str">
        <f>IFERROR(VLOOKUP($G29,角色设定!$AB$9:$AJ$21,MATCH(N$9,角色设定!$AB$9:$AJ$9,0),0)*VLOOKUP($J29,角色成长!$D$17:$J$117,MATCH(N$9,角色成长!$D$17:$J$17,0),0)*角色成长!$L$15,"")</f>
        <v/>
      </c>
      <c r="O29" s="1" t="str">
        <f>IFERROR(VLOOKUP($G29,角色设定!$AB$9:$AJ$21,MATCH(O$9,角色设定!$AB$9:$AJ$9,0),0)*VLOOKUP($J29,角色成长!$D$17:$J$117,MATCH(O$9,角色成长!$D$17:$J$17,0),0),"")</f>
        <v/>
      </c>
      <c r="P29" s="1" t="str">
        <f>IFERROR(VLOOKUP($G29,角色设定!$AB$9:$AJ$21,MATCH(P$9,角色设定!$AB$9:$AJ$9,0),0)*VLOOKUP($J29,角色成长!$D$17:$J$117,MATCH(P$9,角色成长!$D$17:$J$17,0),0),"")</f>
        <v/>
      </c>
      <c r="Q29" s="1" t="str">
        <f>IFERROR(VLOOKUP($G29,角色设定!$AB$9:$AJ$21,MATCH(Q$9,角色设定!$AB$9:$AJ$9,0),0)*VLOOKUP($J29,角色成长!$D$17:$J$117,MATCH(Q$9,角色成长!$D$17:$J$17,0),0),"")</f>
        <v/>
      </c>
      <c r="R29" s="1" t="str">
        <f>IFERROR(VLOOKUP($G29,角色设定!$AB$9:$AJ$21,MATCH(R$9,角色设定!$AB$9:$AJ$9,0),0),"")</f>
        <v/>
      </c>
      <c r="S29" s="1" t="str">
        <f>IFERROR(VLOOKUP($G29,角色技能!$D:$M,MATCH(S$9,角色技能!$D$4:$M$4,0),0)*(1-$S$19),"")</f>
        <v/>
      </c>
      <c r="T29" s="1" t="str">
        <f>IFERROR(VLOOKUP($G29,角色技能!$D:$M,MATCH(T$9,角色技能!$D$4:$M$4,0),0),"")</f>
        <v/>
      </c>
      <c r="U29" s="6" t="str">
        <f>IFERROR(VLOOKUP($G29,角色技能!$D:$M,MATCH(U$9,角色技能!$D$4:$M$4,0),0)*(1+$K29/100*(VLOOKUP($H29,技能模板!$D$13:$U$19,MATCH(技能模板!R$13,技能模板!$D$13:$U$13,0),0)-1)),"")</f>
        <v/>
      </c>
      <c r="V29" s="6" t="str">
        <f>IFERROR(VLOOKUP($G29,角色技能!$D:$M,MATCH(V$9,角色技能!$D$4:$M$4,0),0)*(1+$K29/100*(VLOOKUP($H29,技能模板!$D$13:$U$19,MATCH(技能模板!S$13,技能模板!$D$13:$U$13,0),0)-1)),"")</f>
        <v/>
      </c>
      <c r="W29" s="6" t="str">
        <f>IFERROR(VLOOKUP($G29,角色技能!$D:$M,MATCH(W$9,角色技能!$D$4:$M$4,0),0)*(1+$K29/100*(VLOOKUP($H29,技能模板!$D$13:$U$19,MATCH(技能模板!T$13,技能模板!$D$13:$U$13,0),0)-1)),"")</f>
        <v/>
      </c>
      <c r="X29" s="6" t="str">
        <f>IFERROR(VLOOKUP($G29,角色技能!$D:$M,MATCH(X$9,角色技能!$D$4:$M$4,0),0)*(1+$K29/100*(VLOOKUP($H29,技能模板!$D$13:$U$19,MATCH(技能模板!U$13,技能模板!$D$13:$U$13,0),0)-1)),"")</f>
        <v/>
      </c>
      <c r="Z29" s="72"/>
      <c r="AA29" s="73"/>
      <c r="AB29" s="73"/>
      <c r="AC29" s="73"/>
      <c r="AD29" s="73"/>
      <c r="AE29" s="73"/>
      <c r="AF29" s="73"/>
      <c r="AG29" s="73"/>
      <c r="AH29" s="73"/>
      <c r="AI29" s="74"/>
    </row>
    <row r="30" spans="1:35" ht="14.25" customHeight="1" x14ac:dyDescent="0.2">
      <c r="Z30" s="72"/>
      <c r="AA30" s="73"/>
      <c r="AB30" s="73"/>
      <c r="AC30" s="73"/>
      <c r="AD30" s="73"/>
      <c r="AE30" s="73"/>
      <c r="AF30" s="73"/>
      <c r="AG30" s="73"/>
      <c r="AH30" s="73"/>
      <c r="AI30" s="74"/>
    </row>
    <row r="31" spans="1:35" ht="14.25" customHeight="1" x14ac:dyDescent="0.2">
      <c r="D31" s="2" t="s">
        <v>254</v>
      </c>
      <c r="Z31" s="72"/>
      <c r="AA31" s="73"/>
      <c r="AB31" s="73"/>
      <c r="AC31" s="73"/>
      <c r="AD31" s="73"/>
      <c r="AE31" s="73"/>
      <c r="AF31" s="73"/>
      <c r="AG31" s="73"/>
      <c r="AH31" s="73"/>
      <c r="AI31" s="74"/>
    </row>
    <row r="32" spans="1:35" ht="14.25" customHeight="1" x14ac:dyDescent="0.2">
      <c r="D32" s="2" t="s">
        <v>256</v>
      </c>
      <c r="M32" s="1" t="s">
        <v>257</v>
      </c>
      <c r="Z32" s="72"/>
      <c r="AA32" s="73"/>
      <c r="AB32" s="73"/>
      <c r="AC32" s="73"/>
      <c r="AD32" s="73"/>
      <c r="AE32" s="73"/>
      <c r="AF32" s="73"/>
      <c r="AG32" s="73"/>
      <c r="AH32" s="73"/>
      <c r="AI32" s="74"/>
    </row>
    <row r="33" spans="4:35" ht="14.25" customHeight="1" x14ac:dyDescent="0.2">
      <c r="D33" s="2" t="s">
        <v>255</v>
      </c>
      <c r="Z33" s="72"/>
      <c r="AA33" s="73"/>
      <c r="AB33" s="73"/>
      <c r="AC33" s="73"/>
      <c r="AD33" s="73"/>
      <c r="AE33" s="73"/>
      <c r="AF33" s="73"/>
      <c r="AG33" s="73"/>
      <c r="AH33" s="73"/>
      <c r="AI33" s="74"/>
    </row>
    <row r="34" spans="4:35" ht="14.25" customHeight="1" x14ac:dyDescent="0.2">
      <c r="D34" s="2" t="s">
        <v>262</v>
      </c>
      <c r="Z34" s="72"/>
      <c r="AA34" s="73"/>
      <c r="AB34" s="73"/>
      <c r="AC34" s="73"/>
      <c r="AD34" s="73"/>
      <c r="AE34" s="73"/>
      <c r="AF34" s="73"/>
      <c r="AG34" s="73"/>
      <c r="AH34" s="73"/>
      <c r="AI34" s="74"/>
    </row>
    <row r="35" spans="4:35" ht="14.25" customHeight="1" x14ac:dyDescent="0.2">
      <c r="Z35" s="72"/>
      <c r="AA35" s="73"/>
      <c r="AB35" s="73"/>
      <c r="AC35" s="73"/>
      <c r="AD35" s="73"/>
      <c r="AE35" s="73"/>
      <c r="AF35" s="73"/>
      <c r="AG35" s="73"/>
      <c r="AH35" s="73"/>
      <c r="AI35" s="74"/>
    </row>
    <row r="36" spans="4:35" ht="14.25" customHeight="1" x14ac:dyDescent="0.2">
      <c r="Z36" s="72"/>
      <c r="AA36" s="73"/>
      <c r="AB36" s="73"/>
      <c r="AC36" s="73"/>
      <c r="AD36" s="73"/>
      <c r="AE36" s="73"/>
      <c r="AF36" s="73"/>
      <c r="AG36" s="73"/>
      <c r="AH36" s="73"/>
      <c r="AI36" s="74"/>
    </row>
    <row r="37" spans="4:35" ht="14.25" customHeight="1" x14ac:dyDescent="0.2">
      <c r="Z37" s="72"/>
      <c r="AA37" s="73"/>
      <c r="AB37" s="73"/>
      <c r="AC37" s="73"/>
      <c r="AD37" s="73"/>
      <c r="AE37" s="73"/>
      <c r="AF37" s="73"/>
      <c r="AG37" s="73"/>
      <c r="AH37" s="73"/>
      <c r="AI37" s="74"/>
    </row>
    <row r="38" spans="4:35" ht="14.25" customHeight="1" x14ac:dyDescent="0.2">
      <c r="Z38" s="72"/>
      <c r="AA38" s="73"/>
      <c r="AB38" s="73"/>
      <c r="AC38" s="73"/>
      <c r="AD38" s="73"/>
      <c r="AE38" s="73"/>
      <c r="AF38" s="73"/>
      <c r="AG38" s="73"/>
      <c r="AH38" s="73"/>
      <c r="AI38" s="74"/>
    </row>
    <row r="39" spans="4:35" ht="14.25" customHeight="1" x14ac:dyDescent="0.2">
      <c r="Z39" s="72"/>
      <c r="AA39" s="73"/>
      <c r="AB39" s="73"/>
      <c r="AC39" s="73"/>
      <c r="AD39" s="73"/>
      <c r="AE39" s="73"/>
      <c r="AF39" s="73"/>
      <c r="AG39" s="73"/>
      <c r="AH39" s="73"/>
      <c r="AI39" s="74"/>
    </row>
    <row r="40" spans="4:35" ht="14.25" customHeight="1" x14ac:dyDescent="0.2">
      <c r="Z40" s="72"/>
      <c r="AA40" s="73"/>
      <c r="AB40" s="73"/>
      <c r="AC40" s="73"/>
      <c r="AD40" s="73"/>
      <c r="AE40" s="73"/>
      <c r="AF40" s="73"/>
      <c r="AG40" s="73"/>
      <c r="AH40" s="73"/>
      <c r="AI40" s="74"/>
    </row>
    <row r="41" spans="4:35" ht="14.25" customHeight="1" x14ac:dyDescent="0.2">
      <c r="Z41" s="72"/>
      <c r="AA41" s="73"/>
      <c r="AB41" s="73"/>
      <c r="AC41" s="73"/>
      <c r="AD41" s="73"/>
      <c r="AE41" s="73"/>
      <c r="AF41" s="73"/>
      <c r="AG41" s="73"/>
      <c r="AH41" s="73"/>
      <c r="AI41" s="74"/>
    </row>
    <row r="42" spans="4:35" ht="14.25" customHeight="1" x14ac:dyDescent="0.2">
      <c r="Z42" s="72"/>
      <c r="AA42" s="73"/>
      <c r="AB42" s="73"/>
      <c r="AC42" s="73"/>
      <c r="AD42" s="73"/>
      <c r="AE42" s="73"/>
      <c r="AF42" s="73"/>
      <c r="AG42" s="73"/>
      <c r="AH42" s="73"/>
      <c r="AI42" s="74"/>
    </row>
    <row r="43" spans="4:35" ht="14.25" customHeight="1" x14ac:dyDescent="0.2">
      <c r="Z43" s="72"/>
      <c r="AA43" s="73"/>
      <c r="AB43" s="73"/>
      <c r="AC43" s="73"/>
      <c r="AD43" s="73"/>
      <c r="AE43" s="73"/>
      <c r="AF43" s="73"/>
      <c r="AG43" s="73"/>
      <c r="AH43" s="73"/>
      <c r="AI43" s="74"/>
    </row>
    <row r="44" spans="4:35" ht="14.25" customHeight="1" x14ac:dyDescent="0.2">
      <c r="Z44" s="72"/>
      <c r="AA44" s="73"/>
      <c r="AB44" s="73"/>
      <c r="AC44" s="73"/>
      <c r="AD44" s="73"/>
      <c r="AE44" s="73"/>
      <c r="AF44" s="73"/>
      <c r="AG44" s="73"/>
      <c r="AH44" s="73"/>
      <c r="AI44" s="74"/>
    </row>
    <row r="45" spans="4:35" ht="14.25" customHeight="1" x14ac:dyDescent="0.2">
      <c r="Z45" s="72"/>
      <c r="AA45" s="73"/>
      <c r="AB45" s="73"/>
      <c r="AC45" s="73"/>
      <c r="AD45" s="73"/>
      <c r="AE45" s="73"/>
      <c r="AF45" s="73"/>
      <c r="AG45" s="73"/>
      <c r="AH45" s="73"/>
      <c r="AI45" s="74"/>
    </row>
    <row r="46" spans="4:35" ht="14.25" customHeight="1" x14ac:dyDescent="0.2">
      <c r="Z46" s="72"/>
      <c r="AA46" s="73"/>
      <c r="AB46" s="73"/>
      <c r="AC46" s="73"/>
      <c r="AD46" s="73"/>
      <c r="AE46" s="73"/>
      <c r="AF46" s="73"/>
      <c r="AG46" s="73"/>
      <c r="AH46" s="73"/>
      <c r="AI46" s="74"/>
    </row>
    <row r="47" spans="4:35" ht="14.25" customHeight="1" x14ac:dyDescent="0.2">
      <c r="Z47" s="72"/>
      <c r="AA47" s="73"/>
      <c r="AB47" s="73"/>
      <c r="AC47" s="73"/>
      <c r="AD47" s="73"/>
      <c r="AE47" s="73"/>
      <c r="AF47" s="73"/>
      <c r="AG47" s="73"/>
      <c r="AH47" s="73"/>
      <c r="AI47" s="74"/>
    </row>
    <row r="48" spans="4:35" ht="14.25" customHeight="1" x14ac:dyDescent="0.2">
      <c r="Z48" s="72"/>
      <c r="AA48" s="73"/>
      <c r="AB48" s="73"/>
      <c r="AC48" s="73"/>
      <c r="AD48" s="73"/>
      <c r="AE48" s="73"/>
      <c r="AF48" s="73"/>
      <c r="AG48" s="73"/>
      <c r="AH48" s="73"/>
      <c r="AI48" s="74"/>
    </row>
    <row r="49" spans="26:35" ht="14.25" customHeight="1" x14ac:dyDescent="0.2">
      <c r="Z49" s="72"/>
      <c r="AA49" s="73"/>
      <c r="AB49" s="73"/>
      <c r="AC49" s="73"/>
      <c r="AD49" s="73"/>
      <c r="AE49" s="73"/>
      <c r="AF49" s="73"/>
      <c r="AG49" s="73"/>
      <c r="AH49" s="73"/>
      <c r="AI49" s="74"/>
    </row>
    <row r="50" spans="26:35" ht="14.25" customHeight="1" x14ac:dyDescent="0.2">
      <c r="Z50" s="72"/>
      <c r="AA50" s="73"/>
      <c r="AB50" s="73"/>
      <c r="AC50" s="73"/>
      <c r="AD50" s="73"/>
      <c r="AE50" s="73"/>
      <c r="AF50" s="73"/>
      <c r="AG50" s="73"/>
      <c r="AH50" s="73"/>
      <c r="AI50" s="74"/>
    </row>
    <row r="51" spans="26:35" ht="14.25" customHeight="1" x14ac:dyDescent="0.2">
      <c r="Z51" s="72"/>
      <c r="AA51" s="73"/>
      <c r="AB51" s="73"/>
      <c r="AC51" s="73"/>
      <c r="AD51" s="73"/>
      <c r="AE51" s="73"/>
      <c r="AF51" s="73"/>
      <c r="AG51" s="73"/>
      <c r="AH51" s="73"/>
      <c r="AI51" s="74"/>
    </row>
    <row r="52" spans="26:35" ht="14.25" customHeight="1" x14ac:dyDescent="0.2">
      <c r="Z52" s="72"/>
      <c r="AA52" s="73"/>
      <c r="AB52" s="73"/>
      <c r="AC52" s="73"/>
      <c r="AD52" s="73"/>
      <c r="AE52" s="73"/>
      <c r="AF52" s="73"/>
      <c r="AG52" s="73"/>
      <c r="AH52" s="73"/>
      <c r="AI52" s="74"/>
    </row>
    <row r="53" spans="26:35" ht="14.25" customHeight="1" x14ac:dyDescent="0.2">
      <c r="Z53" s="72"/>
      <c r="AA53" s="73"/>
      <c r="AB53" s="73"/>
      <c r="AC53" s="73"/>
      <c r="AD53" s="73"/>
      <c r="AE53" s="73"/>
      <c r="AF53" s="73"/>
      <c r="AG53" s="73"/>
      <c r="AH53" s="73"/>
      <c r="AI53" s="74"/>
    </row>
    <row r="54" spans="26:35" ht="14.25" customHeight="1" x14ac:dyDescent="0.2">
      <c r="Z54" s="72"/>
      <c r="AA54" s="73"/>
      <c r="AB54" s="73"/>
      <c r="AC54" s="73"/>
      <c r="AD54" s="73"/>
      <c r="AE54" s="73"/>
      <c r="AF54" s="73"/>
      <c r="AG54" s="73"/>
      <c r="AH54" s="73"/>
      <c r="AI54" s="74"/>
    </row>
    <row r="55" spans="26:35" ht="14.25" customHeight="1" x14ac:dyDescent="0.2">
      <c r="Z55" s="72"/>
      <c r="AA55" s="73"/>
      <c r="AB55" s="73"/>
      <c r="AC55" s="73"/>
      <c r="AD55" s="73"/>
      <c r="AE55" s="73"/>
      <c r="AF55" s="73"/>
      <c r="AG55" s="73"/>
      <c r="AH55" s="73"/>
      <c r="AI55" s="74"/>
    </row>
    <row r="56" spans="26:35" ht="14.25" customHeight="1" x14ac:dyDescent="0.2">
      <c r="Z56" s="72"/>
      <c r="AA56" s="73"/>
      <c r="AB56" s="73"/>
      <c r="AC56" s="73"/>
      <c r="AD56" s="73"/>
      <c r="AE56" s="73"/>
      <c r="AF56" s="73"/>
      <c r="AG56" s="73"/>
      <c r="AH56" s="73"/>
      <c r="AI56" s="74"/>
    </row>
    <row r="57" spans="26:35" ht="14.25" customHeight="1" x14ac:dyDescent="0.2">
      <c r="Z57" s="72"/>
      <c r="AA57" s="73"/>
      <c r="AB57" s="73"/>
      <c r="AC57" s="73"/>
      <c r="AD57" s="73"/>
      <c r="AE57" s="73"/>
      <c r="AF57" s="73"/>
      <c r="AG57" s="73"/>
      <c r="AH57" s="73"/>
      <c r="AI57" s="74"/>
    </row>
    <row r="58" spans="26:35" ht="14.25" customHeight="1" x14ac:dyDescent="0.2">
      <c r="Z58" s="72"/>
      <c r="AA58" s="73"/>
      <c r="AB58" s="73"/>
      <c r="AC58" s="73"/>
      <c r="AD58" s="73"/>
      <c r="AE58" s="73"/>
      <c r="AF58" s="73"/>
      <c r="AG58" s="73"/>
      <c r="AH58" s="73"/>
      <c r="AI58" s="74"/>
    </row>
    <row r="59" spans="26:35" ht="14.25" customHeight="1" x14ac:dyDescent="0.2">
      <c r="Z59" s="72"/>
      <c r="AA59" s="73"/>
      <c r="AB59" s="73"/>
      <c r="AC59" s="73"/>
      <c r="AD59" s="73"/>
      <c r="AE59" s="73"/>
      <c r="AF59" s="73"/>
      <c r="AG59" s="73"/>
      <c r="AH59" s="73"/>
      <c r="AI59" s="74"/>
    </row>
    <row r="60" spans="26:35" ht="14.25" customHeight="1" x14ac:dyDescent="0.2">
      <c r="Z60" s="72"/>
      <c r="AA60" s="73"/>
      <c r="AB60" s="73"/>
      <c r="AC60" s="73"/>
      <c r="AD60" s="73"/>
      <c r="AE60" s="73"/>
      <c r="AF60" s="73"/>
      <c r="AG60" s="73"/>
      <c r="AH60" s="73"/>
      <c r="AI60" s="74"/>
    </row>
    <row r="61" spans="26:35" ht="14.25" customHeight="1" x14ac:dyDescent="0.2">
      <c r="Z61" s="72"/>
      <c r="AA61" s="73"/>
      <c r="AB61" s="73"/>
      <c r="AC61" s="73"/>
      <c r="AD61" s="73"/>
      <c r="AE61" s="73"/>
      <c r="AF61" s="73"/>
      <c r="AG61" s="73"/>
      <c r="AH61" s="73"/>
      <c r="AI61" s="74"/>
    </row>
    <row r="62" spans="26:35" ht="14.25" customHeight="1" x14ac:dyDescent="0.2">
      <c r="Z62" s="72"/>
      <c r="AA62" s="73"/>
      <c r="AB62" s="73"/>
      <c r="AC62" s="73"/>
      <c r="AD62" s="73"/>
      <c r="AE62" s="73"/>
      <c r="AF62" s="73"/>
      <c r="AG62" s="73"/>
      <c r="AH62" s="73"/>
      <c r="AI62" s="74"/>
    </row>
    <row r="63" spans="26:35" ht="14.25" customHeight="1" x14ac:dyDescent="0.2">
      <c r="Z63" s="72"/>
      <c r="AA63" s="73"/>
      <c r="AB63" s="73"/>
      <c r="AC63" s="73"/>
      <c r="AD63" s="73"/>
      <c r="AE63" s="73"/>
      <c r="AF63" s="73"/>
      <c r="AG63" s="73"/>
      <c r="AH63" s="73"/>
      <c r="AI63" s="74"/>
    </row>
    <row r="64" spans="26:35" ht="14.25" customHeight="1" x14ac:dyDescent="0.2">
      <c r="Z64" s="72"/>
      <c r="AA64" s="73"/>
      <c r="AB64" s="73"/>
      <c r="AC64" s="73"/>
      <c r="AD64" s="73"/>
      <c r="AE64" s="73"/>
      <c r="AF64" s="73"/>
      <c r="AG64" s="73"/>
      <c r="AH64" s="73"/>
      <c r="AI64" s="74"/>
    </row>
    <row r="65" spans="26:35" ht="14.25" customHeight="1" x14ac:dyDescent="0.2">
      <c r="Z65" s="72"/>
      <c r="AA65" s="73"/>
      <c r="AB65" s="73"/>
      <c r="AC65" s="73"/>
      <c r="AD65" s="73"/>
      <c r="AE65" s="73"/>
      <c r="AF65" s="73"/>
      <c r="AG65" s="73"/>
      <c r="AH65" s="73"/>
      <c r="AI65" s="74"/>
    </row>
    <row r="66" spans="26:35" ht="14.25" customHeight="1" x14ac:dyDescent="0.2">
      <c r="Z66" s="72"/>
      <c r="AA66" s="73"/>
      <c r="AB66" s="73"/>
      <c r="AC66" s="73"/>
      <c r="AD66" s="73"/>
      <c r="AE66" s="73"/>
      <c r="AF66" s="73"/>
      <c r="AG66" s="73"/>
      <c r="AH66" s="73"/>
      <c r="AI66" s="74"/>
    </row>
    <row r="67" spans="26:35" ht="14.25" customHeight="1" x14ac:dyDescent="0.2">
      <c r="Z67" s="72"/>
      <c r="AA67" s="73"/>
      <c r="AB67" s="73"/>
      <c r="AC67" s="73"/>
      <c r="AD67" s="73"/>
      <c r="AE67" s="73"/>
      <c r="AF67" s="73"/>
      <c r="AG67" s="73"/>
      <c r="AH67" s="73"/>
      <c r="AI67" s="74"/>
    </row>
    <row r="68" spans="26:35" ht="14.25" customHeight="1" x14ac:dyDescent="0.2">
      <c r="Z68" s="72"/>
      <c r="AA68" s="73"/>
      <c r="AB68" s="73"/>
      <c r="AC68" s="73"/>
      <c r="AD68" s="73"/>
      <c r="AE68" s="73"/>
      <c r="AF68" s="73"/>
      <c r="AG68" s="73"/>
      <c r="AH68" s="73"/>
      <c r="AI68" s="74"/>
    </row>
    <row r="69" spans="26:35" ht="14.25" customHeight="1" x14ac:dyDescent="0.2">
      <c r="Z69" s="72"/>
      <c r="AA69" s="73"/>
      <c r="AB69" s="73"/>
      <c r="AC69" s="73"/>
      <c r="AD69" s="73"/>
      <c r="AE69" s="73"/>
      <c r="AF69" s="73"/>
      <c r="AG69" s="73"/>
      <c r="AH69" s="73"/>
      <c r="AI69" s="74"/>
    </row>
    <row r="70" spans="26:35" ht="14.25" customHeight="1" x14ac:dyDescent="0.2">
      <c r="Z70" s="72"/>
      <c r="AA70" s="73"/>
      <c r="AB70" s="73"/>
      <c r="AC70" s="73"/>
      <c r="AD70" s="73"/>
      <c r="AE70" s="73"/>
      <c r="AF70" s="73"/>
      <c r="AG70" s="73"/>
      <c r="AH70" s="73"/>
      <c r="AI70" s="74"/>
    </row>
    <row r="71" spans="26:35" ht="14.25" customHeight="1" x14ac:dyDescent="0.2">
      <c r="Z71" s="72"/>
      <c r="AA71" s="73"/>
      <c r="AB71" s="73"/>
      <c r="AC71" s="73"/>
      <c r="AD71" s="73"/>
      <c r="AE71" s="73"/>
      <c r="AF71" s="73"/>
      <c r="AG71" s="73"/>
      <c r="AH71" s="73"/>
      <c r="AI71" s="74"/>
    </row>
    <row r="72" spans="26:35" ht="14.25" customHeight="1" x14ac:dyDescent="0.2">
      <c r="Z72" s="72"/>
      <c r="AA72" s="73"/>
      <c r="AB72" s="73"/>
      <c r="AC72" s="73"/>
      <c r="AD72" s="73"/>
      <c r="AE72" s="73"/>
      <c r="AF72" s="73"/>
      <c r="AG72" s="73"/>
      <c r="AH72" s="73"/>
      <c r="AI72" s="74"/>
    </row>
    <row r="73" spans="26:35" ht="14.25" customHeight="1" x14ac:dyDescent="0.2">
      <c r="Z73" s="72"/>
      <c r="AA73" s="73"/>
      <c r="AB73" s="73"/>
      <c r="AC73" s="73"/>
      <c r="AD73" s="73"/>
      <c r="AE73" s="73"/>
      <c r="AF73" s="73"/>
      <c r="AG73" s="73"/>
      <c r="AH73" s="73"/>
      <c r="AI73" s="74"/>
    </row>
    <row r="74" spans="26:35" ht="14.25" customHeight="1" x14ac:dyDescent="0.2">
      <c r="Z74" s="72"/>
      <c r="AA74" s="73"/>
      <c r="AB74" s="73"/>
      <c r="AC74" s="73"/>
      <c r="AD74" s="73"/>
      <c r="AE74" s="73"/>
      <c r="AF74" s="73"/>
      <c r="AG74" s="73"/>
      <c r="AH74" s="73"/>
      <c r="AI74" s="74"/>
    </row>
    <row r="75" spans="26:35" ht="14.25" customHeight="1" x14ac:dyDescent="0.2">
      <c r="Z75" s="72"/>
      <c r="AA75" s="73"/>
      <c r="AB75" s="73"/>
      <c r="AC75" s="73"/>
      <c r="AD75" s="73"/>
      <c r="AE75" s="73"/>
      <c r="AF75" s="73"/>
      <c r="AG75" s="73"/>
      <c r="AH75" s="73"/>
      <c r="AI75" s="74"/>
    </row>
    <row r="76" spans="26:35" ht="14.25" customHeight="1" x14ac:dyDescent="0.2">
      <c r="Z76" s="72"/>
      <c r="AA76" s="73"/>
      <c r="AB76" s="73"/>
      <c r="AC76" s="73"/>
      <c r="AD76" s="73"/>
      <c r="AE76" s="73"/>
      <c r="AF76" s="73"/>
      <c r="AG76" s="73"/>
      <c r="AH76" s="73"/>
      <c r="AI76" s="74"/>
    </row>
    <row r="77" spans="26:35" ht="14.25" customHeight="1" x14ac:dyDescent="0.2">
      <c r="Z77" s="72"/>
      <c r="AA77" s="73"/>
      <c r="AB77" s="73"/>
      <c r="AC77" s="73"/>
      <c r="AD77" s="73"/>
      <c r="AE77" s="73"/>
      <c r="AF77" s="73"/>
      <c r="AG77" s="73"/>
      <c r="AH77" s="73"/>
      <c r="AI77" s="74"/>
    </row>
    <row r="78" spans="26:35" ht="14.25" customHeight="1" x14ac:dyDescent="0.2">
      <c r="Z78" s="72"/>
      <c r="AA78" s="73"/>
      <c r="AB78" s="73"/>
      <c r="AC78" s="73"/>
      <c r="AD78" s="73"/>
      <c r="AE78" s="73"/>
      <c r="AF78" s="73"/>
      <c r="AG78" s="73"/>
      <c r="AH78" s="73"/>
      <c r="AI78" s="74"/>
    </row>
    <row r="79" spans="26:35" ht="14.25" customHeight="1" x14ac:dyDescent="0.2">
      <c r="Z79" s="72"/>
      <c r="AA79" s="73"/>
      <c r="AB79" s="73"/>
      <c r="AC79" s="73"/>
      <c r="AD79" s="73"/>
      <c r="AE79" s="73"/>
      <c r="AF79" s="73"/>
      <c r="AG79" s="73"/>
      <c r="AH79" s="73"/>
      <c r="AI79" s="74"/>
    </row>
    <row r="80" spans="26:35" ht="14.25" customHeight="1" x14ac:dyDescent="0.2">
      <c r="Z80" s="72"/>
      <c r="AA80" s="73"/>
      <c r="AB80" s="73"/>
      <c r="AC80" s="73"/>
      <c r="AD80" s="73"/>
      <c r="AE80" s="73"/>
      <c r="AF80" s="73"/>
      <c r="AG80" s="73"/>
      <c r="AH80" s="73"/>
      <c r="AI80" s="74"/>
    </row>
    <row r="81" spans="26:35" ht="14.25" customHeight="1" x14ac:dyDescent="0.2">
      <c r="Z81" s="72"/>
      <c r="AA81" s="73"/>
      <c r="AB81" s="73"/>
      <c r="AC81" s="73"/>
      <c r="AD81" s="73"/>
      <c r="AE81" s="73"/>
      <c r="AF81" s="73"/>
      <c r="AG81" s="73"/>
      <c r="AH81" s="73"/>
      <c r="AI81" s="74"/>
    </row>
    <row r="82" spans="26:35" ht="14.25" customHeight="1" x14ac:dyDescent="0.2">
      <c r="Z82" s="72"/>
      <c r="AA82" s="73"/>
      <c r="AB82" s="73"/>
      <c r="AC82" s="73"/>
      <c r="AD82" s="73"/>
      <c r="AE82" s="73"/>
      <c r="AF82" s="73"/>
      <c r="AG82" s="73"/>
      <c r="AH82" s="73"/>
      <c r="AI82" s="74"/>
    </row>
    <row r="83" spans="26:35" ht="14.25" customHeight="1" x14ac:dyDescent="0.2">
      <c r="Z83" s="72"/>
      <c r="AA83" s="73"/>
      <c r="AB83" s="73"/>
      <c r="AC83" s="73"/>
      <c r="AD83" s="73"/>
      <c r="AE83" s="73"/>
      <c r="AF83" s="73"/>
      <c r="AG83" s="73"/>
      <c r="AH83" s="73"/>
      <c r="AI83" s="74"/>
    </row>
    <row r="84" spans="26:35" ht="14.25" customHeight="1" x14ac:dyDescent="0.2">
      <c r="Z84" s="72"/>
      <c r="AA84" s="73"/>
      <c r="AB84" s="73"/>
      <c r="AC84" s="73"/>
      <c r="AD84" s="73"/>
      <c r="AE84" s="73"/>
      <c r="AF84" s="73"/>
      <c r="AG84" s="73"/>
      <c r="AH84" s="73"/>
      <c r="AI84" s="74"/>
    </row>
    <row r="85" spans="26:35" ht="14.25" customHeight="1" x14ac:dyDescent="0.2">
      <c r="Z85" s="72"/>
      <c r="AA85" s="73"/>
      <c r="AB85" s="73"/>
      <c r="AC85" s="73"/>
      <c r="AD85" s="73"/>
      <c r="AE85" s="73"/>
      <c r="AF85" s="73"/>
      <c r="AG85" s="73"/>
      <c r="AH85" s="73"/>
      <c r="AI85" s="74"/>
    </row>
    <row r="86" spans="26:35" ht="14.25" customHeight="1" x14ac:dyDescent="0.2">
      <c r="Z86" s="72"/>
      <c r="AA86" s="73"/>
      <c r="AB86" s="73"/>
      <c r="AC86" s="73"/>
      <c r="AD86" s="73"/>
      <c r="AE86" s="73"/>
      <c r="AF86" s="73"/>
      <c r="AG86" s="73"/>
      <c r="AH86" s="73"/>
      <c r="AI86" s="74"/>
    </row>
    <row r="87" spans="26:35" ht="14.25" customHeight="1" x14ac:dyDescent="0.2">
      <c r="Z87" s="72"/>
      <c r="AA87" s="73"/>
      <c r="AB87" s="73"/>
      <c r="AC87" s="73"/>
      <c r="AD87" s="73"/>
      <c r="AE87" s="73"/>
      <c r="AF87" s="73"/>
      <c r="AG87" s="73"/>
      <c r="AH87" s="73"/>
      <c r="AI87" s="74"/>
    </row>
    <row r="88" spans="26:35" ht="14.25" customHeight="1" x14ac:dyDescent="0.2">
      <c r="Z88" s="72"/>
      <c r="AA88" s="73"/>
      <c r="AB88" s="73"/>
      <c r="AC88" s="73"/>
      <c r="AD88" s="73"/>
      <c r="AE88" s="73"/>
      <c r="AF88" s="73"/>
      <c r="AG88" s="73"/>
      <c r="AH88" s="73"/>
      <c r="AI88" s="74"/>
    </row>
    <row r="89" spans="26:35" ht="14.25" customHeight="1" x14ac:dyDescent="0.2">
      <c r="Z89" s="72"/>
      <c r="AA89" s="73"/>
      <c r="AB89" s="73"/>
      <c r="AC89" s="73"/>
      <c r="AD89" s="73"/>
      <c r="AE89" s="73"/>
      <c r="AF89" s="73"/>
      <c r="AG89" s="73"/>
      <c r="AH89" s="73"/>
      <c r="AI89" s="74"/>
    </row>
    <row r="90" spans="26:35" ht="14.25" customHeight="1" x14ac:dyDescent="0.2">
      <c r="Z90" s="72"/>
      <c r="AA90" s="73"/>
      <c r="AB90" s="73"/>
      <c r="AC90" s="73"/>
      <c r="AD90" s="73"/>
      <c r="AE90" s="73"/>
      <c r="AF90" s="73"/>
      <c r="AG90" s="73"/>
      <c r="AH90" s="73"/>
      <c r="AI90" s="74"/>
    </row>
    <row r="91" spans="26:35" ht="14.25" customHeight="1" x14ac:dyDescent="0.2">
      <c r="Z91" s="72"/>
      <c r="AA91" s="73"/>
      <c r="AB91" s="73"/>
      <c r="AC91" s="73"/>
      <c r="AD91" s="73"/>
      <c r="AE91" s="73"/>
      <c r="AF91" s="73"/>
      <c r="AG91" s="73"/>
      <c r="AH91" s="73"/>
      <c r="AI91" s="74"/>
    </row>
    <row r="92" spans="26:35" ht="14.25" customHeight="1" x14ac:dyDescent="0.2">
      <c r="Z92" s="72"/>
      <c r="AA92" s="73"/>
      <c r="AB92" s="73"/>
      <c r="AC92" s="73"/>
      <c r="AD92" s="73"/>
      <c r="AE92" s="73"/>
      <c r="AF92" s="73"/>
      <c r="AG92" s="73"/>
      <c r="AH92" s="73"/>
      <c r="AI92" s="74"/>
    </row>
    <row r="93" spans="26:35" ht="14.25" customHeight="1" x14ac:dyDescent="0.2">
      <c r="Z93" s="72"/>
      <c r="AA93" s="73"/>
      <c r="AB93" s="73"/>
      <c r="AC93" s="73"/>
      <c r="AD93" s="73"/>
      <c r="AE93" s="73"/>
      <c r="AF93" s="73"/>
      <c r="AG93" s="73"/>
      <c r="AH93" s="73"/>
      <c r="AI93" s="74"/>
    </row>
    <row r="94" spans="26:35" ht="14.25" customHeight="1" x14ac:dyDescent="0.2">
      <c r="Z94" s="72"/>
      <c r="AA94" s="73"/>
      <c r="AB94" s="73"/>
      <c r="AC94" s="73"/>
      <c r="AD94" s="73"/>
      <c r="AE94" s="73"/>
      <c r="AF94" s="73"/>
      <c r="AG94" s="73"/>
      <c r="AH94" s="73"/>
      <c r="AI94" s="74"/>
    </row>
    <row r="95" spans="26:35" ht="14.25" customHeight="1" x14ac:dyDescent="0.2">
      <c r="Z95" s="72"/>
      <c r="AA95" s="73"/>
      <c r="AB95" s="73"/>
      <c r="AC95" s="73"/>
      <c r="AD95" s="73"/>
      <c r="AE95" s="73"/>
      <c r="AF95" s="73"/>
      <c r="AG95" s="73"/>
      <c r="AH95" s="73"/>
      <c r="AI95" s="74"/>
    </row>
    <row r="96" spans="26:35" ht="14.25" customHeight="1" x14ac:dyDescent="0.2">
      <c r="Z96" s="72"/>
      <c r="AA96" s="73"/>
      <c r="AB96" s="73"/>
      <c r="AC96" s="73"/>
      <c r="AD96" s="73"/>
      <c r="AE96" s="73"/>
      <c r="AF96" s="73"/>
      <c r="AG96" s="73"/>
      <c r="AH96" s="73"/>
      <c r="AI96" s="74"/>
    </row>
    <row r="97" spans="26:35" ht="14.25" customHeight="1" x14ac:dyDescent="0.2">
      <c r="Z97" s="72"/>
      <c r="AA97" s="73"/>
      <c r="AB97" s="73"/>
      <c r="AC97" s="73"/>
      <c r="AD97" s="73"/>
      <c r="AE97" s="73"/>
      <c r="AF97" s="73"/>
      <c r="AG97" s="73"/>
      <c r="AH97" s="73"/>
      <c r="AI97" s="74"/>
    </row>
    <row r="98" spans="26:35" ht="14.25" customHeight="1" x14ac:dyDescent="0.2">
      <c r="Z98" s="72"/>
      <c r="AA98" s="73"/>
      <c r="AB98" s="73"/>
      <c r="AC98" s="73"/>
      <c r="AD98" s="73"/>
      <c r="AE98" s="73"/>
      <c r="AF98" s="73"/>
      <c r="AG98" s="73"/>
      <c r="AH98" s="73"/>
      <c r="AI98" s="74"/>
    </row>
    <row r="99" spans="26:35" ht="14.25" customHeight="1" x14ac:dyDescent="0.2">
      <c r="Z99" s="72"/>
      <c r="AA99" s="73"/>
      <c r="AB99" s="73"/>
      <c r="AC99" s="73"/>
      <c r="AD99" s="73"/>
      <c r="AE99" s="73"/>
      <c r="AF99" s="73"/>
      <c r="AG99" s="73"/>
      <c r="AH99" s="73"/>
      <c r="AI99" s="74"/>
    </row>
    <row r="100" spans="26:35" ht="14.25" customHeight="1" x14ac:dyDescent="0.2">
      <c r="Z100" s="72"/>
      <c r="AA100" s="73"/>
      <c r="AB100" s="73"/>
      <c r="AC100" s="73"/>
      <c r="AD100" s="73"/>
      <c r="AE100" s="73"/>
      <c r="AF100" s="73"/>
      <c r="AG100" s="73"/>
      <c r="AH100" s="73"/>
      <c r="AI100" s="74"/>
    </row>
    <row r="101" spans="26:35" ht="14.25" customHeight="1" x14ac:dyDescent="0.2">
      <c r="Z101" s="72"/>
      <c r="AA101" s="73"/>
      <c r="AB101" s="73"/>
      <c r="AC101" s="73"/>
      <c r="AD101" s="73"/>
      <c r="AE101" s="73"/>
      <c r="AF101" s="73"/>
      <c r="AG101" s="73"/>
      <c r="AH101" s="73"/>
      <c r="AI101" s="74"/>
    </row>
    <row r="102" spans="26:35" ht="14.25" customHeight="1" x14ac:dyDescent="0.2">
      <c r="Z102" s="72"/>
      <c r="AA102" s="73"/>
      <c r="AB102" s="73"/>
      <c r="AC102" s="73"/>
      <c r="AD102" s="73"/>
      <c r="AE102" s="73"/>
      <c r="AF102" s="73"/>
      <c r="AG102" s="73"/>
      <c r="AH102" s="73"/>
      <c r="AI102" s="74"/>
    </row>
    <row r="103" spans="26:35" ht="14.25" customHeight="1" x14ac:dyDescent="0.2">
      <c r="Z103" s="72"/>
      <c r="AA103" s="73"/>
      <c r="AB103" s="73"/>
      <c r="AC103" s="73"/>
      <c r="AD103" s="73"/>
      <c r="AE103" s="73"/>
      <c r="AF103" s="73"/>
      <c r="AG103" s="73"/>
      <c r="AH103" s="73"/>
      <c r="AI103" s="74"/>
    </row>
    <row r="104" spans="26:35" ht="14.25" customHeight="1" x14ac:dyDescent="0.2">
      <c r="Z104" s="72"/>
      <c r="AA104" s="73"/>
      <c r="AB104" s="73"/>
      <c r="AC104" s="73"/>
      <c r="AD104" s="73"/>
      <c r="AE104" s="73"/>
      <c r="AF104" s="73"/>
      <c r="AG104" s="73"/>
      <c r="AH104" s="73"/>
      <c r="AI104" s="74"/>
    </row>
    <row r="105" spans="26:35" ht="14.25" customHeight="1" x14ac:dyDescent="0.2">
      <c r="Z105" s="72"/>
      <c r="AA105" s="73"/>
      <c r="AB105" s="73"/>
      <c r="AC105" s="73"/>
      <c r="AD105" s="73"/>
      <c r="AE105" s="73"/>
      <c r="AF105" s="73"/>
      <c r="AG105" s="73"/>
      <c r="AH105" s="73"/>
      <c r="AI105" s="74"/>
    </row>
    <row r="106" spans="26:35" ht="14.25" customHeight="1" x14ac:dyDescent="0.2">
      <c r="Z106" s="72"/>
      <c r="AA106" s="73"/>
      <c r="AB106" s="73"/>
      <c r="AC106" s="73"/>
      <c r="AD106" s="73"/>
      <c r="AE106" s="73"/>
      <c r="AF106" s="73"/>
      <c r="AG106" s="73"/>
      <c r="AH106" s="73"/>
      <c r="AI106" s="74"/>
    </row>
    <row r="107" spans="26:35" ht="14.25" customHeight="1" x14ac:dyDescent="0.2">
      <c r="Z107" s="72"/>
      <c r="AA107" s="73"/>
      <c r="AB107" s="73"/>
      <c r="AC107" s="73"/>
      <c r="AD107" s="73"/>
      <c r="AE107" s="73"/>
      <c r="AF107" s="73"/>
      <c r="AG107" s="73"/>
      <c r="AH107" s="73"/>
      <c r="AI107" s="74"/>
    </row>
    <row r="108" spans="26:35" ht="14.25" customHeight="1" x14ac:dyDescent="0.2">
      <c r="Z108" s="72"/>
      <c r="AA108" s="73"/>
      <c r="AB108" s="73"/>
      <c r="AC108" s="73"/>
      <c r="AD108" s="73"/>
      <c r="AE108" s="73"/>
      <c r="AF108" s="73"/>
      <c r="AG108" s="73"/>
      <c r="AH108" s="73"/>
      <c r="AI108" s="74"/>
    </row>
    <row r="109" spans="26:35" ht="14.25" customHeight="1" x14ac:dyDescent="0.2">
      <c r="Z109" s="72"/>
      <c r="AA109" s="73"/>
      <c r="AB109" s="73"/>
      <c r="AC109" s="73"/>
      <c r="AD109" s="73"/>
      <c r="AE109" s="73"/>
      <c r="AF109" s="73"/>
      <c r="AG109" s="73"/>
      <c r="AH109" s="73"/>
      <c r="AI109" s="74"/>
    </row>
    <row r="110" spans="26:35" ht="14.25" customHeight="1" x14ac:dyDescent="0.2">
      <c r="Z110" s="72"/>
      <c r="AA110" s="73"/>
      <c r="AB110" s="73"/>
      <c r="AC110" s="73"/>
      <c r="AD110" s="73"/>
      <c r="AE110" s="73"/>
      <c r="AF110" s="73"/>
      <c r="AG110" s="73"/>
      <c r="AH110" s="73"/>
      <c r="AI110" s="74"/>
    </row>
    <row r="111" spans="26:35" ht="14.25" customHeight="1" x14ac:dyDescent="0.2">
      <c r="Z111" s="72"/>
      <c r="AA111" s="73"/>
      <c r="AB111" s="73"/>
      <c r="AC111" s="73"/>
      <c r="AD111" s="73"/>
      <c r="AE111" s="73"/>
      <c r="AF111" s="73"/>
      <c r="AG111" s="73"/>
      <c r="AH111" s="73"/>
      <c r="AI111" s="74"/>
    </row>
    <row r="112" spans="26:35" ht="14.25" customHeight="1" x14ac:dyDescent="0.2">
      <c r="Z112" s="72"/>
      <c r="AA112" s="73"/>
      <c r="AB112" s="73"/>
      <c r="AC112" s="73"/>
      <c r="AD112" s="73"/>
      <c r="AE112" s="73"/>
      <c r="AF112" s="73"/>
      <c r="AG112" s="73"/>
      <c r="AH112" s="73"/>
      <c r="AI112" s="74"/>
    </row>
    <row r="113" spans="26:35" ht="14.25" customHeight="1" x14ac:dyDescent="0.2">
      <c r="Z113" s="72"/>
      <c r="AA113" s="73"/>
      <c r="AB113" s="73"/>
      <c r="AC113" s="73"/>
      <c r="AD113" s="73"/>
      <c r="AE113" s="73"/>
      <c r="AF113" s="73"/>
      <c r="AG113" s="73"/>
      <c r="AH113" s="73"/>
      <c r="AI113" s="74"/>
    </row>
    <row r="114" spans="26:35" ht="14.25" customHeight="1" x14ac:dyDescent="0.2">
      <c r="Z114" s="72"/>
      <c r="AA114" s="73"/>
      <c r="AB114" s="73"/>
      <c r="AC114" s="73"/>
      <c r="AD114" s="73"/>
      <c r="AE114" s="73"/>
      <c r="AF114" s="73"/>
      <c r="AG114" s="73"/>
      <c r="AH114" s="73"/>
      <c r="AI114" s="74"/>
    </row>
    <row r="115" spans="26:35" ht="14.25" customHeight="1" x14ac:dyDescent="0.2">
      <c r="Z115" s="72"/>
      <c r="AA115" s="73"/>
      <c r="AB115" s="73"/>
      <c r="AC115" s="73"/>
      <c r="AD115" s="73"/>
      <c r="AE115" s="73"/>
      <c r="AF115" s="73"/>
      <c r="AG115" s="73"/>
      <c r="AH115" s="73"/>
      <c r="AI115" s="74"/>
    </row>
    <row r="116" spans="26:35" ht="14.25" customHeight="1" x14ac:dyDescent="0.2">
      <c r="Z116" s="72"/>
      <c r="AA116" s="73"/>
      <c r="AB116" s="73"/>
      <c r="AC116" s="73"/>
      <c r="AD116" s="73"/>
      <c r="AE116" s="73"/>
      <c r="AF116" s="73"/>
      <c r="AG116" s="73"/>
      <c r="AH116" s="73"/>
      <c r="AI116" s="74"/>
    </row>
    <row r="117" spans="26:35" ht="14.25" customHeight="1" x14ac:dyDescent="0.2">
      <c r="Z117" s="72"/>
      <c r="AA117" s="73"/>
      <c r="AB117" s="73"/>
      <c r="AC117" s="73"/>
      <c r="AD117" s="73"/>
      <c r="AE117" s="73"/>
      <c r="AF117" s="73"/>
      <c r="AG117" s="73"/>
      <c r="AH117" s="73"/>
      <c r="AI117" s="74"/>
    </row>
    <row r="118" spans="26:35" ht="14.25" customHeight="1" x14ac:dyDescent="0.2">
      <c r="Z118" s="72"/>
      <c r="AA118" s="73"/>
      <c r="AB118" s="73"/>
      <c r="AC118" s="73"/>
      <c r="AD118" s="73"/>
      <c r="AE118" s="73"/>
      <c r="AF118" s="73"/>
      <c r="AG118" s="73"/>
      <c r="AH118" s="73"/>
      <c r="AI118" s="74"/>
    </row>
    <row r="119" spans="26:35" ht="14.25" customHeight="1" x14ac:dyDescent="0.2">
      <c r="Z119" s="72"/>
      <c r="AA119" s="73"/>
      <c r="AB119" s="73"/>
      <c r="AC119" s="73"/>
      <c r="AD119" s="73"/>
      <c r="AE119" s="73"/>
      <c r="AF119" s="73"/>
      <c r="AG119" s="73"/>
      <c r="AH119" s="73"/>
      <c r="AI119" s="74"/>
    </row>
    <row r="120" spans="26:35" ht="14.25" customHeight="1" x14ac:dyDescent="0.2">
      <c r="Z120" s="72"/>
      <c r="AA120" s="73"/>
      <c r="AB120" s="73"/>
      <c r="AC120" s="73"/>
      <c r="AD120" s="73"/>
      <c r="AE120" s="73"/>
      <c r="AF120" s="73"/>
      <c r="AG120" s="73"/>
      <c r="AH120" s="73"/>
      <c r="AI120" s="74"/>
    </row>
    <row r="121" spans="26:35" ht="14.25" customHeight="1" x14ac:dyDescent="0.2">
      <c r="Z121" s="72"/>
      <c r="AA121" s="73"/>
      <c r="AB121" s="73"/>
      <c r="AC121" s="73"/>
      <c r="AD121" s="73"/>
      <c r="AE121" s="73"/>
      <c r="AF121" s="73"/>
      <c r="AG121" s="73"/>
      <c r="AH121" s="73"/>
      <c r="AI121" s="74"/>
    </row>
    <row r="122" spans="26:35" ht="14.25" customHeight="1" x14ac:dyDescent="0.2">
      <c r="Z122" s="72"/>
      <c r="AA122" s="73"/>
      <c r="AB122" s="73"/>
      <c r="AC122" s="73"/>
      <c r="AD122" s="73"/>
      <c r="AE122" s="73"/>
      <c r="AF122" s="73"/>
      <c r="AG122" s="73"/>
      <c r="AH122" s="73"/>
      <c r="AI122" s="74"/>
    </row>
    <row r="123" spans="26:35" ht="14.25" customHeight="1" x14ac:dyDescent="0.2">
      <c r="Z123" s="72"/>
      <c r="AA123" s="73"/>
      <c r="AB123" s="73"/>
      <c r="AC123" s="73"/>
      <c r="AD123" s="73"/>
      <c r="AE123" s="73"/>
      <c r="AF123" s="73"/>
      <c r="AG123" s="73"/>
      <c r="AH123" s="73"/>
      <c r="AI123" s="74"/>
    </row>
    <row r="124" spans="26:35" ht="14.25" customHeight="1" x14ac:dyDescent="0.2">
      <c r="Z124" s="72"/>
      <c r="AA124" s="73"/>
      <c r="AB124" s="73"/>
      <c r="AC124" s="73"/>
      <c r="AD124" s="73"/>
      <c r="AE124" s="73"/>
      <c r="AF124" s="73"/>
      <c r="AG124" s="73"/>
      <c r="AH124" s="73"/>
      <c r="AI124" s="74"/>
    </row>
    <row r="125" spans="26:35" ht="14.25" customHeight="1" x14ac:dyDescent="0.2">
      <c r="Z125" s="72"/>
      <c r="AA125" s="73"/>
      <c r="AB125" s="73"/>
      <c r="AC125" s="73"/>
      <c r="AD125" s="73"/>
      <c r="AE125" s="73"/>
      <c r="AF125" s="73"/>
      <c r="AG125" s="73"/>
      <c r="AH125" s="73"/>
      <c r="AI125" s="74"/>
    </row>
    <row r="126" spans="26:35" ht="14.25" customHeight="1" x14ac:dyDescent="0.2">
      <c r="Z126" s="72"/>
      <c r="AA126" s="73"/>
      <c r="AB126" s="73"/>
      <c r="AC126" s="73"/>
      <c r="AD126" s="73"/>
      <c r="AE126" s="73"/>
      <c r="AF126" s="73"/>
      <c r="AG126" s="73"/>
      <c r="AH126" s="73"/>
      <c r="AI126" s="74"/>
    </row>
    <row r="127" spans="26:35" ht="14.25" customHeight="1" x14ac:dyDescent="0.2">
      <c r="Z127" s="72"/>
      <c r="AA127" s="73"/>
      <c r="AB127" s="73"/>
      <c r="AC127" s="73"/>
      <c r="AD127" s="73"/>
      <c r="AE127" s="73"/>
      <c r="AF127" s="73"/>
      <c r="AG127" s="73"/>
      <c r="AH127" s="73"/>
      <c r="AI127" s="74"/>
    </row>
    <row r="128" spans="26:35" ht="14.25" customHeight="1" x14ac:dyDescent="0.2">
      <c r="Z128" s="72"/>
      <c r="AA128" s="73"/>
      <c r="AB128" s="73"/>
      <c r="AC128" s="73"/>
      <c r="AD128" s="73"/>
      <c r="AE128" s="73"/>
      <c r="AF128" s="73"/>
      <c r="AG128" s="73"/>
      <c r="AH128" s="73"/>
      <c r="AI128" s="74"/>
    </row>
    <row r="129" spans="26:35" ht="14.25" customHeight="1" x14ac:dyDescent="0.2">
      <c r="Z129" s="72"/>
      <c r="AA129" s="73"/>
      <c r="AB129" s="73"/>
      <c r="AC129" s="73"/>
      <c r="AD129" s="73"/>
      <c r="AE129" s="73"/>
      <c r="AF129" s="73"/>
      <c r="AG129" s="73"/>
      <c r="AH129" s="73"/>
      <c r="AI129" s="74"/>
    </row>
    <row r="130" spans="26:35" ht="14.25" customHeight="1" x14ac:dyDescent="0.2">
      <c r="Z130" s="72"/>
      <c r="AA130" s="73"/>
      <c r="AB130" s="73"/>
      <c r="AC130" s="73"/>
      <c r="AD130" s="73"/>
      <c r="AE130" s="73"/>
      <c r="AF130" s="73"/>
      <c r="AG130" s="73"/>
      <c r="AH130" s="73"/>
      <c r="AI130" s="74"/>
    </row>
    <row r="131" spans="26:35" ht="14.25" customHeight="1" x14ac:dyDescent="0.2">
      <c r="Z131" s="72"/>
      <c r="AA131" s="73"/>
      <c r="AB131" s="73"/>
      <c r="AC131" s="73"/>
      <c r="AD131" s="73"/>
      <c r="AE131" s="73"/>
      <c r="AF131" s="73"/>
      <c r="AG131" s="73"/>
      <c r="AH131" s="73"/>
      <c r="AI131" s="74"/>
    </row>
    <row r="132" spans="26:35" ht="14.25" customHeight="1" x14ac:dyDescent="0.2">
      <c r="Z132" s="72"/>
      <c r="AA132" s="73"/>
      <c r="AB132" s="73"/>
      <c r="AC132" s="73"/>
      <c r="AD132" s="73"/>
      <c r="AE132" s="73"/>
      <c r="AF132" s="73"/>
      <c r="AG132" s="73"/>
      <c r="AH132" s="73"/>
      <c r="AI132" s="74"/>
    </row>
    <row r="133" spans="26:35" ht="14.25" customHeight="1" x14ac:dyDescent="0.2">
      <c r="Z133" s="72"/>
      <c r="AA133" s="73"/>
      <c r="AB133" s="73"/>
      <c r="AC133" s="73"/>
      <c r="AD133" s="73"/>
      <c r="AE133" s="73"/>
      <c r="AF133" s="73"/>
      <c r="AG133" s="73"/>
      <c r="AH133" s="73"/>
      <c r="AI133" s="74"/>
    </row>
    <row r="134" spans="26:35" ht="14.25" customHeight="1" x14ac:dyDescent="0.2">
      <c r="Z134" s="72"/>
      <c r="AA134" s="73"/>
      <c r="AB134" s="73"/>
      <c r="AC134" s="73"/>
      <c r="AD134" s="73"/>
      <c r="AE134" s="73"/>
      <c r="AF134" s="73"/>
      <c r="AG134" s="73"/>
      <c r="AH134" s="73"/>
      <c r="AI134" s="74"/>
    </row>
    <row r="135" spans="26:35" ht="14.25" customHeight="1" x14ac:dyDescent="0.2">
      <c r="Z135" s="72"/>
      <c r="AA135" s="73"/>
      <c r="AB135" s="73"/>
      <c r="AC135" s="73"/>
      <c r="AD135" s="73"/>
      <c r="AE135" s="73"/>
      <c r="AF135" s="73"/>
      <c r="AG135" s="73"/>
      <c r="AH135" s="73"/>
      <c r="AI135" s="74"/>
    </row>
    <row r="136" spans="26:35" ht="14.25" customHeight="1" x14ac:dyDescent="0.2">
      <c r="Z136" s="72"/>
      <c r="AA136" s="73"/>
      <c r="AB136" s="73"/>
      <c r="AC136" s="73"/>
      <c r="AD136" s="73"/>
      <c r="AE136" s="73"/>
      <c r="AF136" s="73"/>
      <c r="AG136" s="73"/>
      <c r="AH136" s="73"/>
      <c r="AI136" s="74"/>
    </row>
    <row r="137" spans="26:35" ht="14.25" customHeight="1" x14ac:dyDescent="0.2">
      <c r="Z137" s="72"/>
      <c r="AA137" s="73"/>
      <c r="AB137" s="73"/>
      <c r="AC137" s="73"/>
      <c r="AD137" s="73"/>
      <c r="AE137" s="73"/>
      <c r="AF137" s="73"/>
      <c r="AG137" s="73"/>
      <c r="AH137" s="73"/>
      <c r="AI137" s="74"/>
    </row>
    <row r="138" spans="26:35" ht="14.25" customHeight="1" x14ac:dyDescent="0.2">
      <c r="Z138" s="72"/>
      <c r="AA138" s="73"/>
      <c r="AB138" s="73"/>
      <c r="AC138" s="73"/>
      <c r="AD138" s="73"/>
      <c r="AE138" s="73"/>
      <c r="AF138" s="73"/>
      <c r="AG138" s="73"/>
      <c r="AH138" s="73"/>
      <c r="AI138" s="74"/>
    </row>
    <row r="139" spans="26:35" ht="14.25" customHeight="1" x14ac:dyDescent="0.2">
      <c r="Z139" s="72"/>
      <c r="AA139" s="73"/>
      <c r="AB139" s="73"/>
      <c r="AC139" s="73"/>
      <c r="AD139" s="73"/>
      <c r="AE139" s="73"/>
      <c r="AF139" s="73"/>
      <c r="AG139" s="73"/>
      <c r="AH139" s="73"/>
      <c r="AI139" s="74"/>
    </row>
    <row r="140" spans="26:35" ht="14.25" customHeight="1" x14ac:dyDescent="0.2">
      <c r="Z140" s="72"/>
      <c r="AA140" s="73"/>
      <c r="AB140" s="73"/>
      <c r="AC140" s="73"/>
      <c r="AD140" s="73"/>
      <c r="AE140" s="73"/>
      <c r="AF140" s="73"/>
      <c r="AG140" s="73"/>
      <c r="AH140" s="73"/>
      <c r="AI140" s="74"/>
    </row>
    <row r="141" spans="26:35" ht="14.25" customHeight="1" x14ac:dyDescent="0.2">
      <c r="Z141" s="72"/>
      <c r="AA141" s="73"/>
      <c r="AB141" s="73"/>
      <c r="AC141" s="73"/>
      <c r="AD141" s="73"/>
      <c r="AE141" s="73"/>
      <c r="AF141" s="73"/>
      <c r="AG141" s="73"/>
      <c r="AH141" s="73"/>
      <c r="AI141" s="74"/>
    </row>
    <row r="142" spans="26:35" ht="14.25" customHeight="1" x14ac:dyDescent="0.2">
      <c r="Z142" s="72"/>
      <c r="AA142" s="73"/>
      <c r="AB142" s="73"/>
      <c r="AC142" s="73"/>
      <c r="AD142" s="73"/>
      <c r="AE142" s="73"/>
      <c r="AF142" s="73"/>
      <c r="AG142" s="73"/>
      <c r="AH142" s="73"/>
      <c r="AI142" s="74"/>
    </row>
    <row r="143" spans="26:35" ht="14.25" customHeight="1" x14ac:dyDescent="0.2">
      <c r="Z143" s="72"/>
      <c r="AA143" s="73"/>
      <c r="AB143" s="73"/>
      <c r="AC143" s="73"/>
      <c r="AD143" s="73"/>
      <c r="AE143" s="73"/>
      <c r="AF143" s="73"/>
      <c r="AG143" s="73"/>
      <c r="AH143" s="73"/>
      <c r="AI143" s="74"/>
    </row>
    <row r="144" spans="26:35" ht="14.25" customHeight="1" x14ac:dyDescent="0.2">
      <c r="Z144" s="72"/>
      <c r="AA144" s="73"/>
      <c r="AB144" s="73"/>
      <c r="AC144" s="73"/>
      <c r="AD144" s="73"/>
      <c r="AE144" s="73"/>
      <c r="AF144" s="73"/>
      <c r="AG144" s="73"/>
      <c r="AH144" s="73"/>
      <c r="AI144" s="74"/>
    </row>
    <row r="145" spans="26:35" ht="14.25" customHeight="1" x14ac:dyDescent="0.2">
      <c r="Z145" s="72"/>
      <c r="AA145" s="73"/>
      <c r="AB145" s="73"/>
      <c r="AC145" s="73"/>
      <c r="AD145" s="73"/>
      <c r="AE145" s="73"/>
      <c r="AF145" s="73"/>
      <c r="AG145" s="73"/>
      <c r="AH145" s="73"/>
      <c r="AI145" s="74"/>
    </row>
    <row r="146" spans="26:35" ht="14.25" customHeight="1" x14ac:dyDescent="0.2">
      <c r="Z146" s="72"/>
      <c r="AA146" s="73"/>
      <c r="AB146" s="73"/>
      <c r="AC146" s="73"/>
      <c r="AD146" s="73"/>
      <c r="AE146" s="73"/>
      <c r="AF146" s="73"/>
      <c r="AG146" s="73"/>
      <c r="AH146" s="73"/>
      <c r="AI146" s="74"/>
    </row>
    <row r="147" spans="26:35" ht="14.25" customHeight="1" x14ac:dyDescent="0.2">
      <c r="Z147" s="72"/>
      <c r="AA147" s="73"/>
      <c r="AB147" s="73"/>
      <c r="AC147" s="73"/>
      <c r="AD147" s="73"/>
      <c r="AE147" s="73"/>
      <c r="AF147" s="73"/>
      <c r="AG147" s="73"/>
      <c r="AH147" s="73"/>
      <c r="AI147" s="74"/>
    </row>
    <row r="148" spans="26:35" ht="14.25" customHeight="1" x14ac:dyDescent="0.2">
      <c r="Z148" s="72"/>
      <c r="AA148" s="73"/>
      <c r="AB148" s="73"/>
      <c r="AC148" s="73"/>
      <c r="AD148" s="73"/>
      <c r="AE148" s="73"/>
      <c r="AF148" s="73"/>
      <c r="AG148" s="73"/>
      <c r="AH148" s="73"/>
      <c r="AI148" s="74"/>
    </row>
    <row r="149" spans="26:35" ht="14.25" customHeight="1" x14ac:dyDescent="0.2">
      <c r="Z149" s="72"/>
      <c r="AA149" s="73"/>
      <c r="AB149" s="73"/>
      <c r="AC149" s="73"/>
      <c r="AD149" s="73"/>
      <c r="AE149" s="73"/>
      <c r="AF149" s="73"/>
      <c r="AG149" s="73"/>
      <c r="AH149" s="73"/>
      <c r="AI149" s="74"/>
    </row>
    <row r="150" spans="26:35" ht="14.25" customHeight="1" x14ac:dyDescent="0.2">
      <c r="Z150" s="72"/>
      <c r="AA150" s="73"/>
      <c r="AB150" s="73"/>
      <c r="AC150" s="73"/>
      <c r="AD150" s="73"/>
      <c r="AE150" s="73"/>
      <c r="AF150" s="73"/>
      <c r="AG150" s="73"/>
      <c r="AH150" s="73"/>
      <c r="AI150" s="74"/>
    </row>
    <row r="151" spans="26:35" ht="14.25" customHeight="1" x14ac:dyDescent="0.2">
      <c r="Z151" s="72"/>
      <c r="AA151" s="73"/>
      <c r="AB151" s="73"/>
      <c r="AC151" s="73"/>
      <c r="AD151" s="73"/>
      <c r="AE151" s="73"/>
      <c r="AF151" s="73"/>
      <c r="AG151" s="73"/>
      <c r="AH151" s="73"/>
      <c r="AI151" s="74"/>
    </row>
    <row r="152" spans="26:35" ht="14.25" customHeight="1" x14ac:dyDescent="0.2">
      <c r="Z152" s="72"/>
      <c r="AA152" s="73"/>
      <c r="AB152" s="73"/>
      <c r="AC152" s="73"/>
      <c r="AD152" s="73"/>
      <c r="AE152" s="73"/>
      <c r="AF152" s="73"/>
      <c r="AG152" s="73"/>
      <c r="AH152" s="73"/>
      <c r="AI152" s="74"/>
    </row>
    <row r="153" spans="26:35" ht="14.25" customHeight="1" x14ac:dyDescent="0.2">
      <c r="Z153" s="72"/>
      <c r="AA153" s="73"/>
      <c r="AB153" s="73"/>
      <c r="AC153" s="73"/>
      <c r="AD153" s="73"/>
      <c r="AE153" s="73"/>
      <c r="AF153" s="73"/>
      <c r="AG153" s="73"/>
      <c r="AH153" s="73"/>
      <c r="AI153" s="74"/>
    </row>
    <row r="154" spans="26:35" ht="14.25" customHeight="1" x14ac:dyDescent="0.2">
      <c r="Z154" s="72"/>
      <c r="AA154" s="73"/>
      <c r="AB154" s="73"/>
      <c r="AC154" s="73"/>
      <c r="AD154" s="73"/>
      <c r="AE154" s="73"/>
      <c r="AF154" s="73"/>
      <c r="AG154" s="73"/>
      <c r="AH154" s="73"/>
      <c r="AI154" s="74"/>
    </row>
    <row r="155" spans="26:35" ht="14.25" customHeight="1" x14ac:dyDescent="0.2">
      <c r="Z155" s="72"/>
      <c r="AA155" s="73"/>
      <c r="AB155" s="73"/>
      <c r="AC155" s="73"/>
      <c r="AD155" s="73"/>
      <c r="AE155" s="73"/>
      <c r="AF155" s="73"/>
      <c r="AG155" s="73"/>
      <c r="AH155" s="73"/>
      <c r="AI155" s="74"/>
    </row>
    <row r="156" spans="26:35" ht="14.25" customHeight="1" x14ac:dyDescent="0.2">
      <c r="Z156" s="72"/>
      <c r="AA156" s="73"/>
      <c r="AB156" s="73"/>
      <c r="AC156" s="73"/>
      <c r="AD156" s="73"/>
      <c r="AE156" s="73"/>
      <c r="AF156" s="73"/>
      <c r="AG156" s="73"/>
      <c r="AH156" s="73"/>
      <c r="AI156" s="74"/>
    </row>
    <row r="157" spans="26:35" ht="14.25" customHeight="1" x14ac:dyDescent="0.2">
      <c r="Z157" s="72"/>
      <c r="AA157" s="73"/>
      <c r="AB157" s="73"/>
      <c r="AC157" s="73"/>
      <c r="AD157" s="73"/>
      <c r="AE157" s="73"/>
      <c r="AF157" s="73"/>
      <c r="AG157" s="73"/>
      <c r="AH157" s="73"/>
      <c r="AI157" s="74"/>
    </row>
    <row r="158" spans="26:35" ht="14.25" customHeight="1" x14ac:dyDescent="0.2">
      <c r="Z158" s="72"/>
      <c r="AA158" s="73"/>
      <c r="AB158" s="73"/>
      <c r="AC158" s="73"/>
      <c r="AD158" s="73"/>
      <c r="AE158" s="73"/>
      <c r="AF158" s="73"/>
      <c r="AG158" s="73"/>
      <c r="AH158" s="73"/>
      <c r="AI158" s="74"/>
    </row>
    <row r="159" spans="26:35" ht="14.25" customHeight="1" x14ac:dyDescent="0.2">
      <c r="Z159" s="72"/>
      <c r="AA159" s="73"/>
      <c r="AB159" s="73"/>
      <c r="AC159" s="73"/>
      <c r="AD159" s="73"/>
      <c r="AE159" s="73"/>
      <c r="AF159" s="73"/>
      <c r="AG159" s="73"/>
      <c r="AH159" s="73"/>
      <c r="AI159" s="74"/>
    </row>
    <row r="160" spans="26:35" ht="14.25" customHeight="1" x14ac:dyDescent="0.2">
      <c r="Z160" s="72"/>
      <c r="AA160" s="73"/>
      <c r="AB160" s="73"/>
      <c r="AC160" s="73"/>
      <c r="AD160" s="73"/>
      <c r="AE160" s="73"/>
      <c r="AF160" s="73"/>
      <c r="AG160" s="73"/>
      <c r="AH160" s="73"/>
      <c r="AI160" s="74"/>
    </row>
    <row r="161" spans="26:35" ht="14.25" customHeight="1" x14ac:dyDescent="0.2">
      <c r="Z161" s="72"/>
      <c r="AA161" s="73"/>
      <c r="AB161" s="73"/>
      <c r="AC161" s="73"/>
      <c r="AD161" s="73"/>
      <c r="AE161" s="73"/>
      <c r="AF161" s="73"/>
      <c r="AG161" s="73"/>
      <c r="AH161" s="73"/>
      <c r="AI161" s="74"/>
    </row>
    <row r="162" spans="26:35" ht="14.25" customHeight="1" x14ac:dyDescent="0.2">
      <c r="Z162" s="72"/>
      <c r="AA162" s="73"/>
      <c r="AB162" s="73"/>
      <c r="AC162" s="73"/>
      <c r="AD162" s="73"/>
      <c r="AE162" s="73"/>
      <c r="AF162" s="73"/>
      <c r="AG162" s="73"/>
      <c r="AH162" s="73"/>
      <c r="AI162" s="74"/>
    </row>
    <row r="163" spans="26:35" ht="14.25" customHeight="1" x14ac:dyDescent="0.2">
      <c r="Z163" s="72"/>
      <c r="AA163" s="73"/>
      <c r="AB163" s="73"/>
      <c r="AC163" s="73"/>
      <c r="AD163" s="73"/>
      <c r="AE163" s="73"/>
      <c r="AF163" s="73"/>
      <c r="AG163" s="73"/>
      <c r="AH163" s="73"/>
      <c r="AI163" s="74"/>
    </row>
    <row r="164" spans="26:35" ht="14.25" customHeight="1" x14ac:dyDescent="0.2">
      <c r="Z164" s="72"/>
      <c r="AA164" s="73"/>
      <c r="AB164" s="73"/>
      <c r="AC164" s="73"/>
      <c r="AD164" s="73"/>
      <c r="AE164" s="73"/>
      <c r="AF164" s="73"/>
      <c r="AG164" s="73"/>
      <c r="AH164" s="73"/>
      <c r="AI164" s="74"/>
    </row>
    <row r="165" spans="26:35" ht="14.25" customHeight="1" x14ac:dyDescent="0.2">
      <c r="Z165" s="72"/>
      <c r="AA165" s="73"/>
      <c r="AB165" s="73"/>
      <c r="AC165" s="73"/>
      <c r="AD165" s="73"/>
      <c r="AE165" s="73"/>
      <c r="AF165" s="73"/>
      <c r="AG165" s="73"/>
      <c r="AH165" s="73"/>
      <c r="AI165" s="74"/>
    </row>
    <row r="166" spans="26:35" ht="14.25" customHeight="1" x14ac:dyDescent="0.2">
      <c r="Z166" s="72"/>
      <c r="AA166" s="73"/>
      <c r="AB166" s="73"/>
      <c r="AC166" s="73"/>
      <c r="AD166" s="73"/>
      <c r="AE166" s="73"/>
      <c r="AF166" s="73"/>
      <c r="AG166" s="73"/>
      <c r="AH166" s="73"/>
      <c r="AI166" s="74"/>
    </row>
    <row r="167" spans="26:35" ht="14.25" customHeight="1" x14ac:dyDescent="0.2">
      <c r="Z167" s="72"/>
      <c r="AA167" s="73"/>
      <c r="AB167" s="73"/>
      <c r="AC167" s="73"/>
      <c r="AD167" s="73"/>
      <c r="AE167" s="73"/>
      <c r="AF167" s="73"/>
      <c r="AG167" s="73"/>
      <c r="AH167" s="73"/>
      <c r="AI167" s="74"/>
    </row>
    <row r="168" spans="26:35" ht="14.25" customHeight="1" x14ac:dyDescent="0.2">
      <c r="Z168" s="72"/>
      <c r="AA168" s="73"/>
      <c r="AB168" s="73"/>
      <c r="AC168" s="73"/>
      <c r="AD168" s="73"/>
      <c r="AE168" s="73"/>
      <c r="AF168" s="73"/>
      <c r="AG168" s="73"/>
      <c r="AH168" s="73"/>
      <c r="AI168" s="74"/>
    </row>
    <row r="169" spans="26:35" ht="14.25" customHeight="1" x14ac:dyDescent="0.2">
      <c r="Z169" s="72"/>
      <c r="AA169" s="73"/>
      <c r="AB169" s="73"/>
      <c r="AC169" s="73"/>
      <c r="AD169" s="73"/>
      <c r="AE169" s="73"/>
      <c r="AF169" s="73"/>
      <c r="AG169" s="73"/>
      <c r="AH169" s="73"/>
      <c r="AI169" s="74"/>
    </row>
    <row r="170" spans="26:35" ht="14.25" customHeight="1" x14ac:dyDescent="0.2">
      <c r="Z170" s="72"/>
      <c r="AA170" s="73"/>
      <c r="AB170" s="73"/>
      <c r="AC170" s="73"/>
      <c r="AD170" s="73"/>
      <c r="AE170" s="73"/>
      <c r="AF170" s="73"/>
      <c r="AG170" s="73"/>
      <c r="AH170" s="73"/>
      <c r="AI170" s="74"/>
    </row>
    <row r="171" spans="26:35" ht="14.25" customHeight="1" x14ac:dyDescent="0.2">
      <c r="Z171" s="72"/>
      <c r="AA171" s="73"/>
      <c r="AB171" s="73"/>
      <c r="AC171" s="73"/>
      <c r="AD171" s="73"/>
      <c r="AE171" s="73"/>
      <c r="AF171" s="73"/>
      <c r="AG171" s="73"/>
      <c r="AH171" s="73"/>
      <c r="AI171" s="74"/>
    </row>
    <row r="172" spans="26:35" ht="14.25" customHeight="1" x14ac:dyDescent="0.2">
      <c r="Z172" s="72"/>
      <c r="AA172" s="73"/>
      <c r="AB172" s="73"/>
      <c r="AC172" s="73"/>
      <c r="AD172" s="73"/>
      <c r="AE172" s="73"/>
      <c r="AF172" s="73"/>
      <c r="AG172" s="73"/>
      <c r="AH172" s="73"/>
      <c r="AI172" s="74"/>
    </row>
    <row r="173" spans="26:35" ht="14.25" customHeight="1" x14ac:dyDescent="0.2">
      <c r="Z173" s="72"/>
      <c r="AA173" s="73"/>
      <c r="AB173" s="73"/>
      <c r="AC173" s="73"/>
      <c r="AD173" s="73"/>
      <c r="AE173" s="73"/>
      <c r="AF173" s="73"/>
      <c r="AG173" s="73"/>
      <c r="AH173" s="73"/>
      <c r="AI173" s="74"/>
    </row>
    <row r="174" spans="26:35" ht="14.25" customHeight="1" x14ac:dyDescent="0.2">
      <c r="Z174" s="72"/>
      <c r="AA174" s="73"/>
      <c r="AB174" s="73"/>
      <c r="AC174" s="73"/>
      <c r="AD174" s="73"/>
      <c r="AE174" s="73"/>
      <c r="AF174" s="73"/>
      <c r="AG174" s="73"/>
      <c r="AH174" s="73"/>
      <c r="AI174" s="74"/>
    </row>
    <row r="175" spans="26:35" ht="14.25" customHeight="1" x14ac:dyDescent="0.2">
      <c r="Z175" s="72"/>
      <c r="AA175" s="73"/>
      <c r="AB175" s="73"/>
      <c r="AC175" s="73"/>
      <c r="AD175" s="73"/>
      <c r="AE175" s="73"/>
      <c r="AF175" s="73"/>
      <c r="AG175" s="73"/>
      <c r="AH175" s="73"/>
      <c r="AI175" s="74"/>
    </row>
    <row r="176" spans="26:35" ht="14.25" customHeight="1" x14ac:dyDescent="0.2">
      <c r="Z176" s="72"/>
      <c r="AA176" s="73"/>
      <c r="AB176" s="73"/>
      <c r="AC176" s="73"/>
      <c r="AD176" s="73"/>
      <c r="AE176" s="73"/>
      <c r="AF176" s="73"/>
      <c r="AG176" s="73"/>
      <c r="AH176" s="73"/>
      <c r="AI176" s="74"/>
    </row>
    <row r="177" spans="26:35" ht="14.25" customHeight="1" x14ac:dyDescent="0.2">
      <c r="Z177" s="72"/>
      <c r="AA177" s="73"/>
      <c r="AB177" s="73"/>
      <c r="AC177" s="73"/>
      <c r="AD177" s="73"/>
      <c r="AE177" s="73"/>
      <c r="AF177" s="73"/>
      <c r="AG177" s="73"/>
      <c r="AH177" s="73"/>
      <c r="AI177" s="74"/>
    </row>
    <row r="178" spans="26:35" ht="14.25" customHeight="1" x14ac:dyDescent="0.2">
      <c r="Z178" s="72"/>
      <c r="AA178" s="73"/>
      <c r="AB178" s="73"/>
      <c r="AC178" s="73"/>
      <c r="AD178" s="73"/>
      <c r="AE178" s="73"/>
      <c r="AF178" s="73"/>
      <c r="AG178" s="73"/>
      <c r="AH178" s="73"/>
      <c r="AI178" s="74"/>
    </row>
    <row r="179" spans="26:35" ht="14.25" customHeight="1" x14ac:dyDescent="0.2">
      <c r="Z179" s="72"/>
      <c r="AA179" s="73"/>
      <c r="AB179" s="73"/>
      <c r="AC179" s="73"/>
      <c r="AD179" s="73"/>
      <c r="AE179" s="73"/>
      <c r="AF179" s="73"/>
      <c r="AG179" s="73"/>
      <c r="AH179" s="73"/>
      <c r="AI179" s="74"/>
    </row>
    <row r="180" spans="26:35" ht="14.25" customHeight="1" x14ac:dyDescent="0.2">
      <c r="Z180" s="72"/>
      <c r="AA180" s="73"/>
      <c r="AB180" s="73"/>
      <c r="AC180" s="73"/>
      <c r="AD180" s="73"/>
      <c r="AE180" s="73"/>
      <c r="AF180" s="73"/>
      <c r="AG180" s="73"/>
      <c r="AH180" s="73"/>
      <c r="AI180" s="74"/>
    </row>
    <row r="181" spans="26:35" ht="14.25" customHeight="1" x14ac:dyDescent="0.2">
      <c r="Z181" s="72"/>
      <c r="AA181" s="73"/>
      <c r="AB181" s="73"/>
      <c r="AC181" s="73"/>
      <c r="AD181" s="73"/>
      <c r="AE181" s="73"/>
      <c r="AF181" s="73"/>
      <c r="AG181" s="73"/>
      <c r="AH181" s="73"/>
      <c r="AI181" s="74"/>
    </row>
    <row r="182" spans="26:35" ht="14.25" customHeight="1" x14ac:dyDescent="0.2">
      <c r="Z182" s="72"/>
      <c r="AA182" s="73"/>
      <c r="AB182" s="73"/>
      <c r="AC182" s="73"/>
      <c r="AD182" s="73"/>
      <c r="AE182" s="73"/>
      <c r="AF182" s="73"/>
      <c r="AG182" s="73"/>
      <c r="AH182" s="73"/>
      <c r="AI182" s="74"/>
    </row>
    <row r="183" spans="26:35" ht="14.25" customHeight="1" x14ac:dyDescent="0.2">
      <c r="Z183" s="72"/>
      <c r="AA183" s="73"/>
      <c r="AB183" s="73"/>
      <c r="AC183" s="73"/>
      <c r="AD183" s="73"/>
      <c r="AE183" s="73"/>
      <c r="AF183" s="73"/>
      <c r="AG183" s="73"/>
      <c r="AH183" s="73"/>
      <c r="AI183" s="74"/>
    </row>
    <row r="184" spans="26:35" ht="14.25" customHeight="1" x14ac:dyDescent="0.2">
      <c r="Z184" s="72"/>
      <c r="AA184" s="73"/>
      <c r="AB184" s="73"/>
      <c r="AC184" s="73"/>
      <c r="AD184" s="73"/>
      <c r="AE184" s="73"/>
      <c r="AF184" s="73"/>
      <c r="AG184" s="73"/>
      <c r="AH184" s="73"/>
      <c r="AI184" s="74"/>
    </row>
    <row r="185" spans="26:35" ht="14.25" customHeight="1" x14ac:dyDescent="0.2">
      <c r="Z185" s="72"/>
      <c r="AA185" s="73"/>
      <c r="AB185" s="73"/>
      <c r="AC185" s="73"/>
      <c r="AD185" s="73"/>
      <c r="AE185" s="73"/>
      <c r="AF185" s="73"/>
      <c r="AG185" s="73"/>
      <c r="AH185" s="73"/>
      <c r="AI185" s="74"/>
    </row>
    <row r="186" spans="26:35" ht="14.25" customHeight="1" x14ac:dyDescent="0.2">
      <c r="Z186" s="72"/>
      <c r="AA186" s="73"/>
      <c r="AB186" s="73"/>
      <c r="AC186" s="73"/>
      <c r="AD186" s="73"/>
      <c r="AE186" s="73"/>
      <c r="AF186" s="73"/>
      <c r="AG186" s="73"/>
      <c r="AH186" s="73"/>
      <c r="AI186" s="74"/>
    </row>
    <row r="187" spans="26:35" ht="14.25" customHeight="1" x14ac:dyDescent="0.2">
      <c r="Z187" s="72"/>
      <c r="AA187" s="73"/>
      <c r="AB187" s="73"/>
      <c r="AC187" s="73"/>
      <c r="AD187" s="73"/>
      <c r="AE187" s="73"/>
      <c r="AF187" s="73"/>
      <c r="AG187" s="73"/>
      <c r="AH187" s="73"/>
      <c r="AI187" s="74"/>
    </row>
    <row r="188" spans="26:35" ht="14.25" customHeight="1" x14ac:dyDescent="0.2">
      <c r="Z188" s="72"/>
      <c r="AA188" s="73"/>
      <c r="AB188" s="73"/>
      <c r="AC188" s="73"/>
      <c r="AD188" s="73"/>
      <c r="AE188" s="73"/>
      <c r="AF188" s="73"/>
      <c r="AG188" s="73"/>
      <c r="AH188" s="73"/>
      <c r="AI188" s="74"/>
    </row>
    <row r="189" spans="26:35" ht="14.25" customHeight="1" x14ac:dyDescent="0.2">
      <c r="Z189" s="72"/>
      <c r="AA189" s="73"/>
      <c r="AB189" s="73"/>
      <c r="AC189" s="73"/>
      <c r="AD189" s="73"/>
      <c r="AE189" s="73"/>
      <c r="AF189" s="73"/>
      <c r="AG189" s="73"/>
      <c r="AH189" s="73"/>
      <c r="AI189" s="74"/>
    </row>
    <row r="190" spans="26:35" ht="14.25" customHeight="1" x14ac:dyDescent="0.2">
      <c r="Z190" s="72"/>
      <c r="AA190" s="73"/>
      <c r="AB190" s="73"/>
      <c r="AC190" s="73"/>
      <c r="AD190" s="73"/>
      <c r="AE190" s="73"/>
      <c r="AF190" s="73"/>
      <c r="AG190" s="73"/>
      <c r="AH190" s="73"/>
      <c r="AI190" s="74"/>
    </row>
    <row r="191" spans="26:35" ht="14.25" customHeight="1" x14ac:dyDescent="0.2">
      <c r="Z191" s="72"/>
      <c r="AA191" s="73"/>
      <c r="AB191" s="73"/>
      <c r="AC191" s="73"/>
      <c r="AD191" s="73"/>
      <c r="AE191" s="73"/>
      <c r="AF191" s="73"/>
      <c r="AG191" s="73"/>
      <c r="AH191" s="73"/>
      <c r="AI191" s="74"/>
    </row>
    <row r="192" spans="26:35" ht="14.25" customHeight="1" x14ac:dyDescent="0.2">
      <c r="Z192" s="72"/>
      <c r="AA192" s="73"/>
      <c r="AB192" s="73"/>
      <c r="AC192" s="73"/>
      <c r="AD192" s="73"/>
      <c r="AE192" s="73"/>
      <c r="AF192" s="73"/>
      <c r="AG192" s="73"/>
      <c r="AH192" s="73"/>
      <c r="AI192" s="74"/>
    </row>
    <row r="193" spans="26:35" ht="14.25" customHeight="1" x14ac:dyDescent="0.2">
      <c r="Z193" s="72"/>
      <c r="AA193" s="73"/>
      <c r="AB193" s="73"/>
      <c r="AC193" s="73"/>
      <c r="AD193" s="73"/>
      <c r="AE193" s="73"/>
      <c r="AF193" s="73"/>
      <c r="AG193" s="73"/>
      <c r="AH193" s="73"/>
      <c r="AI193" s="74"/>
    </row>
    <row r="194" spans="26:35" ht="14.25" customHeight="1" x14ac:dyDescent="0.2">
      <c r="Z194" s="72"/>
      <c r="AA194" s="73"/>
      <c r="AB194" s="73"/>
      <c r="AC194" s="73"/>
      <c r="AD194" s="73"/>
      <c r="AE194" s="73"/>
      <c r="AF194" s="73"/>
      <c r="AG194" s="73"/>
      <c r="AH194" s="73"/>
      <c r="AI194" s="74"/>
    </row>
    <row r="195" spans="26:35" ht="14.25" customHeight="1" x14ac:dyDescent="0.2">
      <c r="Z195" s="72"/>
      <c r="AA195" s="73"/>
      <c r="AB195" s="73"/>
      <c r="AC195" s="73"/>
      <c r="AD195" s="73"/>
      <c r="AE195" s="73"/>
      <c r="AF195" s="73"/>
      <c r="AG195" s="73"/>
      <c r="AH195" s="73"/>
      <c r="AI195" s="74"/>
    </row>
    <row r="196" spans="26:35" ht="14.25" customHeight="1" x14ac:dyDescent="0.2">
      <c r="Z196" s="72"/>
      <c r="AA196" s="73"/>
      <c r="AB196" s="73"/>
      <c r="AC196" s="73"/>
      <c r="AD196" s="73"/>
      <c r="AE196" s="73"/>
      <c r="AF196" s="73"/>
      <c r="AG196" s="73"/>
      <c r="AH196" s="73"/>
      <c r="AI196" s="74"/>
    </row>
    <row r="197" spans="26:35" ht="14.25" customHeight="1" x14ac:dyDescent="0.2">
      <c r="Z197" s="72"/>
      <c r="AA197" s="73"/>
      <c r="AB197" s="73"/>
      <c r="AC197" s="73"/>
      <c r="AD197" s="73"/>
      <c r="AE197" s="73"/>
      <c r="AF197" s="73"/>
      <c r="AG197" s="73"/>
      <c r="AH197" s="73"/>
      <c r="AI197" s="74"/>
    </row>
    <row r="198" spans="26:35" ht="14.25" customHeight="1" x14ac:dyDescent="0.2">
      <c r="Z198" s="72"/>
      <c r="AA198" s="73"/>
      <c r="AB198" s="73"/>
      <c r="AC198" s="73"/>
      <c r="AD198" s="73"/>
      <c r="AE198" s="73"/>
      <c r="AF198" s="73"/>
      <c r="AG198" s="73"/>
      <c r="AH198" s="73"/>
      <c r="AI198" s="74"/>
    </row>
    <row r="199" spans="26:35" ht="14.25" customHeight="1" x14ac:dyDescent="0.2">
      <c r="Z199" s="72"/>
      <c r="AA199" s="73"/>
      <c r="AB199" s="73"/>
      <c r="AC199" s="73"/>
      <c r="AD199" s="73"/>
      <c r="AE199" s="73"/>
      <c r="AF199" s="73"/>
      <c r="AG199" s="73"/>
      <c r="AH199" s="73"/>
      <c r="AI199" s="74"/>
    </row>
    <row r="200" spans="26:35" ht="14.25" customHeight="1" x14ac:dyDescent="0.2">
      <c r="Z200" s="72"/>
      <c r="AA200" s="73"/>
      <c r="AB200" s="73"/>
      <c r="AC200" s="73"/>
      <c r="AD200" s="73"/>
      <c r="AE200" s="73"/>
      <c r="AF200" s="73"/>
      <c r="AG200" s="73"/>
      <c r="AH200" s="73"/>
      <c r="AI200" s="74"/>
    </row>
    <row r="201" spans="26:35" ht="14.25" customHeight="1" x14ac:dyDescent="0.2">
      <c r="Z201" s="72"/>
      <c r="AA201" s="73"/>
      <c r="AB201" s="73"/>
      <c r="AC201" s="73"/>
      <c r="AD201" s="73"/>
      <c r="AE201" s="73"/>
      <c r="AF201" s="73"/>
      <c r="AG201" s="73"/>
      <c r="AH201" s="73"/>
      <c r="AI201" s="74"/>
    </row>
    <row r="202" spans="26:35" ht="14.25" customHeight="1" x14ac:dyDescent="0.2">
      <c r="Z202" s="72"/>
      <c r="AA202" s="73"/>
      <c r="AB202" s="73"/>
      <c r="AC202" s="73"/>
      <c r="AD202" s="73"/>
      <c r="AE202" s="73"/>
      <c r="AF202" s="73"/>
      <c r="AG202" s="73"/>
      <c r="AH202" s="73"/>
      <c r="AI202" s="74"/>
    </row>
    <row r="203" spans="26:35" ht="14.25" customHeight="1" x14ac:dyDescent="0.2">
      <c r="Z203" s="72"/>
      <c r="AA203" s="73"/>
      <c r="AB203" s="73"/>
      <c r="AC203" s="73"/>
      <c r="AD203" s="73"/>
      <c r="AE203" s="73"/>
      <c r="AF203" s="73"/>
      <c r="AG203" s="73"/>
      <c r="AH203" s="73"/>
      <c r="AI203" s="74"/>
    </row>
    <row r="204" spans="26:35" ht="14.25" customHeight="1" x14ac:dyDescent="0.2">
      <c r="Z204" s="72"/>
      <c r="AA204" s="73"/>
      <c r="AB204" s="73"/>
      <c r="AC204" s="73"/>
      <c r="AD204" s="73"/>
      <c r="AE204" s="73"/>
      <c r="AF204" s="73"/>
      <c r="AG204" s="73"/>
      <c r="AH204" s="73"/>
      <c r="AI204" s="74"/>
    </row>
    <row r="205" spans="26:35" ht="14.25" customHeight="1" x14ac:dyDescent="0.2">
      <c r="Z205" s="72"/>
      <c r="AA205" s="73"/>
      <c r="AB205" s="73"/>
      <c r="AC205" s="73"/>
      <c r="AD205" s="73"/>
      <c r="AE205" s="73"/>
      <c r="AF205" s="73"/>
      <c r="AG205" s="73"/>
      <c r="AH205" s="73"/>
      <c r="AI205" s="74"/>
    </row>
    <row r="206" spans="26:35" ht="14.25" customHeight="1" x14ac:dyDescent="0.2">
      <c r="Z206" s="72"/>
      <c r="AA206" s="73"/>
      <c r="AB206" s="73"/>
      <c r="AC206" s="73"/>
      <c r="AD206" s="73"/>
      <c r="AE206" s="73"/>
      <c r="AF206" s="73"/>
      <c r="AG206" s="73"/>
      <c r="AH206" s="73"/>
      <c r="AI206" s="74"/>
    </row>
    <row r="207" spans="26:35" ht="14.25" customHeight="1" x14ac:dyDescent="0.2">
      <c r="Z207" s="72"/>
      <c r="AA207" s="73"/>
      <c r="AB207" s="73"/>
      <c r="AC207" s="73"/>
      <c r="AD207" s="73"/>
      <c r="AE207" s="73"/>
      <c r="AF207" s="73"/>
      <c r="AG207" s="73"/>
      <c r="AH207" s="73"/>
      <c r="AI207" s="74"/>
    </row>
    <row r="208" spans="26:35" ht="14.25" customHeight="1" x14ac:dyDescent="0.2">
      <c r="Z208" s="72"/>
      <c r="AA208" s="73"/>
      <c r="AB208" s="73"/>
      <c r="AC208" s="73"/>
      <c r="AD208" s="73"/>
      <c r="AE208" s="73"/>
      <c r="AF208" s="73"/>
      <c r="AG208" s="73"/>
      <c r="AH208" s="73"/>
      <c r="AI208" s="74"/>
    </row>
    <row r="209" spans="26:35" ht="14.25" customHeight="1" x14ac:dyDescent="0.2">
      <c r="Z209" s="72"/>
      <c r="AA209" s="73"/>
      <c r="AB209" s="73"/>
      <c r="AC209" s="73"/>
      <c r="AD209" s="73"/>
      <c r="AE209" s="73"/>
      <c r="AF209" s="73"/>
      <c r="AG209" s="73"/>
      <c r="AH209" s="73"/>
      <c r="AI209" s="74"/>
    </row>
    <row r="210" spans="26:35" ht="14.25" customHeight="1" x14ac:dyDescent="0.2">
      <c r="Z210" s="72"/>
      <c r="AA210" s="73"/>
      <c r="AB210" s="73"/>
      <c r="AC210" s="73"/>
      <c r="AD210" s="73"/>
      <c r="AE210" s="73"/>
      <c r="AF210" s="73"/>
      <c r="AG210" s="73"/>
      <c r="AH210" s="73"/>
      <c r="AI210" s="74"/>
    </row>
    <row r="211" spans="26:35" ht="14.25" customHeight="1" x14ac:dyDescent="0.2">
      <c r="Z211" s="72"/>
      <c r="AA211" s="73"/>
      <c r="AB211" s="73"/>
      <c r="AC211" s="73"/>
      <c r="AD211" s="73"/>
      <c r="AE211" s="73"/>
      <c r="AF211" s="73"/>
      <c r="AG211" s="73"/>
      <c r="AH211" s="73"/>
      <c r="AI211" s="74"/>
    </row>
    <row r="212" spans="26:35" ht="14.25" customHeight="1" x14ac:dyDescent="0.2">
      <c r="Z212" s="72"/>
      <c r="AA212" s="73"/>
      <c r="AB212" s="73"/>
      <c r="AC212" s="73"/>
      <c r="AD212" s="73"/>
      <c r="AE212" s="73"/>
      <c r="AF212" s="73"/>
      <c r="AG212" s="73"/>
      <c r="AH212" s="73"/>
      <c r="AI212" s="74"/>
    </row>
    <row r="213" spans="26:35" ht="14.25" customHeight="1" x14ac:dyDescent="0.2">
      <c r="Z213" s="72"/>
      <c r="AA213" s="73"/>
      <c r="AB213" s="73"/>
      <c r="AC213" s="73"/>
      <c r="AD213" s="73"/>
      <c r="AE213" s="73"/>
      <c r="AF213" s="73"/>
      <c r="AG213" s="73"/>
      <c r="AH213" s="73"/>
      <c r="AI213" s="74"/>
    </row>
    <row r="214" spans="26:35" ht="14.25" customHeight="1" x14ac:dyDescent="0.2">
      <c r="Z214" s="72"/>
      <c r="AA214" s="73"/>
      <c r="AB214" s="73"/>
      <c r="AC214" s="73"/>
      <c r="AD214" s="73"/>
      <c r="AE214" s="73"/>
      <c r="AF214" s="73"/>
      <c r="AG214" s="73"/>
      <c r="AH214" s="73"/>
      <c r="AI214" s="74"/>
    </row>
    <row r="215" spans="26:35" ht="14.25" customHeight="1" x14ac:dyDescent="0.2">
      <c r="Z215" s="72"/>
      <c r="AA215" s="73"/>
      <c r="AB215" s="73"/>
      <c r="AC215" s="73"/>
      <c r="AD215" s="73"/>
      <c r="AE215" s="73"/>
      <c r="AF215" s="73"/>
      <c r="AG215" s="73"/>
      <c r="AH215" s="73"/>
      <c r="AI215" s="74"/>
    </row>
    <row r="216" spans="26:35" ht="14.25" customHeight="1" x14ac:dyDescent="0.2">
      <c r="Z216" s="72"/>
      <c r="AA216" s="73"/>
      <c r="AB216" s="73"/>
      <c r="AC216" s="73"/>
      <c r="AD216" s="73"/>
      <c r="AE216" s="73"/>
      <c r="AF216" s="73"/>
      <c r="AG216" s="73"/>
      <c r="AH216" s="73"/>
      <c r="AI216" s="74"/>
    </row>
    <row r="217" spans="26:35" ht="14.25" customHeight="1" x14ac:dyDescent="0.2">
      <c r="Z217" s="72"/>
      <c r="AA217" s="73"/>
      <c r="AB217" s="73"/>
      <c r="AC217" s="73"/>
      <c r="AD217" s="73"/>
      <c r="AE217" s="73"/>
      <c r="AF217" s="73"/>
      <c r="AG217" s="73"/>
      <c r="AH217" s="73"/>
      <c r="AI217" s="74"/>
    </row>
    <row r="218" spans="26:35" ht="14.25" customHeight="1" x14ac:dyDescent="0.2">
      <c r="Z218" s="72"/>
      <c r="AA218" s="73"/>
      <c r="AB218" s="73"/>
      <c r="AC218" s="73"/>
      <c r="AD218" s="73"/>
      <c r="AE218" s="73"/>
      <c r="AF218" s="73"/>
      <c r="AG218" s="73"/>
      <c r="AH218" s="73"/>
      <c r="AI218" s="74"/>
    </row>
    <row r="219" spans="26:35" ht="14.25" customHeight="1" x14ac:dyDescent="0.2">
      <c r="Z219" s="72"/>
      <c r="AA219" s="73"/>
      <c r="AB219" s="73"/>
      <c r="AC219" s="73"/>
      <c r="AD219" s="73"/>
      <c r="AE219" s="73"/>
      <c r="AF219" s="73"/>
      <c r="AG219" s="73"/>
      <c r="AH219" s="73"/>
      <c r="AI219" s="74"/>
    </row>
    <row r="220" spans="26:35" ht="14.25" customHeight="1" x14ac:dyDescent="0.2">
      <c r="Z220" s="72"/>
      <c r="AA220" s="73"/>
      <c r="AB220" s="73"/>
      <c r="AC220" s="73"/>
      <c r="AD220" s="73"/>
      <c r="AE220" s="73"/>
      <c r="AF220" s="73"/>
      <c r="AG220" s="73"/>
      <c r="AH220" s="73"/>
      <c r="AI220" s="74"/>
    </row>
    <row r="221" spans="26:35" ht="14.25" customHeight="1" x14ac:dyDescent="0.2">
      <c r="Z221" s="72"/>
      <c r="AA221" s="73"/>
      <c r="AB221" s="73"/>
      <c r="AC221" s="73"/>
      <c r="AD221" s="73"/>
      <c r="AE221" s="73"/>
      <c r="AF221" s="73"/>
      <c r="AG221" s="73"/>
      <c r="AH221" s="73"/>
      <c r="AI221" s="74"/>
    </row>
    <row r="222" spans="26:35" ht="14.25" customHeight="1" x14ac:dyDescent="0.2">
      <c r="Z222" s="72"/>
      <c r="AA222" s="73"/>
      <c r="AB222" s="73"/>
      <c r="AC222" s="73"/>
      <c r="AD222" s="73"/>
      <c r="AE222" s="73"/>
      <c r="AF222" s="73"/>
      <c r="AG222" s="73"/>
      <c r="AH222" s="73"/>
      <c r="AI222" s="74"/>
    </row>
    <row r="223" spans="26:35" ht="14.25" customHeight="1" x14ac:dyDescent="0.2">
      <c r="Z223" s="72"/>
      <c r="AA223" s="73"/>
      <c r="AB223" s="73"/>
      <c r="AC223" s="73"/>
      <c r="AD223" s="73"/>
      <c r="AE223" s="73"/>
      <c r="AF223" s="73"/>
      <c r="AG223" s="73"/>
      <c r="AH223" s="73"/>
      <c r="AI223" s="74"/>
    </row>
    <row r="224" spans="26:35" ht="14.25" customHeight="1" x14ac:dyDescent="0.2">
      <c r="Z224" s="72"/>
      <c r="AA224" s="73"/>
      <c r="AB224" s="73"/>
      <c r="AC224" s="73"/>
      <c r="AD224" s="73"/>
      <c r="AE224" s="73"/>
      <c r="AF224" s="73"/>
      <c r="AG224" s="73"/>
      <c r="AH224" s="73"/>
      <c r="AI224" s="74"/>
    </row>
    <row r="225" spans="26:35" ht="14.25" customHeight="1" x14ac:dyDescent="0.2">
      <c r="Z225" s="72"/>
      <c r="AA225" s="73"/>
      <c r="AB225" s="73"/>
      <c r="AC225" s="73"/>
      <c r="AD225" s="73"/>
      <c r="AE225" s="73"/>
      <c r="AF225" s="73"/>
      <c r="AG225" s="73"/>
      <c r="AH225" s="73"/>
      <c r="AI225" s="74"/>
    </row>
    <row r="226" spans="26:35" ht="14.25" customHeight="1" x14ac:dyDescent="0.2">
      <c r="Z226" s="72"/>
      <c r="AA226" s="73"/>
      <c r="AB226" s="73"/>
      <c r="AC226" s="73"/>
      <c r="AD226" s="73"/>
      <c r="AE226" s="73"/>
      <c r="AF226" s="73"/>
      <c r="AG226" s="73"/>
      <c r="AH226" s="73"/>
      <c r="AI226" s="74"/>
    </row>
    <row r="227" spans="26:35" ht="14.25" customHeight="1" x14ac:dyDescent="0.2">
      <c r="Z227" s="72"/>
      <c r="AA227" s="73"/>
      <c r="AB227" s="73"/>
      <c r="AC227" s="73"/>
      <c r="AD227" s="73"/>
      <c r="AE227" s="73"/>
      <c r="AF227" s="73"/>
      <c r="AG227" s="73"/>
      <c r="AH227" s="73"/>
      <c r="AI227" s="74"/>
    </row>
    <row r="228" spans="26:35" ht="14.25" customHeight="1" x14ac:dyDescent="0.2">
      <c r="Z228" s="72"/>
      <c r="AA228" s="73"/>
      <c r="AB228" s="73"/>
      <c r="AC228" s="73"/>
      <c r="AD228" s="73"/>
      <c r="AE228" s="73"/>
      <c r="AF228" s="73"/>
      <c r="AG228" s="73"/>
      <c r="AH228" s="73"/>
      <c r="AI228" s="74"/>
    </row>
    <row r="229" spans="26:35" ht="14.25" customHeight="1" x14ac:dyDescent="0.2">
      <c r="Z229" s="72"/>
      <c r="AA229" s="73"/>
      <c r="AB229" s="73"/>
      <c r="AC229" s="73"/>
      <c r="AD229" s="73"/>
      <c r="AE229" s="73"/>
      <c r="AF229" s="73"/>
      <c r="AG229" s="73"/>
      <c r="AH229" s="73"/>
      <c r="AI229" s="74"/>
    </row>
    <row r="230" spans="26:35" ht="14.25" customHeight="1" x14ac:dyDescent="0.2">
      <c r="Z230" s="72"/>
      <c r="AA230" s="73"/>
      <c r="AB230" s="73"/>
      <c r="AC230" s="73"/>
      <c r="AD230" s="73"/>
      <c r="AE230" s="73"/>
      <c r="AF230" s="73"/>
      <c r="AG230" s="73"/>
      <c r="AH230" s="73"/>
      <c r="AI230" s="74"/>
    </row>
    <row r="231" spans="26:35" ht="14.25" customHeight="1" x14ac:dyDescent="0.2">
      <c r="Z231" s="72"/>
      <c r="AA231" s="73"/>
      <c r="AB231" s="73"/>
      <c r="AC231" s="73"/>
      <c r="AD231" s="73"/>
      <c r="AE231" s="73"/>
      <c r="AF231" s="73"/>
      <c r="AG231" s="73"/>
      <c r="AH231" s="73"/>
      <c r="AI231" s="74"/>
    </row>
    <row r="232" spans="26:35" ht="14.25" customHeight="1" x14ac:dyDescent="0.2">
      <c r="Z232" s="72"/>
      <c r="AA232" s="73"/>
      <c r="AB232" s="73"/>
      <c r="AC232" s="73"/>
      <c r="AD232" s="73"/>
      <c r="AE232" s="73"/>
      <c r="AF232" s="73"/>
      <c r="AG232" s="73"/>
      <c r="AH232" s="73"/>
      <c r="AI232" s="74"/>
    </row>
    <row r="233" spans="26:35" ht="14.25" customHeight="1" x14ac:dyDescent="0.2">
      <c r="Z233" s="72"/>
      <c r="AA233" s="73"/>
      <c r="AB233" s="73"/>
      <c r="AC233" s="73"/>
      <c r="AD233" s="73"/>
      <c r="AE233" s="73"/>
      <c r="AF233" s="73"/>
      <c r="AG233" s="73"/>
      <c r="AH233" s="73"/>
      <c r="AI233" s="74"/>
    </row>
    <row r="234" spans="26:35" ht="14.25" customHeight="1" x14ac:dyDescent="0.2">
      <c r="Z234" s="72"/>
      <c r="AA234" s="73"/>
      <c r="AB234" s="73"/>
      <c r="AC234" s="73"/>
      <c r="AD234" s="73"/>
      <c r="AE234" s="73"/>
      <c r="AF234" s="73"/>
      <c r="AG234" s="73"/>
      <c r="AH234" s="73"/>
      <c r="AI234" s="74"/>
    </row>
    <row r="235" spans="26:35" ht="14.25" customHeight="1" x14ac:dyDescent="0.2">
      <c r="Z235" s="72"/>
      <c r="AA235" s="73"/>
      <c r="AB235" s="73"/>
      <c r="AC235" s="73"/>
      <c r="AD235" s="73"/>
      <c r="AE235" s="73"/>
      <c r="AF235" s="73"/>
      <c r="AG235" s="73"/>
      <c r="AH235" s="73"/>
      <c r="AI235" s="74"/>
    </row>
    <row r="236" spans="26:35" ht="14.25" customHeight="1" x14ac:dyDescent="0.2">
      <c r="Z236" s="72"/>
      <c r="AA236" s="73"/>
      <c r="AB236" s="73"/>
      <c r="AC236" s="73"/>
      <c r="AD236" s="73"/>
      <c r="AE236" s="73"/>
      <c r="AF236" s="73"/>
      <c r="AG236" s="73"/>
      <c r="AH236" s="73"/>
      <c r="AI236" s="74"/>
    </row>
    <row r="237" spans="26:35" ht="14.25" customHeight="1" x14ac:dyDescent="0.2">
      <c r="Z237" s="72"/>
      <c r="AA237" s="73"/>
      <c r="AB237" s="73"/>
      <c r="AC237" s="73"/>
      <c r="AD237" s="73"/>
      <c r="AE237" s="73"/>
      <c r="AF237" s="73"/>
      <c r="AG237" s="73"/>
      <c r="AH237" s="73"/>
      <c r="AI237" s="74"/>
    </row>
    <row r="238" spans="26:35" ht="14.25" customHeight="1" x14ac:dyDescent="0.2">
      <c r="Z238" s="72"/>
      <c r="AA238" s="73"/>
      <c r="AB238" s="73"/>
      <c r="AC238" s="73"/>
      <c r="AD238" s="73"/>
      <c r="AE238" s="73"/>
      <c r="AF238" s="73"/>
      <c r="AG238" s="73"/>
      <c r="AH238" s="73"/>
      <c r="AI238" s="74"/>
    </row>
    <row r="239" spans="26:35" ht="14.25" customHeight="1" x14ac:dyDescent="0.2">
      <c r="Z239" s="72"/>
      <c r="AA239" s="73"/>
      <c r="AB239" s="73"/>
      <c r="AC239" s="73"/>
      <c r="AD239" s="73"/>
      <c r="AE239" s="73"/>
      <c r="AF239" s="73"/>
      <c r="AG239" s="73"/>
      <c r="AH239" s="73"/>
      <c r="AI239" s="74"/>
    </row>
    <row r="240" spans="26:35" ht="14.25" customHeight="1" x14ac:dyDescent="0.2">
      <c r="Z240" s="72"/>
      <c r="AA240" s="73"/>
      <c r="AB240" s="73"/>
      <c r="AC240" s="73"/>
      <c r="AD240" s="73"/>
      <c r="AE240" s="73"/>
      <c r="AF240" s="73"/>
      <c r="AG240" s="73"/>
      <c r="AH240" s="73"/>
      <c r="AI240" s="74"/>
    </row>
    <row r="241" spans="26:35" ht="14.25" customHeight="1" x14ac:dyDescent="0.2">
      <c r="Z241" s="72"/>
      <c r="AA241" s="73"/>
      <c r="AB241" s="73"/>
      <c r="AC241" s="73"/>
      <c r="AD241" s="73"/>
      <c r="AE241" s="73"/>
      <c r="AF241" s="73"/>
      <c r="AG241" s="73"/>
      <c r="AH241" s="73"/>
      <c r="AI241" s="74"/>
    </row>
    <row r="242" spans="26:35" ht="14.25" customHeight="1" x14ac:dyDescent="0.2">
      <c r="Z242" s="72"/>
      <c r="AA242" s="73"/>
      <c r="AB242" s="73"/>
      <c r="AC242" s="73"/>
      <c r="AD242" s="73"/>
      <c r="AE242" s="73"/>
      <c r="AF242" s="73"/>
      <c r="AG242" s="73"/>
      <c r="AH242" s="73"/>
      <c r="AI242" s="74"/>
    </row>
    <row r="243" spans="26:35" ht="14.25" customHeight="1" x14ac:dyDescent="0.2">
      <c r="Z243" s="72"/>
      <c r="AA243" s="73"/>
      <c r="AB243" s="73"/>
      <c r="AC243" s="73"/>
      <c r="AD243" s="73"/>
      <c r="AE243" s="73"/>
      <c r="AF243" s="73"/>
      <c r="AG243" s="73"/>
      <c r="AH243" s="73"/>
      <c r="AI243" s="74"/>
    </row>
    <row r="244" spans="26:35" ht="14.25" customHeight="1" x14ac:dyDescent="0.2">
      <c r="Z244" s="72"/>
      <c r="AA244" s="73"/>
      <c r="AB244" s="73"/>
      <c r="AC244" s="73"/>
      <c r="AD244" s="73"/>
      <c r="AE244" s="73"/>
      <c r="AF244" s="73"/>
      <c r="AG244" s="73"/>
      <c r="AH244" s="73"/>
      <c r="AI244" s="74"/>
    </row>
    <row r="245" spans="26:35" ht="14.25" customHeight="1" x14ac:dyDescent="0.2">
      <c r="Z245" s="72"/>
      <c r="AA245" s="73"/>
      <c r="AB245" s="73"/>
      <c r="AC245" s="73"/>
      <c r="AD245" s="73"/>
      <c r="AE245" s="73"/>
      <c r="AF245" s="73"/>
      <c r="AG245" s="73"/>
      <c r="AH245" s="73"/>
      <c r="AI245" s="74"/>
    </row>
    <row r="246" spans="26:35" ht="14.25" customHeight="1" x14ac:dyDescent="0.2">
      <c r="Z246" s="72"/>
      <c r="AA246" s="73"/>
      <c r="AB246" s="73"/>
      <c r="AC246" s="73"/>
      <c r="AD246" s="73"/>
      <c r="AE246" s="73"/>
      <c r="AF246" s="73"/>
      <c r="AG246" s="73"/>
      <c r="AH246" s="73"/>
      <c r="AI246" s="74"/>
    </row>
    <row r="247" spans="26:35" ht="14.25" customHeight="1" x14ac:dyDescent="0.2">
      <c r="Z247" s="72"/>
      <c r="AA247" s="73"/>
      <c r="AB247" s="73"/>
      <c r="AC247" s="73"/>
      <c r="AD247" s="73"/>
      <c r="AE247" s="73"/>
      <c r="AF247" s="73"/>
      <c r="AG247" s="73"/>
      <c r="AH247" s="73"/>
      <c r="AI247" s="74"/>
    </row>
    <row r="248" spans="26:35" ht="14.25" customHeight="1" x14ac:dyDescent="0.2">
      <c r="Z248" s="72"/>
      <c r="AA248" s="73"/>
      <c r="AB248" s="73"/>
      <c r="AC248" s="73"/>
      <c r="AD248" s="73"/>
      <c r="AE248" s="73"/>
      <c r="AF248" s="73"/>
      <c r="AG248" s="73"/>
      <c r="AH248" s="73"/>
      <c r="AI248" s="74"/>
    </row>
    <row r="249" spans="26:35" ht="14.25" customHeight="1" x14ac:dyDescent="0.2">
      <c r="Z249" s="72"/>
      <c r="AA249" s="73"/>
      <c r="AB249" s="73"/>
      <c r="AC249" s="73"/>
      <c r="AD249" s="73"/>
      <c r="AE249" s="73"/>
      <c r="AF249" s="73"/>
      <c r="AG249" s="73"/>
      <c r="AH249" s="73"/>
      <c r="AI249" s="74"/>
    </row>
    <row r="250" spans="26:35" ht="14.25" customHeight="1" x14ac:dyDescent="0.2">
      <c r="Z250" s="72"/>
      <c r="AA250" s="73"/>
      <c r="AB250" s="73"/>
      <c r="AC250" s="73"/>
      <c r="AD250" s="73"/>
      <c r="AE250" s="73"/>
      <c r="AF250" s="73"/>
      <c r="AG250" s="73"/>
      <c r="AH250" s="73"/>
      <c r="AI250" s="74"/>
    </row>
    <row r="251" spans="26:35" ht="14.25" customHeight="1" x14ac:dyDescent="0.2">
      <c r="Z251" s="72"/>
      <c r="AA251" s="73"/>
      <c r="AB251" s="73"/>
      <c r="AC251" s="73"/>
      <c r="AD251" s="73"/>
      <c r="AE251" s="73"/>
      <c r="AF251" s="73"/>
      <c r="AG251" s="73"/>
      <c r="AH251" s="73"/>
      <c r="AI251" s="74"/>
    </row>
    <row r="252" spans="26:35" ht="14.25" customHeight="1" x14ac:dyDescent="0.2">
      <c r="Z252" s="72"/>
      <c r="AA252" s="73"/>
      <c r="AB252" s="73"/>
      <c r="AC252" s="73"/>
      <c r="AD252" s="73"/>
      <c r="AE252" s="73"/>
      <c r="AF252" s="73"/>
      <c r="AG252" s="73"/>
      <c r="AH252" s="73"/>
      <c r="AI252" s="74"/>
    </row>
    <row r="253" spans="26:35" ht="14.25" customHeight="1" x14ac:dyDescent="0.2">
      <c r="Z253" s="72"/>
      <c r="AA253" s="73"/>
      <c r="AB253" s="73"/>
      <c r="AC253" s="73"/>
      <c r="AD253" s="73"/>
      <c r="AE253" s="73"/>
      <c r="AF253" s="73"/>
      <c r="AG253" s="73"/>
      <c r="AH253" s="73"/>
      <c r="AI253" s="74"/>
    </row>
    <row r="254" spans="26:35" ht="14.25" customHeight="1" x14ac:dyDescent="0.2">
      <c r="Z254" s="72"/>
      <c r="AA254" s="73"/>
      <c r="AB254" s="73"/>
      <c r="AC254" s="73"/>
      <c r="AD254" s="73"/>
      <c r="AE254" s="73"/>
      <c r="AF254" s="73"/>
      <c r="AG254" s="73"/>
      <c r="AH254" s="73"/>
      <c r="AI254" s="74"/>
    </row>
    <row r="255" spans="26:35" ht="14.25" customHeight="1" x14ac:dyDescent="0.2">
      <c r="Z255" s="72"/>
      <c r="AA255" s="73"/>
      <c r="AB255" s="73"/>
      <c r="AC255" s="73"/>
      <c r="AD255" s="73"/>
      <c r="AE255" s="73"/>
      <c r="AF255" s="73"/>
      <c r="AG255" s="73"/>
      <c r="AH255" s="73"/>
      <c r="AI255" s="74"/>
    </row>
    <row r="256" spans="26:35" ht="14.25" customHeight="1" x14ac:dyDescent="0.2">
      <c r="Z256" s="72"/>
      <c r="AA256" s="73"/>
      <c r="AB256" s="73"/>
      <c r="AC256" s="73"/>
      <c r="AD256" s="73"/>
      <c r="AE256" s="73"/>
      <c r="AF256" s="73"/>
      <c r="AG256" s="73"/>
      <c r="AH256" s="73"/>
      <c r="AI256" s="74"/>
    </row>
    <row r="257" spans="26:35" ht="14.25" customHeight="1" x14ac:dyDescent="0.2">
      <c r="Z257" s="72"/>
      <c r="AA257" s="73"/>
      <c r="AB257" s="73"/>
      <c r="AC257" s="73"/>
      <c r="AD257" s="73"/>
      <c r="AE257" s="73"/>
      <c r="AF257" s="73"/>
      <c r="AG257" s="73"/>
      <c r="AH257" s="73"/>
      <c r="AI257" s="74"/>
    </row>
    <row r="258" spans="26:35" ht="14.25" customHeight="1" x14ac:dyDescent="0.2">
      <c r="Z258" s="72"/>
      <c r="AA258" s="73"/>
      <c r="AB258" s="73"/>
      <c r="AC258" s="73"/>
      <c r="AD258" s="73"/>
      <c r="AE258" s="73"/>
      <c r="AF258" s="73"/>
      <c r="AG258" s="73"/>
      <c r="AH258" s="73"/>
      <c r="AI258" s="74"/>
    </row>
    <row r="259" spans="26:35" ht="14.25" customHeight="1" x14ac:dyDescent="0.2">
      <c r="Z259" s="72"/>
      <c r="AA259" s="73"/>
      <c r="AB259" s="73"/>
      <c r="AC259" s="73"/>
      <c r="AD259" s="73"/>
      <c r="AE259" s="73"/>
      <c r="AF259" s="73"/>
      <c r="AG259" s="73"/>
      <c r="AH259" s="73"/>
      <c r="AI259" s="74"/>
    </row>
    <row r="260" spans="26:35" ht="14.25" customHeight="1" x14ac:dyDescent="0.2">
      <c r="Z260" s="72"/>
      <c r="AA260" s="73"/>
      <c r="AB260" s="73"/>
      <c r="AC260" s="73"/>
      <c r="AD260" s="73"/>
      <c r="AE260" s="73"/>
      <c r="AF260" s="73"/>
      <c r="AG260" s="73"/>
      <c r="AH260" s="73"/>
      <c r="AI260" s="74"/>
    </row>
    <row r="261" spans="26:35" ht="14.25" customHeight="1" x14ac:dyDescent="0.2">
      <c r="Z261" s="72"/>
      <c r="AA261" s="73"/>
      <c r="AB261" s="73"/>
      <c r="AC261" s="73"/>
      <c r="AD261" s="73"/>
      <c r="AE261" s="73"/>
      <c r="AF261" s="73"/>
      <c r="AG261" s="73"/>
      <c r="AH261" s="73"/>
      <c r="AI261" s="74"/>
    </row>
    <row r="262" spans="26:35" ht="14.25" customHeight="1" x14ac:dyDescent="0.2">
      <c r="Z262" s="72"/>
      <c r="AA262" s="73"/>
      <c r="AB262" s="73"/>
      <c r="AC262" s="73"/>
      <c r="AD262" s="73"/>
      <c r="AE262" s="73"/>
      <c r="AF262" s="73"/>
      <c r="AG262" s="73"/>
      <c r="AH262" s="73"/>
      <c r="AI262" s="74"/>
    </row>
    <row r="263" spans="26:35" ht="14.25" customHeight="1" x14ac:dyDescent="0.2">
      <c r="Z263" s="72"/>
      <c r="AA263" s="73"/>
      <c r="AB263" s="73"/>
      <c r="AC263" s="73"/>
      <c r="AD263" s="73"/>
      <c r="AE263" s="73"/>
      <c r="AF263" s="73"/>
      <c r="AG263" s="73"/>
      <c r="AH263" s="73"/>
      <c r="AI263" s="74"/>
    </row>
    <row r="264" spans="26:35" ht="14.25" customHeight="1" x14ac:dyDescent="0.2">
      <c r="Z264" s="72"/>
      <c r="AA264" s="73"/>
      <c r="AB264" s="73"/>
      <c r="AC264" s="73"/>
      <c r="AD264" s="73"/>
      <c r="AE264" s="73"/>
      <c r="AF264" s="73"/>
      <c r="AG264" s="73"/>
      <c r="AH264" s="73"/>
      <c r="AI264" s="74"/>
    </row>
    <row r="265" spans="26:35" ht="14.25" customHeight="1" x14ac:dyDescent="0.2">
      <c r="Z265" s="72"/>
      <c r="AA265" s="73"/>
      <c r="AB265" s="73"/>
      <c r="AC265" s="73"/>
      <c r="AD265" s="73"/>
      <c r="AE265" s="73"/>
      <c r="AF265" s="73"/>
      <c r="AG265" s="73"/>
      <c r="AH265" s="73"/>
      <c r="AI265" s="74"/>
    </row>
    <row r="266" spans="26:35" ht="14.25" customHeight="1" x14ac:dyDescent="0.2">
      <c r="Z266" s="72"/>
      <c r="AA266" s="73"/>
      <c r="AB266" s="73"/>
      <c r="AC266" s="73"/>
      <c r="AD266" s="73"/>
      <c r="AE266" s="73"/>
      <c r="AF266" s="73"/>
      <c r="AG266" s="73"/>
      <c r="AH266" s="73"/>
      <c r="AI266" s="74"/>
    </row>
    <row r="267" spans="26:35" ht="14.25" customHeight="1" x14ac:dyDescent="0.2">
      <c r="Z267" s="72"/>
      <c r="AA267" s="73"/>
      <c r="AB267" s="73"/>
      <c r="AC267" s="73"/>
      <c r="AD267" s="73"/>
      <c r="AE267" s="73"/>
      <c r="AF267" s="73"/>
      <c r="AG267" s="73"/>
      <c r="AH267" s="73"/>
      <c r="AI267" s="74"/>
    </row>
    <row r="268" spans="26:35" ht="14.25" customHeight="1" x14ac:dyDescent="0.2">
      <c r="Z268" s="72"/>
      <c r="AA268" s="73"/>
      <c r="AB268" s="73"/>
      <c r="AC268" s="73"/>
      <c r="AD268" s="73"/>
      <c r="AE268" s="73"/>
      <c r="AF268" s="73"/>
      <c r="AG268" s="73"/>
      <c r="AH268" s="73"/>
      <c r="AI268" s="74"/>
    </row>
    <row r="269" spans="26:35" ht="14.25" customHeight="1" x14ac:dyDescent="0.2">
      <c r="Z269" s="72"/>
      <c r="AA269" s="73"/>
      <c r="AB269" s="73"/>
      <c r="AC269" s="73"/>
      <c r="AD269" s="73"/>
      <c r="AE269" s="73"/>
      <c r="AF269" s="73"/>
      <c r="AG269" s="73"/>
      <c r="AH269" s="73"/>
      <c r="AI269" s="74"/>
    </row>
    <row r="270" spans="26:35" ht="14.25" customHeight="1" x14ac:dyDescent="0.2">
      <c r="Z270" s="72"/>
      <c r="AA270" s="73"/>
      <c r="AB270" s="73"/>
      <c r="AC270" s="73"/>
      <c r="AD270" s="73"/>
      <c r="AE270" s="73"/>
      <c r="AF270" s="73"/>
      <c r="AG270" s="73"/>
      <c r="AH270" s="73"/>
      <c r="AI270" s="74"/>
    </row>
    <row r="271" spans="26:35" ht="14.25" customHeight="1" x14ac:dyDescent="0.2">
      <c r="Z271" s="72"/>
      <c r="AA271" s="73"/>
      <c r="AB271" s="73"/>
      <c r="AC271" s="73"/>
      <c r="AD271" s="73"/>
      <c r="AE271" s="73"/>
      <c r="AF271" s="73"/>
      <c r="AG271" s="73"/>
      <c r="AH271" s="73"/>
      <c r="AI271" s="74"/>
    </row>
    <row r="272" spans="26:35" ht="14.25" customHeight="1" x14ac:dyDescent="0.2">
      <c r="Z272" s="72"/>
      <c r="AA272" s="73"/>
      <c r="AB272" s="73"/>
      <c r="AC272" s="73"/>
      <c r="AD272" s="73"/>
      <c r="AE272" s="73"/>
      <c r="AF272" s="73"/>
      <c r="AG272" s="73"/>
      <c r="AH272" s="73"/>
      <c r="AI272" s="74"/>
    </row>
    <row r="273" spans="26:35" ht="14.25" customHeight="1" x14ac:dyDescent="0.2">
      <c r="Z273" s="72"/>
      <c r="AA273" s="73"/>
      <c r="AB273" s="73"/>
      <c r="AC273" s="73"/>
      <c r="AD273" s="73"/>
      <c r="AE273" s="73"/>
      <c r="AF273" s="73"/>
      <c r="AG273" s="73"/>
      <c r="AH273" s="73"/>
      <c r="AI273" s="74"/>
    </row>
    <row r="274" spans="26:35" ht="14.25" customHeight="1" x14ac:dyDescent="0.2">
      <c r="Z274" s="72"/>
      <c r="AA274" s="73"/>
      <c r="AB274" s="73"/>
      <c r="AC274" s="73"/>
      <c r="AD274" s="73"/>
      <c r="AE274" s="73"/>
      <c r="AF274" s="73"/>
      <c r="AG274" s="73"/>
      <c r="AH274" s="73"/>
      <c r="AI274" s="74"/>
    </row>
    <row r="275" spans="26:35" ht="14.25" customHeight="1" x14ac:dyDescent="0.2">
      <c r="Z275" s="72"/>
      <c r="AA275" s="73"/>
      <c r="AB275" s="73"/>
      <c r="AC275" s="73"/>
      <c r="AD275" s="73"/>
      <c r="AE275" s="73"/>
      <c r="AF275" s="73"/>
      <c r="AG275" s="73"/>
      <c r="AH275" s="73"/>
      <c r="AI275" s="74"/>
    </row>
    <row r="276" spans="26:35" ht="14.25" customHeight="1" x14ac:dyDescent="0.2">
      <c r="Z276" s="72"/>
      <c r="AA276" s="73"/>
      <c r="AB276" s="73"/>
      <c r="AC276" s="73"/>
      <c r="AD276" s="73"/>
      <c r="AE276" s="73"/>
      <c r="AF276" s="73"/>
      <c r="AG276" s="73"/>
      <c r="AH276" s="73"/>
      <c r="AI276" s="74"/>
    </row>
    <row r="277" spans="26:35" ht="14.25" customHeight="1" x14ac:dyDescent="0.2">
      <c r="Z277" s="72"/>
      <c r="AA277" s="73"/>
      <c r="AB277" s="73"/>
      <c r="AC277" s="73"/>
      <c r="AD277" s="73"/>
      <c r="AE277" s="73"/>
      <c r="AF277" s="73"/>
      <c r="AG277" s="73"/>
      <c r="AH277" s="73"/>
      <c r="AI277" s="74"/>
    </row>
    <row r="278" spans="26:35" ht="14.25" customHeight="1" x14ac:dyDescent="0.2">
      <c r="Z278" s="72"/>
      <c r="AA278" s="73"/>
      <c r="AB278" s="73"/>
      <c r="AC278" s="73"/>
      <c r="AD278" s="73"/>
      <c r="AE278" s="73"/>
      <c r="AF278" s="73"/>
      <c r="AG278" s="73"/>
      <c r="AH278" s="73"/>
      <c r="AI278" s="74"/>
    </row>
    <row r="279" spans="26:35" ht="14.25" customHeight="1" x14ac:dyDescent="0.2">
      <c r="Z279" s="72"/>
      <c r="AA279" s="73"/>
      <c r="AB279" s="73"/>
      <c r="AC279" s="73"/>
      <c r="AD279" s="73"/>
      <c r="AE279" s="73"/>
      <c r="AF279" s="73"/>
      <c r="AG279" s="73"/>
      <c r="AH279" s="73"/>
      <c r="AI279" s="74"/>
    </row>
    <row r="280" spans="26:35" ht="14.25" customHeight="1" x14ac:dyDescent="0.2">
      <c r="Z280" s="72"/>
      <c r="AA280" s="73"/>
      <c r="AB280" s="73"/>
      <c r="AC280" s="73"/>
      <c r="AD280" s="73"/>
      <c r="AE280" s="73"/>
      <c r="AF280" s="73"/>
      <c r="AG280" s="73"/>
      <c r="AH280" s="73"/>
      <c r="AI280" s="74"/>
    </row>
    <row r="281" spans="26:35" ht="14.25" customHeight="1" x14ac:dyDescent="0.2">
      <c r="Z281" s="72"/>
      <c r="AA281" s="73"/>
      <c r="AB281" s="73"/>
      <c r="AC281" s="73"/>
      <c r="AD281" s="73"/>
      <c r="AE281" s="73"/>
      <c r="AF281" s="73"/>
      <c r="AG281" s="73"/>
      <c r="AH281" s="73"/>
      <c r="AI281" s="74"/>
    </row>
    <row r="282" spans="26:35" ht="14.25" customHeight="1" x14ac:dyDescent="0.2">
      <c r="Z282" s="72"/>
      <c r="AA282" s="73"/>
      <c r="AB282" s="73"/>
      <c r="AC282" s="73"/>
      <c r="AD282" s="73"/>
      <c r="AE282" s="73"/>
      <c r="AF282" s="73"/>
      <c r="AG282" s="73"/>
      <c r="AH282" s="73"/>
      <c r="AI282" s="74"/>
    </row>
    <row r="283" spans="26:35" ht="14.25" customHeight="1" x14ac:dyDescent="0.2">
      <c r="Z283" s="72"/>
      <c r="AA283" s="73"/>
      <c r="AB283" s="73"/>
      <c r="AC283" s="73"/>
      <c r="AD283" s="73"/>
      <c r="AE283" s="73"/>
      <c r="AF283" s="73"/>
      <c r="AG283" s="73"/>
      <c r="AH283" s="73"/>
      <c r="AI283" s="74"/>
    </row>
    <row r="284" spans="26:35" ht="14.25" customHeight="1" x14ac:dyDescent="0.2">
      <c r="Z284" s="72"/>
      <c r="AA284" s="73"/>
      <c r="AB284" s="73"/>
      <c r="AC284" s="73"/>
      <c r="AD284" s="73"/>
      <c r="AE284" s="73"/>
      <c r="AF284" s="73"/>
      <c r="AG284" s="73"/>
      <c r="AH284" s="73"/>
      <c r="AI284" s="74"/>
    </row>
    <row r="285" spans="26:35" ht="14.25" customHeight="1" x14ac:dyDescent="0.2">
      <c r="Z285" s="72"/>
      <c r="AA285" s="73"/>
      <c r="AB285" s="73"/>
      <c r="AC285" s="73"/>
      <c r="AD285" s="73"/>
      <c r="AE285" s="73"/>
      <c r="AF285" s="73"/>
      <c r="AG285" s="73"/>
      <c r="AH285" s="73"/>
      <c r="AI285" s="74"/>
    </row>
    <row r="286" spans="26:35" ht="14.25" customHeight="1" x14ac:dyDescent="0.2">
      <c r="Z286" s="72"/>
      <c r="AA286" s="73"/>
      <c r="AB286" s="73"/>
      <c r="AC286" s="73"/>
      <c r="AD286" s="73"/>
      <c r="AE286" s="73"/>
      <c r="AF286" s="73"/>
      <c r="AG286" s="73"/>
      <c r="AH286" s="73"/>
      <c r="AI286" s="74"/>
    </row>
    <row r="287" spans="26:35" ht="14.25" customHeight="1" x14ac:dyDescent="0.2">
      <c r="Z287" s="72"/>
      <c r="AA287" s="73"/>
      <c r="AB287" s="73"/>
      <c r="AC287" s="73"/>
      <c r="AD287" s="73"/>
      <c r="AE287" s="73"/>
      <c r="AF287" s="73"/>
      <c r="AG287" s="73"/>
      <c r="AH287" s="73"/>
      <c r="AI287" s="74"/>
    </row>
    <row r="288" spans="26:35" ht="14.25" customHeight="1" x14ac:dyDescent="0.2">
      <c r="Z288" s="72"/>
      <c r="AA288" s="73"/>
      <c r="AB288" s="73"/>
      <c r="AC288" s="73"/>
      <c r="AD288" s="73"/>
      <c r="AE288" s="73"/>
      <c r="AF288" s="73"/>
      <c r="AG288" s="73"/>
      <c r="AH288" s="73"/>
      <c r="AI288" s="74"/>
    </row>
    <row r="289" spans="26:35" ht="14.25" customHeight="1" x14ac:dyDescent="0.2">
      <c r="Z289" s="72"/>
      <c r="AA289" s="73"/>
      <c r="AB289" s="73"/>
      <c r="AC289" s="73"/>
      <c r="AD289" s="73"/>
      <c r="AE289" s="73"/>
      <c r="AF289" s="73"/>
      <c r="AG289" s="73"/>
      <c r="AH289" s="73"/>
      <c r="AI289" s="74"/>
    </row>
    <row r="290" spans="26:35" ht="14.25" customHeight="1" x14ac:dyDescent="0.2">
      <c r="Z290" s="72"/>
      <c r="AA290" s="73"/>
      <c r="AB290" s="73"/>
      <c r="AC290" s="73"/>
      <c r="AD290" s="73"/>
      <c r="AE290" s="73"/>
      <c r="AF290" s="73"/>
      <c r="AG290" s="73"/>
      <c r="AH290" s="73"/>
      <c r="AI290" s="74"/>
    </row>
    <row r="291" spans="26:35" ht="14.25" customHeight="1" x14ac:dyDescent="0.2">
      <c r="Z291" s="72"/>
      <c r="AA291" s="73"/>
      <c r="AB291" s="73"/>
      <c r="AC291" s="73"/>
      <c r="AD291" s="73"/>
      <c r="AE291" s="73"/>
      <c r="AF291" s="73"/>
      <c r="AG291" s="73"/>
      <c r="AH291" s="73"/>
      <c r="AI291" s="74"/>
    </row>
    <row r="292" spans="26:35" ht="14.25" customHeight="1" x14ac:dyDescent="0.2">
      <c r="Z292" s="72"/>
      <c r="AA292" s="73"/>
      <c r="AB292" s="73"/>
      <c r="AC292" s="73"/>
      <c r="AD292" s="73"/>
      <c r="AE292" s="73"/>
      <c r="AF292" s="73"/>
      <c r="AG292" s="73"/>
      <c r="AH292" s="73"/>
      <c r="AI292" s="74"/>
    </row>
    <row r="293" spans="26:35" ht="14.25" customHeight="1" x14ac:dyDescent="0.2">
      <c r="Z293" s="72"/>
      <c r="AA293" s="73"/>
      <c r="AB293" s="73"/>
      <c r="AC293" s="73"/>
      <c r="AD293" s="73"/>
      <c r="AE293" s="73"/>
      <c r="AF293" s="73"/>
      <c r="AG293" s="73"/>
      <c r="AH293" s="73"/>
      <c r="AI293" s="74"/>
    </row>
    <row r="294" spans="26:35" ht="14.25" customHeight="1" x14ac:dyDescent="0.2">
      <c r="Z294" s="72"/>
      <c r="AA294" s="73"/>
      <c r="AB294" s="73"/>
      <c r="AC294" s="73"/>
      <c r="AD294" s="73"/>
      <c r="AE294" s="73"/>
      <c r="AF294" s="73"/>
      <c r="AG294" s="73"/>
      <c r="AH294" s="73"/>
      <c r="AI294" s="74"/>
    </row>
    <row r="295" spans="26:35" ht="14.25" customHeight="1" x14ac:dyDescent="0.2">
      <c r="Z295" s="72"/>
      <c r="AA295" s="73"/>
      <c r="AB295" s="73"/>
      <c r="AC295" s="73"/>
      <c r="AD295" s="73"/>
      <c r="AE295" s="73"/>
      <c r="AF295" s="73"/>
      <c r="AG295" s="73"/>
      <c r="AH295" s="73"/>
      <c r="AI295" s="74"/>
    </row>
    <row r="296" spans="26:35" ht="14.25" customHeight="1" x14ac:dyDescent="0.2">
      <c r="Z296" s="72"/>
      <c r="AA296" s="73"/>
      <c r="AB296" s="73"/>
      <c r="AC296" s="73"/>
      <c r="AD296" s="73"/>
      <c r="AE296" s="73"/>
      <c r="AF296" s="73"/>
      <c r="AG296" s="73"/>
      <c r="AH296" s="73"/>
      <c r="AI296" s="74"/>
    </row>
    <row r="297" spans="26:35" ht="14.25" customHeight="1" x14ac:dyDescent="0.2">
      <c r="Z297" s="72"/>
      <c r="AA297" s="73"/>
      <c r="AB297" s="73"/>
      <c r="AC297" s="73"/>
      <c r="AD297" s="73"/>
      <c r="AE297" s="73"/>
      <c r="AF297" s="73"/>
      <c r="AG297" s="73"/>
      <c r="AH297" s="73"/>
      <c r="AI297" s="74"/>
    </row>
    <row r="298" spans="26:35" ht="14.25" customHeight="1" x14ac:dyDescent="0.2">
      <c r="Z298" s="72"/>
      <c r="AA298" s="73"/>
      <c r="AB298" s="73"/>
      <c r="AC298" s="73"/>
      <c r="AD298" s="73"/>
      <c r="AE298" s="73"/>
      <c r="AF298" s="73"/>
      <c r="AG298" s="73"/>
      <c r="AH298" s="73"/>
      <c r="AI298" s="74"/>
    </row>
    <row r="299" spans="26:35" ht="14.25" customHeight="1" x14ac:dyDescent="0.2">
      <c r="Z299" s="72"/>
      <c r="AA299" s="73"/>
      <c r="AB299" s="73"/>
      <c r="AC299" s="73"/>
      <c r="AD299" s="73"/>
      <c r="AE299" s="73"/>
      <c r="AF299" s="73"/>
      <c r="AG299" s="73"/>
      <c r="AH299" s="73"/>
      <c r="AI299" s="74"/>
    </row>
    <row r="300" spans="26:35" ht="14.25" customHeight="1" x14ac:dyDescent="0.2">
      <c r="Z300" s="72"/>
      <c r="AA300" s="73"/>
      <c r="AB300" s="73"/>
      <c r="AC300" s="73"/>
      <c r="AD300" s="73"/>
      <c r="AE300" s="73"/>
      <c r="AF300" s="73"/>
      <c r="AG300" s="73"/>
      <c r="AH300" s="73"/>
      <c r="AI300" s="74"/>
    </row>
    <row r="301" spans="26:35" ht="14.25" customHeight="1" x14ac:dyDescent="0.2">
      <c r="Z301" s="72"/>
      <c r="AA301" s="73"/>
      <c r="AB301" s="73"/>
      <c r="AC301" s="73"/>
      <c r="AD301" s="73"/>
      <c r="AE301" s="73"/>
      <c r="AF301" s="73"/>
      <c r="AG301" s="73"/>
      <c r="AH301" s="73"/>
      <c r="AI301" s="74"/>
    </row>
    <row r="302" spans="26:35" ht="14.25" customHeight="1" x14ac:dyDescent="0.2">
      <c r="Z302" s="72"/>
      <c r="AA302" s="73"/>
      <c r="AB302" s="73"/>
      <c r="AC302" s="73"/>
      <c r="AD302" s="73"/>
      <c r="AE302" s="73"/>
      <c r="AF302" s="73"/>
      <c r="AG302" s="73"/>
      <c r="AH302" s="73"/>
      <c r="AI302" s="74"/>
    </row>
    <row r="303" spans="26:35" ht="14.25" customHeight="1" x14ac:dyDescent="0.2">
      <c r="Z303" s="72"/>
      <c r="AA303" s="73"/>
      <c r="AB303" s="73"/>
      <c r="AC303" s="73"/>
      <c r="AD303" s="73"/>
      <c r="AE303" s="73"/>
      <c r="AF303" s="73"/>
      <c r="AG303" s="73"/>
      <c r="AH303" s="73"/>
      <c r="AI303" s="74"/>
    </row>
    <row r="304" spans="26:35" ht="14.25" customHeight="1" x14ac:dyDescent="0.2">
      <c r="Z304" s="72"/>
      <c r="AA304" s="73"/>
      <c r="AB304" s="73"/>
      <c r="AC304" s="73"/>
      <c r="AD304" s="73"/>
      <c r="AE304" s="73"/>
      <c r="AF304" s="73"/>
      <c r="AG304" s="73"/>
      <c r="AH304" s="73"/>
      <c r="AI304" s="74"/>
    </row>
    <row r="305" spans="26:35" ht="14.25" customHeight="1" x14ac:dyDescent="0.2">
      <c r="Z305" s="72"/>
      <c r="AA305" s="73"/>
      <c r="AB305" s="73"/>
      <c r="AC305" s="73"/>
      <c r="AD305" s="73"/>
      <c r="AE305" s="73"/>
      <c r="AF305" s="73"/>
      <c r="AG305" s="73"/>
      <c r="AH305" s="73"/>
      <c r="AI305" s="74"/>
    </row>
    <row r="306" spans="26:35" ht="14.25" customHeight="1" x14ac:dyDescent="0.2">
      <c r="Z306" s="72"/>
      <c r="AA306" s="73"/>
      <c r="AB306" s="73"/>
      <c r="AC306" s="73"/>
      <c r="AD306" s="73"/>
      <c r="AE306" s="73"/>
      <c r="AF306" s="73"/>
      <c r="AG306" s="73"/>
      <c r="AH306" s="73"/>
      <c r="AI306" s="74"/>
    </row>
    <row r="307" spans="26:35" ht="14.25" customHeight="1" x14ac:dyDescent="0.2">
      <c r="Z307" s="72"/>
      <c r="AA307" s="73"/>
      <c r="AB307" s="73"/>
      <c r="AC307" s="73"/>
      <c r="AD307" s="73"/>
      <c r="AE307" s="73"/>
      <c r="AF307" s="73"/>
      <c r="AG307" s="73"/>
      <c r="AH307" s="73"/>
      <c r="AI307" s="74"/>
    </row>
    <row r="308" spans="26:35" ht="14.25" customHeight="1" x14ac:dyDescent="0.2">
      <c r="Z308" s="72"/>
      <c r="AA308" s="73"/>
      <c r="AB308" s="73"/>
      <c r="AC308" s="73"/>
      <c r="AD308" s="73"/>
      <c r="AE308" s="73"/>
      <c r="AF308" s="73"/>
      <c r="AG308" s="73"/>
      <c r="AH308" s="73"/>
      <c r="AI308" s="74"/>
    </row>
    <row r="309" spans="26:35" ht="14.25" customHeight="1" x14ac:dyDescent="0.2">
      <c r="Z309" s="72"/>
      <c r="AA309" s="73"/>
      <c r="AB309" s="73"/>
      <c r="AC309" s="73"/>
      <c r="AD309" s="73"/>
      <c r="AE309" s="73"/>
      <c r="AF309" s="73"/>
      <c r="AG309" s="73"/>
      <c r="AH309" s="73"/>
      <c r="AI309" s="74"/>
    </row>
    <row r="310" spans="26:35" ht="14.25" customHeight="1" x14ac:dyDescent="0.2">
      <c r="Z310" s="72"/>
      <c r="AA310" s="73"/>
      <c r="AB310" s="73"/>
      <c r="AC310" s="73"/>
      <c r="AD310" s="73"/>
      <c r="AE310" s="73"/>
      <c r="AF310" s="73"/>
      <c r="AG310" s="73"/>
      <c r="AH310" s="73"/>
      <c r="AI310" s="74"/>
    </row>
    <row r="311" spans="26:35" ht="14.25" customHeight="1" x14ac:dyDescent="0.2">
      <c r="Z311" s="72"/>
      <c r="AA311" s="73"/>
      <c r="AB311" s="73"/>
      <c r="AC311" s="73"/>
      <c r="AD311" s="73"/>
      <c r="AE311" s="73"/>
      <c r="AF311" s="73"/>
      <c r="AG311" s="73"/>
      <c r="AH311" s="73"/>
      <c r="AI311" s="74"/>
    </row>
    <row r="312" spans="26:35" ht="14.25" customHeight="1" x14ac:dyDescent="0.2">
      <c r="Z312" s="72"/>
      <c r="AA312" s="73"/>
      <c r="AB312" s="73"/>
      <c r="AC312" s="73"/>
      <c r="AD312" s="73"/>
      <c r="AE312" s="73"/>
      <c r="AF312" s="73"/>
      <c r="AG312" s="73"/>
      <c r="AH312" s="73"/>
      <c r="AI312" s="74"/>
    </row>
    <row r="313" spans="26:35" ht="14.25" customHeight="1" x14ac:dyDescent="0.2">
      <c r="Z313" s="72"/>
      <c r="AA313" s="73"/>
      <c r="AB313" s="73"/>
      <c r="AC313" s="73"/>
      <c r="AD313" s="73"/>
      <c r="AE313" s="73"/>
      <c r="AF313" s="73"/>
      <c r="AG313" s="73"/>
      <c r="AH313" s="73"/>
      <c r="AI313" s="74"/>
    </row>
    <row r="314" spans="26:35" ht="14.25" customHeight="1" x14ac:dyDescent="0.2">
      <c r="Z314" s="72"/>
      <c r="AA314" s="73"/>
      <c r="AB314" s="73"/>
      <c r="AC314" s="73"/>
      <c r="AD314" s="73"/>
      <c r="AE314" s="73"/>
      <c r="AF314" s="73"/>
      <c r="AG314" s="73"/>
      <c r="AH314" s="73"/>
      <c r="AI314" s="74"/>
    </row>
    <row r="315" spans="26:35" ht="14.25" customHeight="1" x14ac:dyDescent="0.2">
      <c r="Z315" s="72"/>
      <c r="AA315" s="73"/>
      <c r="AB315" s="73"/>
      <c r="AC315" s="73"/>
      <c r="AD315" s="73"/>
      <c r="AE315" s="73"/>
      <c r="AF315" s="73"/>
      <c r="AG315" s="73"/>
      <c r="AH315" s="73"/>
      <c r="AI315" s="74"/>
    </row>
    <row r="316" spans="26:35" ht="14.25" customHeight="1" x14ac:dyDescent="0.2">
      <c r="Z316" s="72"/>
      <c r="AA316" s="73"/>
      <c r="AB316" s="73"/>
      <c r="AC316" s="73"/>
      <c r="AD316" s="73"/>
      <c r="AE316" s="73"/>
      <c r="AF316" s="73"/>
      <c r="AG316" s="73"/>
      <c r="AH316" s="73"/>
      <c r="AI316" s="74"/>
    </row>
    <row r="317" spans="26:35" ht="14.25" customHeight="1" x14ac:dyDescent="0.2">
      <c r="Z317" s="72"/>
      <c r="AA317" s="73"/>
      <c r="AB317" s="73"/>
      <c r="AC317" s="73"/>
      <c r="AD317" s="73"/>
      <c r="AE317" s="73"/>
      <c r="AF317" s="73"/>
      <c r="AG317" s="73"/>
      <c r="AH317" s="73"/>
      <c r="AI317" s="74"/>
    </row>
    <row r="318" spans="26:35" ht="14.25" customHeight="1" x14ac:dyDescent="0.2">
      <c r="Z318" s="72"/>
      <c r="AA318" s="73"/>
      <c r="AB318" s="73"/>
      <c r="AC318" s="73"/>
      <c r="AD318" s="73"/>
      <c r="AE318" s="73"/>
      <c r="AF318" s="73"/>
      <c r="AG318" s="73"/>
      <c r="AH318" s="73"/>
      <c r="AI318" s="74"/>
    </row>
    <row r="319" spans="26:35" ht="14.25" customHeight="1" x14ac:dyDescent="0.2">
      <c r="Z319" s="72"/>
      <c r="AA319" s="73"/>
      <c r="AB319" s="73"/>
      <c r="AC319" s="73"/>
      <c r="AD319" s="73"/>
      <c r="AE319" s="73"/>
      <c r="AF319" s="73"/>
      <c r="AG319" s="73"/>
      <c r="AH319" s="73"/>
      <c r="AI319" s="74"/>
    </row>
    <row r="320" spans="26:35" ht="14.25" customHeight="1" x14ac:dyDescent="0.2">
      <c r="Z320" s="72"/>
      <c r="AA320" s="73"/>
      <c r="AB320" s="73"/>
      <c r="AC320" s="73"/>
      <c r="AD320" s="73"/>
      <c r="AE320" s="73"/>
      <c r="AF320" s="73"/>
      <c r="AG320" s="73"/>
      <c r="AH320" s="73"/>
      <c r="AI320" s="74"/>
    </row>
    <row r="321" spans="26:35" ht="14.25" customHeight="1" x14ac:dyDescent="0.2">
      <c r="Z321" s="72"/>
      <c r="AA321" s="73"/>
      <c r="AB321" s="73"/>
      <c r="AC321" s="73"/>
      <c r="AD321" s="73"/>
      <c r="AE321" s="73"/>
      <c r="AF321" s="73"/>
      <c r="AG321" s="73"/>
      <c r="AH321" s="73"/>
      <c r="AI321" s="74"/>
    </row>
    <row r="322" spans="26:35" ht="14.25" customHeight="1" x14ac:dyDescent="0.2">
      <c r="Z322" s="72"/>
      <c r="AA322" s="73"/>
      <c r="AB322" s="73"/>
      <c r="AC322" s="73"/>
      <c r="AD322" s="73"/>
      <c r="AE322" s="73"/>
      <c r="AF322" s="73"/>
      <c r="AG322" s="73"/>
      <c r="AH322" s="73"/>
      <c r="AI322" s="74"/>
    </row>
    <row r="323" spans="26:35" ht="14.25" customHeight="1" x14ac:dyDescent="0.2">
      <c r="Z323" s="72"/>
      <c r="AA323" s="73"/>
      <c r="AB323" s="73"/>
      <c r="AC323" s="73"/>
      <c r="AD323" s="73"/>
      <c r="AE323" s="73"/>
      <c r="AF323" s="73"/>
      <c r="AG323" s="73"/>
      <c r="AH323" s="73"/>
      <c r="AI323" s="74"/>
    </row>
    <row r="324" spans="26:35" ht="14.25" customHeight="1" x14ac:dyDescent="0.2">
      <c r="Z324" s="72"/>
      <c r="AA324" s="73"/>
      <c r="AB324" s="73"/>
      <c r="AC324" s="73"/>
      <c r="AD324" s="73"/>
      <c r="AE324" s="73"/>
      <c r="AF324" s="73"/>
      <c r="AG324" s="73"/>
      <c r="AH324" s="73"/>
      <c r="AI324" s="74"/>
    </row>
    <row r="325" spans="26:35" ht="14.25" customHeight="1" x14ac:dyDescent="0.2">
      <c r="Z325" s="72"/>
      <c r="AA325" s="73"/>
      <c r="AB325" s="73"/>
      <c r="AC325" s="73"/>
      <c r="AD325" s="73"/>
      <c r="AE325" s="73"/>
      <c r="AF325" s="73"/>
      <c r="AG325" s="73"/>
      <c r="AH325" s="73"/>
      <c r="AI325" s="74"/>
    </row>
    <row r="326" spans="26:35" ht="14.25" customHeight="1" x14ac:dyDescent="0.2">
      <c r="Z326" s="72"/>
      <c r="AA326" s="73"/>
      <c r="AB326" s="73"/>
      <c r="AC326" s="73"/>
      <c r="AD326" s="73"/>
      <c r="AE326" s="73"/>
      <c r="AF326" s="73"/>
      <c r="AG326" s="73"/>
      <c r="AH326" s="73"/>
      <c r="AI326" s="74"/>
    </row>
    <row r="327" spans="26:35" ht="14.25" customHeight="1" x14ac:dyDescent="0.2">
      <c r="Z327" s="72"/>
      <c r="AA327" s="73"/>
      <c r="AB327" s="73"/>
      <c r="AC327" s="73"/>
      <c r="AD327" s="73"/>
      <c r="AE327" s="73"/>
      <c r="AF327" s="73"/>
      <c r="AG327" s="73"/>
      <c r="AH327" s="73"/>
      <c r="AI327" s="74"/>
    </row>
    <row r="328" spans="26:35" ht="14.25" customHeight="1" x14ac:dyDescent="0.2">
      <c r="Z328" s="72"/>
      <c r="AA328" s="73"/>
      <c r="AB328" s="73"/>
      <c r="AC328" s="73"/>
      <c r="AD328" s="73"/>
      <c r="AE328" s="73"/>
      <c r="AF328" s="73"/>
      <c r="AG328" s="73"/>
      <c r="AH328" s="73"/>
      <c r="AI328" s="74"/>
    </row>
    <row r="329" spans="26:35" ht="14.25" customHeight="1" x14ac:dyDescent="0.2">
      <c r="Z329" s="72"/>
      <c r="AA329" s="73"/>
      <c r="AB329" s="73"/>
      <c r="AC329" s="73"/>
      <c r="AD329" s="73"/>
      <c r="AE329" s="73"/>
      <c r="AF329" s="73"/>
      <c r="AG329" s="73"/>
      <c r="AH329" s="73"/>
      <c r="AI329" s="74"/>
    </row>
    <row r="330" spans="26:35" ht="14.25" customHeight="1" x14ac:dyDescent="0.2">
      <c r="Z330" s="72"/>
      <c r="AA330" s="73"/>
      <c r="AB330" s="73"/>
      <c r="AC330" s="73"/>
      <c r="AD330" s="73"/>
      <c r="AE330" s="73"/>
      <c r="AF330" s="73"/>
      <c r="AG330" s="73"/>
      <c r="AH330" s="73"/>
      <c r="AI330" s="74"/>
    </row>
    <row r="331" spans="26:35" ht="14.25" customHeight="1" x14ac:dyDescent="0.2">
      <c r="Z331" s="72"/>
      <c r="AA331" s="73"/>
      <c r="AB331" s="73"/>
      <c r="AC331" s="73"/>
      <c r="AD331" s="73"/>
      <c r="AE331" s="73"/>
      <c r="AF331" s="73"/>
      <c r="AG331" s="73"/>
      <c r="AH331" s="73"/>
      <c r="AI331" s="74"/>
    </row>
    <row r="332" spans="26:35" ht="14.25" customHeight="1" x14ac:dyDescent="0.2">
      <c r="Z332" s="72"/>
      <c r="AA332" s="73"/>
      <c r="AB332" s="73"/>
      <c r="AC332" s="73"/>
      <c r="AD332" s="73"/>
      <c r="AE332" s="73"/>
      <c r="AF332" s="73"/>
      <c r="AG332" s="73"/>
      <c r="AH332" s="73"/>
      <c r="AI332" s="74"/>
    </row>
    <row r="333" spans="26:35" ht="14.25" customHeight="1" x14ac:dyDescent="0.2">
      <c r="Z333" s="72"/>
      <c r="AA333" s="73"/>
      <c r="AB333" s="73"/>
      <c r="AC333" s="73"/>
      <c r="AD333" s="73"/>
      <c r="AE333" s="73"/>
      <c r="AF333" s="73"/>
      <c r="AG333" s="73"/>
      <c r="AH333" s="73"/>
      <c r="AI333" s="74"/>
    </row>
    <row r="334" spans="26:35" ht="14.25" customHeight="1" x14ac:dyDescent="0.2">
      <c r="Z334" s="72"/>
      <c r="AA334" s="73"/>
      <c r="AB334" s="73"/>
      <c r="AC334" s="73"/>
      <c r="AD334" s="73"/>
      <c r="AE334" s="73"/>
      <c r="AF334" s="73"/>
      <c r="AG334" s="73"/>
      <c r="AH334" s="73"/>
      <c r="AI334" s="74"/>
    </row>
    <row r="335" spans="26:35" ht="14.25" customHeight="1" x14ac:dyDescent="0.2">
      <c r="Z335" s="72"/>
      <c r="AA335" s="73"/>
      <c r="AB335" s="73"/>
      <c r="AC335" s="73"/>
      <c r="AD335" s="73"/>
      <c r="AE335" s="73"/>
      <c r="AF335" s="73"/>
      <c r="AG335" s="73"/>
      <c r="AH335" s="73"/>
      <c r="AI335" s="74"/>
    </row>
    <row r="336" spans="26:35" ht="14.25" customHeight="1" x14ac:dyDescent="0.2">
      <c r="Z336" s="72"/>
      <c r="AA336" s="73"/>
      <c r="AB336" s="73"/>
      <c r="AC336" s="73"/>
      <c r="AD336" s="73"/>
      <c r="AE336" s="73"/>
      <c r="AF336" s="73"/>
      <c r="AG336" s="73"/>
      <c r="AH336" s="73"/>
      <c r="AI336" s="74"/>
    </row>
    <row r="337" spans="26:35" ht="14.25" customHeight="1" x14ac:dyDescent="0.2">
      <c r="Z337" s="72"/>
      <c r="AA337" s="73"/>
      <c r="AB337" s="73"/>
      <c r="AC337" s="73"/>
      <c r="AD337" s="73"/>
      <c r="AE337" s="73"/>
      <c r="AF337" s="73"/>
      <c r="AG337" s="73"/>
      <c r="AH337" s="73"/>
      <c r="AI337" s="74"/>
    </row>
    <row r="338" spans="26:35" ht="14.25" customHeight="1" x14ac:dyDescent="0.2">
      <c r="Z338" s="72"/>
      <c r="AA338" s="73"/>
      <c r="AB338" s="73"/>
      <c r="AC338" s="73"/>
      <c r="AD338" s="73"/>
      <c r="AE338" s="73"/>
      <c r="AF338" s="73"/>
      <c r="AG338" s="73"/>
      <c r="AH338" s="73"/>
      <c r="AI338" s="74"/>
    </row>
    <row r="339" spans="26:35" ht="14.25" customHeight="1" x14ac:dyDescent="0.2">
      <c r="Z339" s="72"/>
      <c r="AA339" s="73"/>
      <c r="AB339" s="73"/>
      <c r="AC339" s="73"/>
      <c r="AD339" s="73"/>
      <c r="AE339" s="73"/>
      <c r="AF339" s="73"/>
      <c r="AG339" s="73"/>
      <c r="AH339" s="73"/>
      <c r="AI339" s="74"/>
    </row>
    <row r="340" spans="26:35" ht="14.25" customHeight="1" x14ac:dyDescent="0.2">
      <c r="Z340" s="72"/>
      <c r="AA340" s="73"/>
      <c r="AB340" s="73"/>
      <c r="AC340" s="73"/>
      <c r="AD340" s="73"/>
      <c r="AE340" s="73"/>
      <c r="AF340" s="73"/>
      <c r="AG340" s="73"/>
      <c r="AH340" s="73"/>
      <c r="AI340" s="74"/>
    </row>
    <row r="341" spans="26:35" ht="14.25" customHeight="1" x14ac:dyDescent="0.2">
      <c r="Z341" s="72"/>
      <c r="AA341" s="73"/>
      <c r="AB341" s="73"/>
      <c r="AC341" s="73"/>
      <c r="AD341" s="73"/>
      <c r="AE341" s="73"/>
      <c r="AF341" s="73"/>
      <c r="AG341" s="73"/>
      <c r="AH341" s="73"/>
      <c r="AI341" s="74"/>
    </row>
    <row r="342" spans="26:35" ht="14.25" customHeight="1" x14ac:dyDescent="0.2">
      <c r="Z342" s="72"/>
      <c r="AA342" s="73"/>
      <c r="AB342" s="73"/>
      <c r="AC342" s="73"/>
      <c r="AD342" s="73"/>
      <c r="AE342" s="73"/>
      <c r="AF342" s="73"/>
      <c r="AG342" s="73"/>
      <c r="AH342" s="73"/>
      <c r="AI342" s="74"/>
    </row>
    <row r="343" spans="26:35" ht="14.25" customHeight="1" x14ac:dyDescent="0.2">
      <c r="Z343" s="72"/>
      <c r="AA343" s="73"/>
      <c r="AB343" s="73"/>
      <c r="AC343" s="73"/>
      <c r="AD343" s="73"/>
      <c r="AE343" s="73"/>
      <c r="AF343" s="73"/>
      <c r="AG343" s="73"/>
      <c r="AH343" s="73"/>
      <c r="AI343" s="74"/>
    </row>
    <row r="344" spans="26:35" ht="14.25" customHeight="1" x14ac:dyDescent="0.2">
      <c r="Z344" s="72"/>
      <c r="AA344" s="73"/>
      <c r="AB344" s="73"/>
      <c r="AC344" s="73"/>
      <c r="AD344" s="73"/>
      <c r="AE344" s="73"/>
      <c r="AF344" s="73"/>
      <c r="AG344" s="73"/>
      <c r="AH344" s="73"/>
      <c r="AI344" s="74"/>
    </row>
    <row r="345" spans="26:35" ht="14.25" customHeight="1" x14ac:dyDescent="0.2">
      <c r="Z345" s="72"/>
      <c r="AA345" s="73"/>
      <c r="AB345" s="73"/>
      <c r="AC345" s="73"/>
      <c r="AD345" s="73"/>
      <c r="AE345" s="73"/>
      <c r="AF345" s="73"/>
      <c r="AG345" s="73"/>
      <c r="AH345" s="73"/>
      <c r="AI345" s="74"/>
    </row>
    <row r="346" spans="26:35" ht="14.25" customHeight="1" x14ac:dyDescent="0.2">
      <c r="Z346" s="72"/>
      <c r="AA346" s="73"/>
      <c r="AB346" s="73"/>
      <c r="AC346" s="73"/>
      <c r="AD346" s="73"/>
      <c r="AE346" s="73"/>
      <c r="AF346" s="73"/>
      <c r="AG346" s="73"/>
      <c r="AH346" s="73"/>
      <c r="AI346" s="74"/>
    </row>
    <row r="347" spans="26:35" ht="14.25" customHeight="1" x14ac:dyDescent="0.2">
      <c r="Z347" s="72"/>
      <c r="AA347" s="73"/>
      <c r="AB347" s="73"/>
      <c r="AC347" s="73"/>
      <c r="AD347" s="73"/>
      <c r="AE347" s="73"/>
      <c r="AF347" s="73"/>
      <c r="AG347" s="73"/>
      <c r="AH347" s="73"/>
      <c r="AI347" s="74"/>
    </row>
    <row r="348" spans="26:35" ht="14.25" customHeight="1" x14ac:dyDescent="0.2">
      <c r="Z348" s="72"/>
      <c r="AA348" s="73"/>
      <c r="AB348" s="73"/>
      <c r="AC348" s="73"/>
      <c r="AD348" s="73"/>
      <c r="AE348" s="73"/>
      <c r="AF348" s="73"/>
      <c r="AG348" s="73"/>
      <c r="AH348" s="73"/>
      <c r="AI348" s="74"/>
    </row>
    <row r="349" spans="26:35" ht="14.25" customHeight="1" x14ac:dyDescent="0.2">
      <c r="Z349" s="72"/>
      <c r="AA349" s="73"/>
      <c r="AB349" s="73"/>
      <c r="AC349" s="73"/>
      <c r="AD349" s="73"/>
      <c r="AE349" s="73"/>
      <c r="AF349" s="73"/>
      <c r="AG349" s="73"/>
      <c r="AH349" s="73"/>
      <c r="AI349" s="74"/>
    </row>
    <row r="350" spans="26:35" ht="14.25" customHeight="1" x14ac:dyDescent="0.2">
      <c r="Z350" s="72"/>
      <c r="AA350" s="73"/>
      <c r="AB350" s="73"/>
      <c r="AC350" s="73"/>
      <c r="AD350" s="73"/>
      <c r="AE350" s="73"/>
      <c r="AF350" s="73"/>
      <c r="AG350" s="73"/>
      <c r="AH350" s="73"/>
      <c r="AI350" s="74"/>
    </row>
    <row r="351" spans="26:35" ht="14.25" customHeight="1" x14ac:dyDescent="0.2">
      <c r="Z351" s="72"/>
      <c r="AA351" s="73"/>
      <c r="AB351" s="73"/>
      <c r="AC351" s="73"/>
      <c r="AD351" s="73"/>
      <c r="AE351" s="73"/>
      <c r="AF351" s="73"/>
      <c r="AG351" s="73"/>
      <c r="AH351" s="73"/>
      <c r="AI351" s="74"/>
    </row>
    <row r="352" spans="26:35" ht="14.25" customHeight="1" x14ac:dyDescent="0.2">
      <c r="Z352" s="72"/>
      <c r="AA352" s="73"/>
      <c r="AB352" s="73"/>
      <c r="AC352" s="73"/>
      <c r="AD352" s="73"/>
      <c r="AE352" s="73"/>
      <c r="AF352" s="73"/>
      <c r="AG352" s="73"/>
      <c r="AH352" s="73"/>
      <c r="AI352" s="74"/>
    </row>
    <row r="353" spans="26:35" ht="14.25" customHeight="1" x14ac:dyDescent="0.2">
      <c r="Z353" s="72"/>
      <c r="AA353" s="73"/>
      <c r="AB353" s="73"/>
      <c r="AC353" s="73"/>
      <c r="AD353" s="73"/>
      <c r="AE353" s="73"/>
      <c r="AF353" s="73"/>
      <c r="AG353" s="73"/>
      <c r="AH353" s="73"/>
      <c r="AI353" s="74"/>
    </row>
    <row r="354" spans="26:35" ht="14.25" customHeight="1" x14ac:dyDescent="0.2">
      <c r="Z354" s="72"/>
      <c r="AA354" s="73"/>
      <c r="AB354" s="73"/>
      <c r="AC354" s="73"/>
      <c r="AD354" s="73"/>
      <c r="AE354" s="73"/>
      <c r="AF354" s="73"/>
      <c r="AG354" s="73"/>
      <c r="AH354" s="73"/>
      <c r="AI354" s="74"/>
    </row>
    <row r="355" spans="26:35" ht="14.25" customHeight="1" x14ac:dyDescent="0.2">
      <c r="Z355" s="72"/>
      <c r="AA355" s="73"/>
      <c r="AB355" s="73"/>
      <c r="AC355" s="73"/>
      <c r="AD355" s="73"/>
      <c r="AE355" s="73"/>
      <c r="AF355" s="73"/>
      <c r="AG355" s="73"/>
      <c r="AH355" s="73"/>
      <c r="AI355" s="74"/>
    </row>
    <row r="356" spans="26:35" ht="14.25" customHeight="1" x14ac:dyDescent="0.2">
      <c r="Z356" s="72"/>
      <c r="AA356" s="73"/>
      <c r="AB356" s="73"/>
      <c r="AC356" s="73"/>
      <c r="AD356" s="73"/>
      <c r="AE356" s="73"/>
      <c r="AF356" s="73"/>
      <c r="AG356" s="73"/>
      <c r="AH356" s="73"/>
      <c r="AI356" s="74"/>
    </row>
    <row r="357" spans="26:35" ht="14.25" customHeight="1" x14ac:dyDescent="0.2">
      <c r="Z357" s="72"/>
      <c r="AA357" s="73"/>
      <c r="AB357" s="73"/>
      <c r="AC357" s="73"/>
      <c r="AD357" s="73"/>
      <c r="AE357" s="73"/>
      <c r="AF357" s="73"/>
      <c r="AG357" s="73"/>
      <c r="AH357" s="73"/>
      <c r="AI357" s="74"/>
    </row>
    <row r="358" spans="26:35" ht="14.25" customHeight="1" x14ac:dyDescent="0.2">
      <c r="Z358" s="72"/>
      <c r="AA358" s="73"/>
      <c r="AB358" s="73"/>
      <c r="AC358" s="73"/>
      <c r="AD358" s="73"/>
      <c r="AE358" s="73"/>
      <c r="AF358" s="73"/>
      <c r="AG358" s="73"/>
      <c r="AH358" s="73"/>
      <c r="AI358" s="74"/>
    </row>
    <row r="359" spans="26:35" ht="14.25" customHeight="1" x14ac:dyDescent="0.2">
      <c r="Z359" s="72"/>
      <c r="AA359" s="73"/>
      <c r="AB359" s="73"/>
      <c r="AC359" s="73"/>
      <c r="AD359" s="73"/>
      <c r="AE359" s="73"/>
      <c r="AF359" s="73"/>
      <c r="AG359" s="73"/>
      <c r="AH359" s="73"/>
      <c r="AI359" s="74"/>
    </row>
    <row r="360" spans="26:35" ht="14.25" customHeight="1" x14ac:dyDescent="0.2">
      <c r="Z360" s="72"/>
      <c r="AA360" s="73"/>
      <c r="AB360" s="73"/>
      <c r="AC360" s="73"/>
      <c r="AD360" s="73"/>
      <c r="AE360" s="73"/>
      <c r="AF360" s="73"/>
      <c r="AG360" s="73"/>
      <c r="AH360" s="73"/>
      <c r="AI360" s="74"/>
    </row>
    <row r="361" spans="26:35" ht="14.25" customHeight="1" x14ac:dyDescent="0.2">
      <c r="Z361" s="72"/>
      <c r="AA361" s="73"/>
      <c r="AB361" s="73"/>
      <c r="AC361" s="73"/>
      <c r="AD361" s="73"/>
      <c r="AE361" s="73"/>
      <c r="AF361" s="73"/>
      <c r="AG361" s="73"/>
      <c r="AH361" s="73"/>
      <c r="AI361" s="74"/>
    </row>
    <row r="362" spans="26:35" ht="14.25" customHeight="1" x14ac:dyDescent="0.2">
      <c r="Z362" s="72"/>
      <c r="AA362" s="73"/>
      <c r="AB362" s="73"/>
      <c r="AC362" s="73"/>
      <c r="AD362" s="73"/>
      <c r="AE362" s="73"/>
      <c r="AF362" s="73"/>
      <c r="AG362" s="73"/>
      <c r="AH362" s="73"/>
      <c r="AI362" s="74"/>
    </row>
    <row r="363" spans="26:35" ht="14.25" customHeight="1" x14ac:dyDescent="0.2">
      <c r="Z363" s="72"/>
      <c r="AA363" s="73"/>
      <c r="AB363" s="73"/>
      <c r="AC363" s="73"/>
      <c r="AD363" s="73"/>
      <c r="AE363" s="73"/>
      <c r="AF363" s="73"/>
      <c r="AG363" s="73"/>
      <c r="AH363" s="73"/>
      <c r="AI363" s="74"/>
    </row>
    <row r="364" spans="26:35" ht="14.25" customHeight="1" x14ac:dyDescent="0.2">
      <c r="Z364" s="72"/>
      <c r="AA364" s="73"/>
      <c r="AB364" s="73"/>
      <c r="AC364" s="73"/>
      <c r="AD364" s="73"/>
      <c r="AE364" s="73"/>
      <c r="AF364" s="73"/>
      <c r="AG364" s="73"/>
      <c r="AH364" s="73"/>
      <c r="AI364" s="74"/>
    </row>
    <row r="365" spans="26:35" ht="14.25" customHeight="1" x14ac:dyDescent="0.2">
      <c r="Z365" s="72"/>
      <c r="AA365" s="73"/>
      <c r="AB365" s="73"/>
      <c r="AC365" s="73"/>
      <c r="AD365" s="73"/>
      <c r="AE365" s="73"/>
      <c r="AF365" s="73"/>
      <c r="AG365" s="73"/>
      <c r="AH365" s="73"/>
      <c r="AI365" s="74"/>
    </row>
    <row r="366" spans="26:35" ht="14.25" customHeight="1" x14ac:dyDescent="0.2">
      <c r="Z366" s="72"/>
      <c r="AA366" s="73"/>
      <c r="AB366" s="73"/>
      <c r="AC366" s="73"/>
      <c r="AD366" s="73"/>
      <c r="AE366" s="73"/>
      <c r="AF366" s="73"/>
      <c r="AG366" s="73"/>
      <c r="AH366" s="73"/>
      <c r="AI366" s="74"/>
    </row>
    <row r="367" spans="26:35" ht="14.25" customHeight="1" x14ac:dyDescent="0.2">
      <c r="Z367" s="72"/>
      <c r="AA367" s="73"/>
      <c r="AB367" s="73"/>
      <c r="AC367" s="73"/>
      <c r="AD367" s="73"/>
      <c r="AE367" s="73"/>
      <c r="AF367" s="73"/>
      <c r="AG367" s="73"/>
      <c r="AH367" s="73"/>
      <c r="AI367" s="74"/>
    </row>
    <row r="368" spans="26:35" ht="14.25" customHeight="1" x14ac:dyDescent="0.2">
      <c r="Z368" s="72"/>
      <c r="AA368" s="73"/>
      <c r="AB368" s="73"/>
      <c r="AC368" s="73"/>
      <c r="AD368" s="73"/>
      <c r="AE368" s="73"/>
      <c r="AF368" s="73"/>
      <c r="AG368" s="73"/>
      <c r="AH368" s="73"/>
      <c r="AI368" s="74"/>
    </row>
    <row r="369" spans="26:35" ht="14.25" customHeight="1" x14ac:dyDescent="0.2">
      <c r="Z369" s="72"/>
      <c r="AA369" s="73"/>
      <c r="AB369" s="73"/>
      <c r="AC369" s="73"/>
      <c r="AD369" s="73"/>
      <c r="AE369" s="73"/>
      <c r="AF369" s="73"/>
      <c r="AG369" s="73"/>
      <c r="AH369" s="73"/>
      <c r="AI369" s="74"/>
    </row>
    <row r="370" spans="26:35" ht="14.25" customHeight="1" x14ac:dyDescent="0.2">
      <c r="Z370" s="72"/>
      <c r="AA370" s="73"/>
      <c r="AB370" s="73"/>
      <c r="AC370" s="73"/>
      <c r="AD370" s="73"/>
      <c r="AE370" s="73"/>
      <c r="AF370" s="73"/>
      <c r="AG370" s="73"/>
      <c r="AH370" s="73"/>
      <c r="AI370" s="74"/>
    </row>
    <row r="371" spans="26:35" ht="14.25" customHeight="1" x14ac:dyDescent="0.2">
      <c r="Z371" s="72"/>
      <c r="AA371" s="73"/>
      <c r="AB371" s="73"/>
      <c r="AC371" s="73"/>
      <c r="AD371" s="73"/>
      <c r="AE371" s="73"/>
      <c r="AF371" s="73"/>
      <c r="AG371" s="73"/>
      <c r="AH371" s="73"/>
      <c r="AI371" s="74"/>
    </row>
    <row r="372" spans="26:35" ht="14.25" customHeight="1" x14ac:dyDescent="0.2">
      <c r="Z372" s="72"/>
      <c r="AA372" s="73"/>
      <c r="AB372" s="73"/>
      <c r="AC372" s="73"/>
      <c r="AD372" s="73"/>
      <c r="AE372" s="73"/>
      <c r="AF372" s="73"/>
      <c r="AG372" s="73"/>
      <c r="AH372" s="73"/>
      <c r="AI372" s="74"/>
    </row>
    <row r="373" spans="26:35" ht="14.25" customHeight="1" x14ac:dyDescent="0.2">
      <c r="Z373" s="72"/>
      <c r="AA373" s="73"/>
      <c r="AB373" s="73"/>
      <c r="AC373" s="73"/>
      <c r="AD373" s="73"/>
      <c r="AE373" s="73"/>
      <c r="AF373" s="73"/>
      <c r="AG373" s="73"/>
      <c r="AH373" s="73"/>
      <c r="AI373" s="74"/>
    </row>
    <row r="374" spans="26:35" ht="14.25" customHeight="1" x14ac:dyDescent="0.2">
      <c r="Z374" s="72"/>
      <c r="AA374" s="73"/>
      <c r="AB374" s="73"/>
      <c r="AC374" s="73"/>
      <c r="AD374" s="73"/>
      <c r="AE374" s="73"/>
      <c r="AF374" s="73"/>
      <c r="AG374" s="73"/>
      <c r="AH374" s="73"/>
      <c r="AI374" s="74"/>
    </row>
    <row r="375" spans="26:35" ht="14.25" customHeight="1" x14ac:dyDescent="0.2">
      <c r="Z375" s="72"/>
      <c r="AA375" s="73"/>
      <c r="AB375" s="73"/>
      <c r="AC375" s="73"/>
      <c r="AD375" s="73"/>
      <c r="AE375" s="73"/>
      <c r="AF375" s="73"/>
      <c r="AG375" s="73"/>
      <c r="AH375" s="73"/>
      <c r="AI375" s="74"/>
    </row>
    <row r="376" spans="26:35" ht="14.25" customHeight="1" x14ac:dyDescent="0.2">
      <c r="Z376" s="72"/>
      <c r="AA376" s="73"/>
      <c r="AB376" s="73"/>
      <c r="AC376" s="73"/>
      <c r="AD376" s="73"/>
      <c r="AE376" s="73"/>
      <c r="AF376" s="73"/>
      <c r="AG376" s="73"/>
      <c r="AH376" s="73"/>
      <c r="AI376" s="74"/>
    </row>
    <row r="377" spans="26:35" ht="14.25" customHeight="1" x14ac:dyDescent="0.2">
      <c r="Z377" s="72"/>
      <c r="AA377" s="73"/>
      <c r="AB377" s="73"/>
      <c r="AC377" s="73"/>
      <c r="AD377" s="73"/>
      <c r="AE377" s="73"/>
      <c r="AF377" s="73"/>
      <c r="AG377" s="73"/>
      <c r="AH377" s="73"/>
      <c r="AI377" s="74"/>
    </row>
    <row r="378" spans="26:35" ht="14.25" customHeight="1" x14ac:dyDescent="0.2">
      <c r="Z378" s="72"/>
      <c r="AA378" s="73"/>
      <c r="AB378" s="73"/>
      <c r="AC378" s="73"/>
      <c r="AD378" s="73"/>
      <c r="AE378" s="73"/>
      <c r="AF378" s="73"/>
      <c r="AG378" s="73"/>
      <c r="AH378" s="73"/>
      <c r="AI378" s="74"/>
    </row>
    <row r="379" spans="26:35" ht="14.25" customHeight="1" x14ac:dyDescent="0.2">
      <c r="Z379" s="72"/>
      <c r="AA379" s="73"/>
      <c r="AB379" s="73"/>
      <c r="AC379" s="73"/>
      <c r="AD379" s="73"/>
      <c r="AE379" s="73"/>
      <c r="AF379" s="73"/>
      <c r="AG379" s="73"/>
      <c r="AH379" s="73"/>
      <c r="AI379" s="74"/>
    </row>
    <row r="380" spans="26:35" ht="14.25" customHeight="1" x14ac:dyDescent="0.2">
      <c r="Z380" s="72"/>
      <c r="AA380" s="73"/>
      <c r="AB380" s="73"/>
      <c r="AC380" s="73"/>
      <c r="AD380" s="73"/>
      <c r="AE380" s="73"/>
      <c r="AF380" s="73"/>
      <c r="AG380" s="73"/>
      <c r="AH380" s="73"/>
      <c r="AI380" s="74"/>
    </row>
    <row r="381" spans="26:35" ht="14.25" customHeight="1" x14ac:dyDescent="0.2">
      <c r="Z381" s="72"/>
      <c r="AA381" s="73"/>
      <c r="AB381" s="73"/>
      <c r="AC381" s="73"/>
      <c r="AD381" s="73"/>
      <c r="AE381" s="73"/>
      <c r="AF381" s="73"/>
      <c r="AG381" s="73"/>
      <c r="AH381" s="73"/>
      <c r="AI381" s="74"/>
    </row>
    <row r="382" spans="26:35" ht="14.25" customHeight="1" x14ac:dyDescent="0.2">
      <c r="Z382" s="72"/>
      <c r="AA382" s="73"/>
      <c r="AB382" s="73"/>
      <c r="AC382" s="73"/>
      <c r="AD382" s="73"/>
      <c r="AE382" s="73"/>
      <c r="AF382" s="73"/>
      <c r="AG382" s="73"/>
      <c r="AH382" s="73"/>
      <c r="AI382" s="74"/>
    </row>
    <row r="383" spans="26:35" ht="14.25" customHeight="1" x14ac:dyDescent="0.2">
      <c r="Z383" s="72"/>
      <c r="AA383" s="73"/>
      <c r="AB383" s="73"/>
      <c r="AC383" s="73"/>
      <c r="AD383" s="73"/>
      <c r="AE383" s="73"/>
      <c r="AF383" s="73"/>
      <c r="AG383" s="73"/>
      <c r="AH383" s="73"/>
      <c r="AI383" s="74"/>
    </row>
    <row r="384" spans="26:35" ht="14.25" customHeight="1" x14ac:dyDescent="0.2">
      <c r="Z384" s="72"/>
      <c r="AA384" s="73"/>
      <c r="AB384" s="73"/>
      <c r="AC384" s="73"/>
      <c r="AD384" s="73"/>
      <c r="AE384" s="73"/>
      <c r="AF384" s="73"/>
      <c r="AG384" s="73"/>
      <c r="AH384" s="73"/>
      <c r="AI384" s="74"/>
    </row>
    <row r="385" spans="26:35" ht="14.25" customHeight="1" x14ac:dyDescent="0.2">
      <c r="Z385" s="72"/>
      <c r="AA385" s="73"/>
      <c r="AB385" s="73"/>
      <c r="AC385" s="73"/>
      <c r="AD385" s="73"/>
      <c r="AE385" s="73"/>
      <c r="AF385" s="73"/>
      <c r="AG385" s="73"/>
      <c r="AH385" s="73"/>
      <c r="AI385" s="74"/>
    </row>
    <row r="386" spans="26:35" ht="14.25" customHeight="1" x14ac:dyDescent="0.2">
      <c r="Z386" s="72"/>
      <c r="AA386" s="73"/>
      <c r="AB386" s="73"/>
      <c r="AC386" s="73"/>
      <c r="AD386" s="73"/>
      <c r="AE386" s="73"/>
      <c r="AF386" s="73"/>
      <c r="AG386" s="73"/>
      <c r="AH386" s="73"/>
      <c r="AI386" s="74"/>
    </row>
    <row r="387" spans="26:35" ht="14.25" customHeight="1" x14ac:dyDescent="0.2">
      <c r="Z387" s="72"/>
      <c r="AA387" s="73"/>
      <c r="AB387" s="73"/>
      <c r="AC387" s="73"/>
      <c r="AD387" s="73"/>
      <c r="AE387" s="73"/>
      <c r="AF387" s="73"/>
      <c r="AG387" s="73"/>
      <c r="AH387" s="73"/>
      <c r="AI387" s="74"/>
    </row>
    <row r="388" spans="26:35" ht="14.25" customHeight="1" x14ac:dyDescent="0.2">
      <c r="Z388" s="72"/>
      <c r="AA388" s="73"/>
      <c r="AB388" s="73"/>
      <c r="AC388" s="73"/>
      <c r="AD388" s="73"/>
      <c r="AE388" s="73"/>
      <c r="AF388" s="73"/>
      <c r="AG388" s="73"/>
      <c r="AH388" s="73"/>
      <c r="AI388" s="74"/>
    </row>
    <row r="389" spans="26:35" ht="14.25" customHeight="1" x14ac:dyDescent="0.2">
      <c r="Z389" s="72"/>
      <c r="AA389" s="73"/>
      <c r="AB389" s="73"/>
      <c r="AC389" s="73"/>
      <c r="AD389" s="73"/>
      <c r="AE389" s="73"/>
      <c r="AF389" s="73"/>
      <c r="AG389" s="73"/>
      <c r="AH389" s="73"/>
      <c r="AI389" s="74"/>
    </row>
    <row r="390" spans="26:35" ht="14.25" customHeight="1" x14ac:dyDescent="0.2">
      <c r="Z390" s="72"/>
      <c r="AA390" s="73"/>
      <c r="AB390" s="73"/>
      <c r="AC390" s="73"/>
      <c r="AD390" s="73"/>
      <c r="AE390" s="73"/>
      <c r="AF390" s="73"/>
      <c r="AG390" s="73"/>
      <c r="AH390" s="73"/>
      <c r="AI390" s="74"/>
    </row>
    <row r="391" spans="26:35" ht="14.25" customHeight="1" x14ac:dyDescent="0.2">
      <c r="Z391" s="72"/>
      <c r="AA391" s="73"/>
      <c r="AB391" s="73"/>
      <c r="AC391" s="73"/>
      <c r="AD391" s="73"/>
      <c r="AE391" s="73"/>
      <c r="AF391" s="73"/>
      <c r="AG391" s="73"/>
      <c r="AH391" s="73"/>
      <c r="AI391" s="74"/>
    </row>
    <row r="392" spans="26:35" ht="14.25" customHeight="1" x14ac:dyDescent="0.2">
      <c r="Z392" s="72"/>
      <c r="AA392" s="73"/>
      <c r="AB392" s="73"/>
      <c r="AC392" s="73"/>
      <c r="AD392" s="73"/>
      <c r="AE392" s="73"/>
      <c r="AF392" s="73"/>
      <c r="AG392" s="73"/>
      <c r="AH392" s="73"/>
      <c r="AI392" s="74"/>
    </row>
    <row r="393" spans="26:35" ht="14.25" customHeight="1" x14ac:dyDescent="0.2">
      <c r="Z393" s="72"/>
      <c r="AA393" s="73"/>
      <c r="AB393" s="73"/>
      <c r="AC393" s="73"/>
      <c r="AD393" s="73"/>
      <c r="AE393" s="73"/>
      <c r="AF393" s="73"/>
      <c r="AG393" s="73"/>
      <c r="AH393" s="73"/>
      <c r="AI393" s="74"/>
    </row>
    <row r="394" spans="26:35" ht="14.25" customHeight="1" x14ac:dyDescent="0.2">
      <c r="Z394" s="72"/>
      <c r="AA394" s="73"/>
      <c r="AB394" s="73"/>
      <c r="AC394" s="73"/>
      <c r="AD394" s="73"/>
      <c r="AE394" s="73"/>
      <c r="AF394" s="73"/>
      <c r="AG394" s="73"/>
      <c r="AH394" s="73"/>
      <c r="AI394" s="74"/>
    </row>
    <row r="395" spans="26:35" ht="14.25" customHeight="1" x14ac:dyDescent="0.2">
      <c r="Z395" s="72"/>
      <c r="AA395" s="73"/>
      <c r="AB395" s="73"/>
      <c r="AC395" s="73"/>
      <c r="AD395" s="73"/>
      <c r="AE395" s="73"/>
      <c r="AF395" s="73"/>
      <c r="AG395" s="73"/>
      <c r="AH395" s="73"/>
      <c r="AI395" s="74"/>
    </row>
    <row r="396" spans="26:35" ht="14.25" customHeight="1" x14ac:dyDescent="0.2">
      <c r="Z396" s="72"/>
      <c r="AA396" s="73"/>
      <c r="AB396" s="73"/>
      <c r="AC396" s="73"/>
      <c r="AD396" s="73"/>
      <c r="AE396" s="73"/>
      <c r="AF396" s="73"/>
      <c r="AG396" s="73"/>
      <c r="AH396" s="73"/>
      <c r="AI396" s="74"/>
    </row>
    <row r="397" spans="26:35" ht="14.25" customHeight="1" x14ac:dyDescent="0.2">
      <c r="Z397" s="72"/>
      <c r="AA397" s="73"/>
      <c r="AB397" s="73"/>
      <c r="AC397" s="73"/>
      <c r="AD397" s="73"/>
      <c r="AE397" s="73"/>
      <c r="AF397" s="73"/>
      <c r="AG397" s="73"/>
      <c r="AH397" s="73"/>
      <c r="AI397" s="74"/>
    </row>
    <row r="398" spans="26:35" ht="14.25" customHeight="1" x14ac:dyDescent="0.2">
      <c r="Z398" s="72"/>
      <c r="AA398" s="73"/>
      <c r="AB398" s="73"/>
      <c r="AC398" s="73"/>
      <c r="AD398" s="73"/>
      <c r="AE398" s="73"/>
      <c r="AF398" s="73"/>
      <c r="AG398" s="73"/>
      <c r="AH398" s="73"/>
      <c r="AI398" s="74"/>
    </row>
    <row r="399" spans="26:35" ht="14.25" customHeight="1" x14ac:dyDescent="0.2">
      <c r="Z399" s="72"/>
      <c r="AA399" s="73"/>
      <c r="AB399" s="73"/>
      <c r="AC399" s="73"/>
      <c r="AD399" s="73"/>
      <c r="AE399" s="73"/>
      <c r="AF399" s="73"/>
      <c r="AG399" s="73"/>
      <c r="AH399" s="73"/>
      <c r="AI399" s="74"/>
    </row>
    <row r="400" spans="26:35" ht="14.25" customHeight="1" x14ac:dyDescent="0.2">
      <c r="Z400" s="72"/>
      <c r="AA400" s="73"/>
      <c r="AB400" s="73"/>
      <c r="AC400" s="73"/>
      <c r="AD400" s="73"/>
      <c r="AE400" s="73"/>
      <c r="AF400" s="73"/>
      <c r="AG400" s="73"/>
      <c r="AH400" s="73"/>
      <c r="AI400" s="74"/>
    </row>
    <row r="401" spans="26:35" ht="14.25" customHeight="1" x14ac:dyDescent="0.2">
      <c r="Z401" s="72"/>
      <c r="AA401" s="73"/>
      <c r="AB401" s="73"/>
      <c r="AC401" s="73"/>
      <c r="AD401" s="73"/>
      <c r="AE401" s="73"/>
      <c r="AF401" s="73"/>
      <c r="AG401" s="73"/>
      <c r="AH401" s="73"/>
      <c r="AI401" s="74"/>
    </row>
    <row r="402" spans="26:35" ht="14.25" customHeight="1" x14ac:dyDescent="0.2">
      <c r="Z402" s="72"/>
      <c r="AA402" s="73"/>
      <c r="AB402" s="73"/>
      <c r="AC402" s="73"/>
      <c r="AD402" s="73"/>
      <c r="AE402" s="73"/>
      <c r="AF402" s="73"/>
      <c r="AG402" s="73"/>
      <c r="AH402" s="73"/>
      <c r="AI402" s="74"/>
    </row>
    <row r="403" spans="26:35" ht="14.25" customHeight="1" x14ac:dyDescent="0.2">
      <c r="Z403" s="72"/>
      <c r="AA403" s="73"/>
      <c r="AB403" s="73"/>
      <c r="AC403" s="73"/>
      <c r="AD403" s="73"/>
      <c r="AE403" s="73"/>
      <c r="AF403" s="73"/>
      <c r="AG403" s="73"/>
      <c r="AH403" s="73"/>
      <c r="AI403" s="74"/>
    </row>
    <row r="404" spans="26:35" ht="14.25" customHeight="1" x14ac:dyDescent="0.2">
      <c r="Z404" s="72"/>
      <c r="AA404" s="73"/>
      <c r="AB404" s="73"/>
      <c r="AC404" s="73"/>
      <c r="AD404" s="73"/>
      <c r="AE404" s="73"/>
      <c r="AF404" s="73"/>
      <c r="AG404" s="73"/>
      <c r="AH404" s="73"/>
      <c r="AI404" s="74"/>
    </row>
    <row r="405" spans="26:35" ht="14.25" customHeight="1" x14ac:dyDescent="0.2">
      <c r="Z405" s="72"/>
      <c r="AA405" s="73"/>
      <c r="AB405" s="73"/>
      <c r="AC405" s="73"/>
      <c r="AD405" s="73"/>
      <c r="AE405" s="73"/>
      <c r="AF405" s="73"/>
      <c r="AG405" s="73"/>
      <c r="AH405" s="73"/>
      <c r="AI405" s="74"/>
    </row>
    <row r="406" spans="26:35" ht="14.25" customHeight="1" x14ac:dyDescent="0.2">
      <c r="Z406" s="72"/>
      <c r="AA406" s="73"/>
      <c r="AB406" s="73"/>
      <c r="AC406" s="73"/>
      <c r="AD406" s="73"/>
      <c r="AE406" s="73"/>
      <c r="AF406" s="73"/>
      <c r="AG406" s="73"/>
      <c r="AH406" s="73"/>
      <c r="AI406" s="74"/>
    </row>
    <row r="407" spans="26:35" ht="14.25" customHeight="1" x14ac:dyDescent="0.2">
      <c r="Z407" s="72"/>
      <c r="AA407" s="73"/>
      <c r="AB407" s="73"/>
      <c r="AC407" s="73"/>
      <c r="AD407" s="73"/>
      <c r="AE407" s="73"/>
      <c r="AF407" s="73"/>
      <c r="AG407" s="73"/>
      <c r="AH407" s="73"/>
      <c r="AI407" s="74"/>
    </row>
    <row r="408" spans="26:35" ht="14.25" customHeight="1" x14ac:dyDescent="0.2">
      <c r="Z408" s="72"/>
      <c r="AA408" s="73"/>
      <c r="AB408" s="73"/>
      <c r="AC408" s="73"/>
      <c r="AD408" s="73"/>
      <c r="AE408" s="73"/>
      <c r="AF408" s="73"/>
      <c r="AG408" s="73"/>
      <c r="AH408" s="73"/>
      <c r="AI408" s="74"/>
    </row>
    <row r="409" spans="26:35" ht="14.25" customHeight="1" x14ac:dyDescent="0.2">
      <c r="Z409" s="72"/>
      <c r="AA409" s="73"/>
      <c r="AB409" s="73"/>
      <c r="AC409" s="73"/>
      <c r="AD409" s="73"/>
      <c r="AE409" s="73"/>
      <c r="AF409" s="73"/>
      <c r="AG409" s="73"/>
      <c r="AH409" s="73"/>
      <c r="AI409" s="74"/>
    </row>
    <row r="410" spans="26:35" ht="14.25" customHeight="1" x14ac:dyDescent="0.2">
      <c r="Z410" s="72"/>
      <c r="AA410" s="73"/>
      <c r="AB410" s="73"/>
      <c r="AC410" s="73"/>
      <c r="AD410" s="73"/>
      <c r="AE410" s="73"/>
      <c r="AF410" s="73"/>
      <c r="AG410" s="73"/>
      <c r="AH410" s="73"/>
      <c r="AI410" s="74"/>
    </row>
    <row r="411" spans="26:35" ht="14.25" customHeight="1" x14ac:dyDescent="0.2">
      <c r="Z411" s="72"/>
      <c r="AA411" s="73"/>
      <c r="AB411" s="73"/>
      <c r="AC411" s="73"/>
      <c r="AD411" s="73"/>
      <c r="AE411" s="73"/>
      <c r="AF411" s="73"/>
      <c r="AG411" s="73"/>
      <c r="AH411" s="73"/>
      <c r="AI411" s="74"/>
    </row>
    <row r="412" spans="26:35" ht="14.25" customHeight="1" x14ac:dyDescent="0.2">
      <c r="Z412" s="72"/>
      <c r="AA412" s="73"/>
      <c r="AB412" s="73"/>
      <c r="AC412" s="73"/>
      <c r="AD412" s="73"/>
      <c r="AE412" s="73"/>
      <c r="AF412" s="73"/>
      <c r="AG412" s="73"/>
      <c r="AH412" s="73"/>
      <c r="AI412" s="74"/>
    </row>
    <row r="413" spans="26:35" ht="14.25" customHeight="1" x14ac:dyDescent="0.2">
      <c r="Z413" s="72"/>
      <c r="AA413" s="73"/>
      <c r="AB413" s="73"/>
      <c r="AC413" s="73"/>
      <c r="AD413" s="73"/>
      <c r="AE413" s="73"/>
      <c r="AF413" s="73"/>
      <c r="AG413" s="73"/>
      <c r="AH413" s="73"/>
      <c r="AI413" s="74"/>
    </row>
    <row r="414" spans="26:35" ht="14.25" customHeight="1" x14ac:dyDescent="0.2">
      <c r="Z414" s="72"/>
      <c r="AA414" s="73"/>
      <c r="AB414" s="73"/>
      <c r="AC414" s="73"/>
      <c r="AD414" s="73"/>
      <c r="AE414" s="73"/>
      <c r="AF414" s="73"/>
      <c r="AG414" s="73"/>
      <c r="AH414" s="73"/>
      <c r="AI414" s="74"/>
    </row>
    <row r="415" spans="26:35" ht="14.25" customHeight="1" x14ac:dyDescent="0.2">
      <c r="Z415" s="72"/>
      <c r="AA415" s="73"/>
      <c r="AB415" s="73"/>
      <c r="AC415" s="73"/>
      <c r="AD415" s="73"/>
      <c r="AE415" s="73"/>
      <c r="AF415" s="73"/>
      <c r="AG415" s="73"/>
      <c r="AH415" s="73"/>
      <c r="AI415" s="74"/>
    </row>
    <row r="416" spans="26:35" ht="14.25" customHeight="1" x14ac:dyDescent="0.2">
      <c r="Z416" s="72"/>
      <c r="AA416" s="73"/>
      <c r="AB416" s="73"/>
      <c r="AC416" s="73"/>
      <c r="AD416" s="73"/>
      <c r="AE416" s="73"/>
      <c r="AF416" s="73"/>
      <c r="AG416" s="73"/>
      <c r="AH416" s="73"/>
      <c r="AI416" s="74"/>
    </row>
    <row r="417" spans="26:35" ht="14.25" customHeight="1" x14ac:dyDescent="0.2">
      <c r="Z417" s="72"/>
      <c r="AA417" s="73"/>
      <c r="AB417" s="73"/>
      <c r="AC417" s="73"/>
      <c r="AD417" s="73"/>
      <c r="AE417" s="73"/>
      <c r="AF417" s="73"/>
      <c r="AG417" s="73"/>
      <c r="AH417" s="73"/>
      <c r="AI417" s="74"/>
    </row>
    <row r="418" spans="26:35" ht="14.25" customHeight="1" x14ac:dyDescent="0.2">
      <c r="Z418" s="72"/>
      <c r="AA418" s="73"/>
      <c r="AB418" s="73"/>
      <c r="AC418" s="73"/>
      <c r="AD418" s="73"/>
      <c r="AE418" s="73"/>
      <c r="AF418" s="73"/>
      <c r="AG418" s="73"/>
      <c r="AH418" s="73"/>
      <c r="AI418" s="74"/>
    </row>
    <row r="419" spans="26:35" ht="14.25" customHeight="1" x14ac:dyDescent="0.2">
      <c r="Z419" s="72"/>
      <c r="AA419" s="73"/>
      <c r="AB419" s="73"/>
      <c r="AC419" s="73"/>
      <c r="AD419" s="73"/>
      <c r="AE419" s="73"/>
      <c r="AF419" s="73"/>
      <c r="AG419" s="73"/>
      <c r="AH419" s="73"/>
      <c r="AI419" s="74"/>
    </row>
    <row r="420" spans="26:35" ht="14.25" customHeight="1" x14ac:dyDescent="0.2">
      <c r="Z420" s="72"/>
      <c r="AA420" s="73"/>
      <c r="AB420" s="73"/>
      <c r="AC420" s="73"/>
      <c r="AD420" s="73"/>
      <c r="AE420" s="73"/>
      <c r="AF420" s="73"/>
      <c r="AG420" s="73"/>
      <c r="AH420" s="73"/>
      <c r="AI420" s="74"/>
    </row>
    <row r="421" spans="26:35" ht="14.25" customHeight="1" x14ac:dyDescent="0.2">
      <c r="Z421" s="72"/>
      <c r="AA421" s="73"/>
      <c r="AB421" s="73"/>
      <c r="AC421" s="73"/>
      <c r="AD421" s="73"/>
      <c r="AE421" s="73"/>
      <c r="AF421" s="73"/>
      <c r="AG421" s="73"/>
      <c r="AH421" s="73"/>
      <c r="AI421" s="74"/>
    </row>
    <row r="422" spans="26:35" ht="14.25" customHeight="1" x14ac:dyDescent="0.2">
      <c r="Z422" s="72"/>
      <c r="AA422" s="73"/>
      <c r="AB422" s="73"/>
      <c r="AC422" s="73"/>
      <c r="AD422" s="73"/>
      <c r="AE422" s="73"/>
      <c r="AF422" s="73"/>
      <c r="AG422" s="73"/>
      <c r="AH422" s="73"/>
      <c r="AI422" s="74"/>
    </row>
    <row r="423" spans="26:35" ht="14.25" customHeight="1" x14ac:dyDescent="0.2">
      <c r="Z423" s="72"/>
      <c r="AA423" s="73"/>
      <c r="AB423" s="73"/>
      <c r="AC423" s="73"/>
      <c r="AD423" s="73"/>
      <c r="AE423" s="73"/>
      <c r="AF423" s="73"/>
      <c r="AG423" s="73"/>
      <c r="AH423" s="73"/>
      <c r="AI423" s="74"/>
    </row>
    <row r="424" spans="26:35" ht="14.25" customHeight="1" x14ac:dyDescent="0.2">
      <c r="Z424" s="72"/>
      <c r="AA424" s="73"/>
      <c r="AB424" s="73"/>
      <c r="AC424" s="73"/>
      <c r="AD424" s="73"/>
      <c r="AE424" s="73"/>
      <c r="AF424" s="73"/>
      <c r="AG424" s="73"/>
      <c r="AH424" s="73"/>
      <c r="AI424" s="74"/>
    </row>
    <row r="425" spans="26:35" ht="14.25" customHeight="1" x14ac:dyDescent="0.2">
      <c r="Z425" s="72"/>
      <c r="AA425" s="73"/>
      <c r="AB425" s="73"/>
      <c r="AC425" s="73"/>
      <c r="AD425" s="73"/>
      <c r="AE425" s="73"/>
      <c r="AF425" s="73"/>
      <c r="AG425" s="73"/>
      <c r="AH425" s="73"/>
      <c r="AI425" s="74"/>
    </row>
    <row r="426" spans="26:35" ht="14.25" customHeight="1" x14ac:dyDescent="0.2">
      <c r="Z426" s="72"/>
      <c r="AA426" s="73"/>
      <c r="AB426" s="73"/>
      <c r="AC426" s="73"/>
      <c r="AD426" s="73"/>
      <c r="AE426" s="73"/>
      <c r="AF426" s="73"/>
      <c r="AG426" s="73"/>
      <c r="AH426" s="73"/>
      <c r="AI426" s="74"/>
    </row>
    <row r="427" spans="26:35" ht="14.25" customHeight="1" x14ac:dyDescent="0.2">
      <c r="Z427" s="72"/>
      <c r="AA427" s="73"/>
      <c r="AB427" s="73"/>
      <c r="AC427" s="73"/>
      <c r="AD427" s="73"/>
      <c r="AE427" s="73"/>
      <c r="AF427" s="73"/>
      <c r="AG427" s="73"/>
      <c r="AH427" s="73"/>
      <c r="AI427" s="74"/>
    </row>
    <row r="428" spans="26:35" ht="14.25" customHeight="1" x14ac:dyDescent="0.2">
      <c r="Z428" s="72"/>
      <c r="AA428" s="73"/>
      <c r="AB428" s="73"/>
      <c r="AC428" s="73"/>
      <c r="AD428" s="73"/>
      <c r="AE428" s="73"/>
      <c r="AF428" s="73"/>
      <c r="AG428" s="73"/>
      <c r="AH428" s="73"/>
      <c r="AI428" s="74"/>
    </row>
    <row r="429" spans="26:35" ht="14.25" customHeight="1" x14ac:dyDescent="0.2">
      <c r="Z429" s="72"/>
      <c r="AA429" s="73"/>
      <c r="AB429" s="73"/>
      <c r="AC429" s="73"/>
      <c r="AD429" s="73"/>
      <c r="AE429" s="73"/>
      <c r="AF429" s="73"/>
      <c r="AG429" s="73"/>
      <c r="AH429" s="73"/>
      <c r="AI429" s="74"/>
    </row>
    <row r="430" spans="26:35" ht="14.25" customHeight="1" x14ac:dyDescent="0.2">
      <c r="Z430" s="72"/>
      <c r="AA430" s="73"/>
      <c r="AB430" s="73"/>
      <c r="AC430" s="73"/>
      <c r="AD430" s="73"/>
      <c r="AE430" s="73"/>
      <c r="AF430" s="73"/>
      <c r="AG430" s="73"/>
      <c r="AH430" s="73"/>
      <c r="AI430" s="74"/>
    </row>
    <row r="431" spans="26:35" ht="14.25" customHeight="1" x14ac:dyDescent="0.2">
      <c r="Z431" s="72"/>
      <c r="AA431" s="73"/>
      <c r="AB431" s="73"/>
      <c r="AC431" s="73"/>
      <c r="AD431" s="73"/>
      <c r="AE431" s="73"/>
      <c r="AF431" s="73"/>
      <c r="AG431" s="73"/>
      <c r="AH431" s="73"/>
      <c r="AI431" s="74"/>
    </row>
    <row r="432" spans="26:35" ht="14.25" customHeight="1" x14ac:dyDescent="0.2">
      <c r="Z432" s="72"/>
      <c r="AA432" s="73"/>
      <c r="AB432" s="73"/>
      <c r="AC432" s="73"/>
      <c r="AD432" s="73"/>
      <c r="AE432" s="73"/>
      <c r="AF432" s="73"/>
      <c r="AG432" s="73"/>
      <c r="AH432" s="73"/>
      <c r="AI432" s="74"/>
    </row>
    <row r="433" spans="26:35" ht="14.25" customHeight="1" x14ac:dyDescent="0.2">
      <c r="Z433" s="72"/>
      <c r="AA433" s="73"/>
      <c r="AB433" s="73"/>
      <c r="AC433" s="73"/>
      <c r="AD433" s="73"/>
      <c r="AE433" s="73"/>
      <c r="AF433" s="73"/>
      <c r="AG433" s="73"/>
      <c r="AH433" s="73"/>
      <c r="AI433" s="74"/>
    </row>
    <row r="434" spans="26:35" ht="14.25" customHeight="1" x14ac:dyDescent="0.2">
      <c r="Z434" s="72"/>
      <c r="AA434" s="73"/>
      <c r="AB434" s="73"/>
      <c r="AC434" s="73"/>
      <c r="AD434" s="73"/>
      <c r="AE434" s="73"/>
      <c r="AF434" s="73"/>
      <c r="AG434" s="73"/>
      <c r="AH434" s="73"/>
      <c r="AI434" s="74"/>
    </row>
    <row r="435" spans="26:35" ht="14.25" customHeight="1" x14ac:dyDescent="0.2">
      <c r="Z435" s="72"/>
      <c r="AA435" s="73"/>
      <c r="AB435" s="73"/>
      <c r="AC435" s="73"/>
      <c r="AD435" s="73"/>
      <c r="AE435" s="73"/>
      <c r="AF435" s="73"/>
      <c r="AG435" s="73"/>
      <c r="AH435" s="73"/>
      <c r="AI435" s="74"/>
    </row>
    <row r="436" spans="26:35" ht="14.25" customHeight="1" x14ac:dyDescent="0.2">
      <c r="Z436" s="72"/>
      <c r="AA436" s="73"/>
      <c r="AB436" s="73"/>
      <c r="AC436" s="73"/>
      <c r="AD436" s="73"/>
      <c r="AE436" s="73"/>
      <c r="AF436" s="73"/>
      <c r="AG436" s="73"/>
      <c r="AH436" s="73"/>
      <c r="AI436" s="74"/>
    </row>
    <row r="437" spans="26:35" ht="14.25" customHeight="1" x14ac:dyDescent="0.2">
      <c r="Z437" s="72"/>
      <c r="AA437" s="73"/>
      <c r="AB437" s="73"/>
      <c r="AC437" s="73"/>
      <c r="AD437" s="73"/>
      <c r="AE437" s="73"/>
      <c r="AF437" s="73"/>
      <c r="AG437" s="73"/>
      <c r="AH437" s="73"/>
      <c r="AI437" s="74"/>
    </row>
    <row r="438" spans="26:35" ht="14.25" customHeight="1" x14ac:dyDescent="0.2">
      <c r="Z438" s="72"/>
      <c r="AA438" s="73"/>
      <c r="AB438" s="73"/>
      <c r="AC438" s="73"/>
      <c r="AD438" s="73"/>
      <c r="AE438" s="73"/>
      <c r="AF438" s="73"/>
      <c r="AG438" s="73"/>
      <c r="AH438" s="73"/>
      <c r="AI438" s="74"/>
    </row>
    <row r="439" spans="26:35" ht="14.25" customHeight="1" x14ac:dyDescent="0.2">
      <c r="Z439" s="72"/>
      <c r="AA439" s="73"/>
      <c r="AB439" s="73"/>
      <c r="AC439" s="73"/>
      <c r="AD439" s="73"/>
      <c r="AE439" s="73"/>
      <c r="AF439" s="73"/>
      <c r="AG439" s="73"/>
      <c r="AH439" s="73"/>
      <c r="AI439" s="74"/>
    </row>
    <row r="440" spans="26:35" ht="14.25" customHeight="1" x14ac:dyDescent="0.2">
      <c r="Z440" s="72"/>
      <c r="AA440" s="73"/>
      <c r="AB440" s="73"/>
      <c r="AC440" s="73"/>
      <c r="AD440" s="73"/>
      <c r="AE440" s="73"/>
      <c r="AF440" s="73"/>
      <c r="AG440" s="73"/>
      <c r="AH440" s="73"/>
      <c r="AI440" s="74"/>
    </row>
    <row r="441" spans="26:35" ht="14.25" customHeight="1" x14ac:dyDescent="0.2">
      <c r="Z441" s="72"/>
      <c r="AA441" s="73"/>
      <c r="AB441" s="73"/>
      <c r="AC441" s="73"/>
      <c r="AD441" s="73"/>
      <c r="AE441" s="73"/>
      <c r="AF441" s="73"/>
      <c r="AG441" s="73"/>
      <c r="AH441" s="73"/>
      <c r="AI441" s="74"/>
    </row>
    <row r="442" spans="26:35" ht="14.25" customHeight="1" x14ac:dyDescent="0.2">
      <c r="Z442" s="72"/>
      <c r="AA442" s="73"/>
      <c r="AB442" s="73"/>
      <c r="AC442" s="73"/>
      <c r="AD442" s="73"/>
      <c r="AE442" s="73"/>
      <c r="AF442" s="73"/>
      <c r="AG442" s="73"/>
      <c r="AH442" s="73"/>
      <c r="AI442" s="74"/>
    </row>
    <row r="443" spans="26:35" ht="14.25" customHeight="1" x14ac:dyDescent="0.2">
      <c r="Z443" s="72"/>
      <c r="AA443" s="73"/>
      <c r="AB443" s="73"/>
      <c r="AC443" s="73"/>
      <c r="AD443" s="73"/>
      <c r="AE443" s="73"/>
      <c r="AF443" s="73"/>
      <c r="AG443" s="73"/>
      <c r="AH443" s="73"/>
      <c r="AI443" s="74"/>
    </row>
    <row r="444" spans="26:35" ht="14.25" customHeight="1" x14ac:dyDescent="0.2">
      <c r="Z444" s="72"/>
      <c r="AA444" s="73"/>
      <c r="AB444" s="73"/>
      <c r="AC444" s="73"/>
      <c r="AD444" s="73"/>
      <c r="AE444" s="73"/>
      <c r="AF444" s="73"/>
      <c r="AG444" s="73"/>
      <c r="AH444" s="73"/>
      <c r="AI444" s="74"/>
    </row>
    <row r="445" spans="26:35" ht="14.25" customHeight="1" x14ac:dyDescent="0.2">
      <c r="Z445" s="72"/>
      <c r="AA445" s="73"/>
      <c r="AB445" s="73"/>
      <c r="AC445" s="73"/>
      <c r="AD445" s="73"/>
      <c r="AE445" s="73"/>
      <c r="AF445" s="73"/>
      <c r="AG445" s="73"/>
      <c r="AH445" s="73"/>
      <c r="AI445" s="74"/>
    </row>
    <row r="446" spans="26:35" ht="14.25" customHeight="1" x14ac:dyDescent="0.2">
      <c r="Z446" s="72"/>
      <c r="AA446" s="73"/>
      <c r="AB446" s="73"/>
      <c r="AC446" s="73"/>
      <c r="AD446" s="73"/>
      <c r="AE446" s="73"/>
      <c r="AF446" s="73"/>
      <c r="AG446" s="73"/>
      <c r="AH446" s="73"/>
      <c r="AI446" s="74"/>
    </row>
    <row r="447" spans="26:35" ht="14.25" customHeight="1" x14ac:dyDescent="0.2">
      <c r="Z447" s="72"/>
      <c r="AA447" s="73"/>
      <c r="AB447" s="73"/>
      <c r="AC447" s="73"/>
      <c r="AD447" s="73"/>
      <c r="AE447" s="73"/>
      <c r="AF447" s="73"/>
      <c r="AG447" s="73"/>
      <c r="AH447" s="73"/>
      <c r="AI447" s="74"/>
    </row>
    <row r="448" spans="26:35" ht="14.25" customHeight="1" x14ac:dyDescent="0.2">
      <c r="Z448" s="72"/>
      <c r="AA448" s="73"/>
      <c r="AB448" s="73"/>
      <c r="AC448" s="73"/>
      <c r="AD448" s="73"/>
      <c r="AE448" s="73"/>
      <c r="AF448" s="73"/>
      <c r="AG448" s="73"/>
      <c r="AH448" s="73"/>
      <c r="AI448" s="74"/>
    </row>
    <row r="449" spans="26:35" ht="14.25" customHeight="1" x14ac:dyDescent="0.2">
      <c r="Z449" s="72"/>
      <c r="AA449" s="73"/>
      <c r="AB449" s="73"/>
      <c r="AC449" s="73"/>
      <c r="AD449" s="73"/>
      <c r="AE449" s="73"/>
      <c r="AF449" s="73"/>
      <c r="AG449" s="73"/>
      <c r="AH449" s="73"/>
      <c r="AI449" s="74"/>
    </row>
    <row r="450" spans="26:35" ht="14.25" customHeight="1" x14ac:dyDescent="0.2">
      <c r="Z450" s="72"/>
      <c r="AA450" s="73"/>
      <c r="AB450" s="73"/>
      <c r="AC450" s="73"/>
      <c r="AD450" s="73"/>
      <c r="AE450" s="73"/>
      <c r="AF450" s="73"/>
      <c r="AG450" s="73"/>
      <c r="AH450" s="73"/>
      <c r="AI450" s="74"/>
    </row>
    <row r="451" spans="26:35" ht="14.25" customHeight="1" x14ac:dyDescent="0.2">
      <c r="Z451" s="72"/>
      <c r="AA451" s="73"/>
      <c r="AB451" s="73"/>
      <c r="AC451" s="73"/>
      <c r="AD451" s="73"/>
      <c r="AE451" s="73"/>
      <c r="AF451" s="73"/>
      <c r="AG451" s="73"/>
      <c r="AH451" s="73"/>
      <c r="AI451" s="74"/>
    </row>
    <row r="452" spans="26:35" ht="14.25" customHeight="1" x14ac:dyDescent="0.2">
      <c r="Z452" s="72"/>
      <c r="AA452" s="73"/>
      <c r="AB452" s="73"/>
      <c r="AC452" s="73"/>
      <c r="AD452" s="73"/>
      <c r="AE452" s="73"/>
      <c r="AF452" s="73"/>
      <c r="AG452" s="73"/>
      <c r="AH452" s="73"/>
      <c r="AI452" s="74"/>
    </row>
    <row r="453" spans="26:35" ht="14.25" customHeight="1" x14ac:dyDescent="0.2">
      <c r="Z453" s="72"/>
      <c r="AA453" s="73"/>
      <c r="AB453" s="73"/>
      <c r="AC453" s="73"/>
      <c r="AD453" s="73"/>
      <c r="AE453" s="73"/>
      <c r="AF453" s="73"/>
      <c r="AG453" s="73"/>
      <c r="AH453" s="73"/>
      <c r="AI453" s="74"/>
    </row>
    <row r="454" spans="26:35" ht="14.25" customHeight="1" x14ac:dyDescent="0.2">
      <c r="Z454" s="72"/>
      <c r="AA454" s="73"/>
      <c r="AB454" s="73"/>
      <c r="AC454" s="73"/>
      <c r="AD454" s="73"/>
      <c r="AE454" s="73"/>
      <c r="AF454" s="73"/>
      <c r="AG454" s="73"/>
      <c r="AH454" s="73"/>
      <c r="AI454" s="74"/>
    </row>
    <row r="455" spans="26:35" ht="14.25" customHeight="1" x14ac:dyDescent="0.2">
      <c r="Z455" s="72"/>
      <c r="AA455" s="73"/>
      <c r="AB455" s="73"/>
      <c r="AC455" s="73"/>
      <c r="AD455" s="73"/>
      <c r="AE455" s="73"/>
      <c r="AF455" s="73"/>
      <c r="AG455" s="73"/>
      <c r="AH455" s="73"/>
      <c r="AI455" s="74"/>
    </row>
    <row r="456" spans="26:35" ht="14.25" customHeight="1" x14ac:dyDescent="0.2">
      <c r="Z456" s="72"/>
      <c r="AA456" s="73"/>
      <c r="AB456" s="73"/>
      <c r="AC456" s="73"/>
      <c r="AD456" s="73"/>
      <c r="AE456" s="73"/>
      <c r="AF456" s="73"/>
      <c r="AG456" s="73"/>
      <c r="AH456" s="73"/>
      <c r="AI456" s="74"/>
    </row>
    <row r="457" spans="26:35" ht="14.25" customHeight="1" x14ac:dyDescent="0.2">
      <c r="Z457" s="72"/>
      <c r="AA457" s="73"/>
      <c r="AB457" s="73"/>
      <c r="AC457" s="73"/>
      <c r="AD457" s="73"/>
      <c r="AE457" s="73"/>
      <c r="AF457" s="73"/>
      <c r="AG457" s="73"/>
      <c r="AH457" s="73"/>
      <c r="AI457" s="74"/>
    </row>
    <row r="458" spans="26:35" ht="14.25" customHeight="1" x14ac:dyDescent="0.2">
      <c r="Z458" s="72"/>
      <c r="AA458" s="73"/>
      <c r="AB458" s="73"/>
      <c r="AC458" s="73"/>
      <c r="AD458" s="73"/>
      <c r="AE458" s="73"/>
      <c r="AF458" s="73"/>
      <c r="AG458" s="73"/>
      <c r="AH458" s="73"/>
      <c r="AI458" s="74"/>
    </row>
    <row r="459" spans="26:35" ht="14.25" customHeight="1" x14ac:dyDescent="0.2">
      <c r="Z459" s="72"/>
      <c r="AA459" s="73"/>
      <c r="AB459" s="73"/>
      <c r="AC459" s="73"/>
      <c r="AD459" s="73"/>
      <c r="AE459" s="73"/>
      <c r="AF459" s="73"/>
      <c r="AG459" s="73"/>
      <c r="AH459" s="73"/>
      <c r="AI459" s="74"/>
    </row>
    <row r="460" spans="26:35" ht="14.25" customHeight="1" x14ac:dyDescent="0.2">
      <c r="Z460" s="72"/>
      <c r="AA460" s="73"/>
      <c r="AB460" s="73"/>
      <c r="AC460" s="73"/>
      <c r="AD460" s="73"/>
      <c r="AE460" s="73"/>
      <c r="AF460" s="73"/>
      <c r="AG460" s="73"/>
      <c r="AH460" s="73"/>
      <c r="AI460" s="74"/>
    </row>
    <row r="461" spans="26:35" ht="14.25" customHeight="1" x14ac:dyDescent="0.2">
      <c r="Z461" s="72"/>
      <c r="AA461" s="73"/>
      <c r="AB461" s="73"/>
      <c r="AC461" s="73"/>
      <c r="AD461" s="73"/>
      <c r="AE461" s="73"/>
      <c r="AF461" s="73"/>
      <c r="AG461" s="73"/>
      <c r="AH461" s="73"/>
      <c r="AI461" s="74"/>
    </row>
    <row r="462" spans="26:35" ht="14.25" customHeight="1" x14ac:dyDescent="0.2">
      <c r="Z462" s="72"/>
      <c r="AA462" s="73"/>
      <c r="AB462" s="73"/>
      <c r="AC462" s="73"/>
      <c r="AD462" s="73"/>
      <c r="AE462" s="73"/>
      <c r="AF462" s="73"/>
      <c r="AG462" s="73"/>
      <c r="AH462" s="73"/>
      <c r="AI462" s="74"/>
    </row>
    <row r="463" spans="26:35" ht="14.25" customHeight="1" x14ac:dyDescent="0.2">
      <c r="Z463" s="72"/>
      <c r="AA463" s="73"/>
      <c r="AB463" s="73"/>
      <c r="AC463" s="73"/>
      <c r="AD463" s="73"/>
      <c r="AE463" s="73"/>
      <c r="AF463" s="73"/>
      <c r="AG463" s="73"/>
      <c r="AH463" s="73"/>
      <c r="AI463" s="74"/>
    </row>
    <row r="464" spans="26:35" ht="14.25" customHeight="1" x14ac:dyDescent="0.2">
      <c r="Z464" s="72"/>
      <c r="AA464" s="73"/>
      <c r="AB464" s="73"/>
      <c r="AC464" s="73"/>
      <c r="AD464" s="73"/>
      <c r="AE464" s="73"/>
      <c r="AF464" s="73"/>
      <c r="AG464" s="73"/>
      <c r="AH464" s="73"/>
      <c r="AI464" s="74"/>
    </row>
    <row r="465" spans="26:35" ht="14.25" customHeight="1" x14ac:dyDescent="0.2">
      <c r="Z465" s="72"/>
      <c r="AA465" s="73"/>
      <c r="AB465" s="73"/>
      <c r="AC465" s="73"/>
      <c r="AD465" s="73"/>
      <c r="AE465" s="73"/>
      <c r="AF465" s="73"/>
      <c r="AG465" s="73"/>
      <c r="AH465" s="73"/>
      <c r="AI465" s="74"/>
    </row>
    <row r="466" spans="26:35" ht="14.25" customHeight="1" x14ac:dyDescent="0.2">
      <c r="Z466" s="72"/>
      <c r="AA466" s="73"/>
      <c r="AB466" s="73"/>
      <c r="AC466" s="73"/>
      <c r="AD466" s="73"/>
      <c r="AE466" s="73"/>
      <c r="AF466" s="73"/>
      <c r="AG466" s="73"/>
      <c r="AH466" s="73"/>
      <c r="AI466" s="74"/>
    </row>
    <row r="467" spans="26:35" ht="14.25" customHeight="1" x14ac:dyDescent="0.2">
      <c r="Z467" s="72"/>
      <c r="AA467" s="73"/>
      <c r="AB467" s="73"/>
      <c r="AC467" s="73"/>
      <c r="AD467" s="73"/>
      <c r="AE467" s="73"/>
      <c r="AF467" s="73"/>
      <c r="AG467" s="73"/>
      <c r="AH467" s="73"/>
      <c r="AI467" s="74"/>
    </row>
    <row r="468" spans="26:35" ht="14.25" customHeight="1" x14ac:dyDescent="0.2">
      <c r="Z468" s="72"/>
      <c r="AA468" s="73"/>
      <c r="AB468" s="73"/>
      <c r="AC468" s="73"/>
      <c r="AD468" s="73"/>
      <c r="AE468" s="73"/>
      <c r="AF468" s="73"/>
      <c r="AG468" s="73"/>
      <c r="AH468" s="73"/>
      <c r="AI468" s="74"/>
    </row>
    <row r="469" spans="26:35" ht="14.25" customHeight="1" x14ac:dyDescent="0.2">
      <c r="Z469" s="72"/>
      <c r="AA469" s="73"/>
      <c r="AB469" s="73"/>
      <c r="AC469" s="73"/>
      <c r="AD469" s="73"/>
      <c r="AE469" s="73"/>
      <c r="AF469" s="73"/>
      <c r="AG469" s="73"/>
      <c r="AH469" s="73"/>
      <c r="AI469" s="74"/>
    </row>
    <row r="470" spans="26:35" ht="14.25" customHeight="1" x14ac:dyDescent="0.2">
      <c r="Z470" s="72"/>
      <c r="AA470" s="73"/>
      <c r="AB470" s="73"/>
      <c r="AC470" s="73"/>
      <c r="AD470" s="73"/>
      <c r="AE470" s="73"/>
      <c r="AF470" s="73"/>
      <c r="AG470" s="73"/>
      <c r="AH470" s="73"/>
      <c r="AI470" s="74"/>
    </row>
    <row r="471" spans="26:35" ht="14.25" customHeight="1" x14ac:dyDescent="0.2">
      <c r="Z471" s="72"/>
      <c r="AA471" s="73"/>
      <c r="AB471" s="73"/>
      <c r="AC471" s="73"/>
      <c r="AD471" s="73"/>
      <c r="AE471" s="73"/>
      <c r="AF471" s="73"/>
      <c r="AG471" s="73"/>
      <c r="AH471" s="73"/>
      <c r="AI471" s="74"/>
    </row>
    <row r="472" spans="26:35" ht="14.25" customHeight="1" x14ac:dyDescent="0.2">
      <c r="Z472" s="72"/>
      <c r="AA472" s="73"/>
      <c r="AB472" s="73"/>
      <c r="AC472" s="73"/>
      <c r="AD472" s="73"/>
      <c r="AE472" s="73"/>
      <c r="AF472" s="73"/>
      <c r="AG472" s="73"/>
      <c r="AH472" s="73"/>
      <c r="AI472" s="74"/>
    </row>
    <row r="473" spans="26:35" ht="14.25" customHeight="1" x14ac:dyDescent="0.2">
      <c r="Z473" s="72"/>
      <c r="AA473" s="73"/>
      <c r="AB473" s="73"/>
      <c r="AC473" s="73"/>
      <c r="AD473" s="73"/>
      <c r="AE473" s="73"/>
      <c r="AF473" s="73"/>
      <c r="AG473" s="73"/>
      <c r="AH473" s="73"/>
      <c r="AI473" s="74"/>
    </row>
    <row r="474" spans="26:35" ht="14.25" customHeight="1" x14ac:dyDescent="0.2">
      <c r="Z474" s="72"/>
      <c r="AA474" s="73"/>
      <c r="AB474" s="73"/>
      <c r="AC474" s="73"/>
      <c r="AD474" s="73"/>
      <c r="AE474" s="73"/>
      <c r="AF474" s="73"/>
      <c r="AG474" s="73"/>
      <c r="AH474" s="73"/>
      <c r="AI474" s="74"/>
    </row>
    <row r="475" spans="26:35" ht="14.25" customHeight="1" x14ac:dyDescent="0.2">
      <c r="Z475" s="72"/>
      <c r="AA475" s="73"/>
      <c r="AB475" s="73"/>
      <c r="AC475" s="73"/>
      <c r="AD475" s="73"/>
      <c r="AE475" s="73"/>
      <c r="AF475" s="73"/>
      <c r="AG475" s="73"/>
      <c r="AH475" s="73"/>
      <c r="AI475" s="74"/>
    </row>
    <row r="476" spans="26:35" ht="14.25" customHeight="1" x14ac:dyDescent="0.2">
      <c r="Z476" s="72"/>
      <c r="AA476" s="73"/>
      <c r="AB476" s="73"/>
      <c r="AC476" s="73"/>
      <c r="AD476" s="73"/>
      <c r="AE476" s="73"/>
      <c r="AF476" s="73"/>
      <c r="AG476" s="73"/>
      <c r="AH476" s="73"/>
      <c r="AI476" s="74"/>
    </row>
    <row r="477" spans="26:35" ht="14.25" customHeight="1" x14ac:dyDescent="0.2">
      <c r="Z477" s="72"/>
      <c r="AA477" s="73"/>
      <c r="AB477" s="73"/>
      <c r="AC477" s="73"/>
      <c r="AD477" s="73"/>
      <c r="AE477" s="73"/>
      <c r="AF477" s="73"/>
      <c r="AG477" s="73"/>
      <c r="AH477" s="73"/>
      <c r="AI477" s="74"/>
    </row>
    <row r="478" spans="26:35" ht="14.25" customHeight="1" x14ac:dyDescent="0.2">
      <c r="Z478" s="72"/>
      <c r="AA478" s="73"/>
      <c r="AB478" s="73"/>
      <c r="AC478" s="73"/>
      <c r="AD478" s="73"/>
      <c r="AE478" s="73"/>
      <c r="AF478" s="73"/>
      <c r="AG478" s="73"/>
      <c r="AH478" s="73"/>
      <c r="AI478" s="74"/>
    </row>
    <row r="479" spans="26:35" ht="14.25" customHeight="1" x14ac:dyDescent="0.2">
      <c r="Z479" s="72"/>
      <c r="AA479" s="73"/>
      <c r="AB479" s="73"/>
      <c r="AC479" s="73"/>
      <c r="AD479" s="73"/>
      <c r="AE479" s="73"/>
      <c r="AF479" s="73"/>
      <c r="AG479" s="73"/>
      <c r="AH479" s="73"/>
      <c r="AI479" s="74"/>
    </row>
    <row r="480" spans="26:35" ht="14.25" customHeight="1" x14ac:dyDescent="0.2">
      <c r="Z480" s="72"/>
      <c r="AA480" s="73"/>
      <c r="AB480" s="73"/>
      <c r="AC480" s="73"/>
      <c r="AD480" s="73"/>
      <c r="AE480" s="73"/>
      <c r="AF480" s="73"/>
      <c r="AG480" s="73"/>
      <c r="AH480" s="73"/>
      <c r="AI480" s="74"/>
    </row>
    <row r="481" spans="26:35" ht="14.25" customHeight="1" x14ac:dyDescent="0.2">
      <c r="Z481" s="72"/>
      <c r="AA481" s="73"/>
      <c r="AB481" s="73"/>
      <c r="AC481" s="73"/>
      <c r="AD481" s="73"/>
      <c r="AE481" s="73"/>
      <c r="AF481" s="73"/>
      <c r="AG481" s="73"/>
      <c r="AH481" s="73"/>
      <c r="AI481" s="74"/>
    </row>
    <row r="482" spans="26:35" ht="14.25" customHeight="1" x14ac:dyDescent="0.2">
      <c r="Z482" s="72"/>
      <c r="AA482" s="73"/>
      <c r="AB482" s="73"/>
      <c r="AC482" s="73"/>
      <c r="AD482" s="73"/>
      <c r="AE482" s="73"/>
      <c r="AF482" s="73"/>
      <c r="AG482" s="73"/>
      <c r="AH482" s="73"/>
      <c r="AI482" s="74"/>
    </row>
    <row r="483" spans="26:35" ht="14.25" customHeight="1" x14ac:dyDescent="0.2">
      <c r="Z483" s="72"/>
      <c r="AA483" s="73"/>
      <c r="AB483" s="73"/>
      <c r="AC483" s="73"/>
      <c r="AD483" s="73"/>
      <c r="AE483" s="73"/>
      <c r="AF483" s="73"/>
      <c r="AG483" s="73"/>
      <c r="AH483" s="73"/>
      <c r="AI483" s="74"/>
    </row>
    <row r="484" spans="26:35" ht="14.25" customHeight="1" x14ac:dyDescent="0.2">
      <c r="Z484" s="72"/>
      <c r="AA484" s="73"/>
      <c r="AB484" s="73"/>
      <c r="AC484" s="73"/>
      <c r="AD484" s="73"/>
      <c r="AE484" s="73"/>
      <c r="AF484" s="73"/>
      <c r="AG484" s="73"/>
      <c r="AH484" s="73"/>
      <c r="AI484" s="74"/>
    </row>
    <row r="485" spans="26:35" ht="14.25" customHeight="1" x14ac:dyDescent="0.2">
      <c r="Z485" s="72"/>
      <c r="AA485" s="73"/>
      <c r="AB485" s="73"/>
      <c r="AC485" s="73"/>
      <c r="AD485" s="73"/>
      <c r="AE485" s="73"/>
      <c r="AF485" s="73"/>
      <c r="AG485" s="73"/>
      <c r="AH485" s="73"/>
      <c r="AI485" s="74"/>
    </row>
    <row r="486" spans="26:35" ht="14.25" customHeight="1" x14ac:dyDescent="0.2">
      <c r="Z486" s="72"/>
      <c r="AA486" s="73"/>
      <c r="AB486" s="73"/>
      <c r="AC486" s="73"/>
      <c r="AD486" s="73"/>
      <c r="AE486" s="73"/>
      <c r="AF486" s="73"/>
      <c r="AG486" s="73"/>
      <c r="AH486" s="73"/>
      <c r="AI486" s="74"/>
    </row>
    <row r="487" spans="26:35" ht="14.25" customHeight="1" x14ac:dyDescent="0.2">
      <c r="Z487" s="72"/>
      <c r="AA487" s="73"/>
      <c r="AB487" s="73"/>
      <c r="AC487" s="73"/>
      <c r="AD487" s="73"/>
      <c r="AE487" s="73"/>
      <c r="AF487" s="73"/>
      <c r="AG487" s="73"/>
      <c r="AH487" s="73"/>
      <c r="AI487" s="74"/>
    </row>
    <row r="488" spans="26:35" ht="14.25" customHeight="1" x14ac:dyDescent="0.2">
      <c r="Z488" s="72"/>
      <c r="AA488" s="73"/>
      <c r="AB488" s="73"/>
      <c r="AC488" s="73"/>
      <c r="AD488" s="73"/>
      <c r="AE488" s="73"/>
      <c r="AF488" s="73"/>
      <c r="AG488" s="73"/>
      <c r="AH488" s="73"/>
      <c r="AI488" s="74"/>
    </row>
    <row r="489" spans="26:35" ht="14.25" customHeight="1" x14ac:dyDescent="0.2">
      <c r="Z489" s="72"/>
      <c r="AA489" s="73"/>
      <c r="AB489" s="73"/>
      <c r="AC489" s="73"/>
      <c r="AD489" s="73"/>
      <c r="AE489" s="73"/>
      <c r="AF489" s="73"/>
      <c r="AG489" s="73"/>
      <c r="AH489" s="73"/>
      <c r="AI489" s="74"/>
    </row>
    <row r="490" spans="26:35" ht="14.25" customHeight="1" x14ac:dyDescent="0.2">
      <c r="Z490" s="72"/>
      <c r="AA490" s="73"/>
      <c r="AB490" s="73"/>
      <c r="AC490" s="73"/>
      <c r="AD490" s="73"/>
      <c r="AE490" s="73"/>
      <c r="AF490" s="73"/>
      <c r="AG490" s="73"/>
      <c r="AH490" s="73"/>
      <c r="AI490" s="74"/>
    </row>
    <row r="491" spans="26:35" ht="14.25" customHeight="1" x14ac:dyDescent="0.2">
      <c r="Z491" s="72"/>
      <c r="AA491" s="73"/>
      <c r="AB491" s="73"/>
      <c r="AC491" s="73"/>
      <c r="AD491" s="73"/>
      <c r="AE491" s="73"/>
      <c r="AF491" s="73"/>
      <c r="AG491" s="73"/>
      <c r="AH491" s="73"/>
      <c r="AI491" s="74"/>
    </row>
    <row r="492" spans="26:35" ht="14.25" customHeight="1" x14ac:dyDescent="0.2">
      <c r="Z492" s="72"/>
      <c r="AA492" s="73"/>
      <c r="AB492" s="73"/>
      <c r="AC492" s="73"/>
      <c r="AD492" s="73"/>
      <c r="AE492" s="73"/>
      <c r="AF492" s="73"/>
      <c r="AG492" s="73"/>
      <c r="AH492" s="73"/>
      <c r="AI492" s="74"/>
    </row>
    <row r="493" spans="26:35" ht="14.25" customHeight="1" x14ac:dyDescent="0.2">
      <c r="Z493" s="72"/>
      <c r="AA493" s="73"/>
      <c r="AB493" s="73"/>
      <c r="AC493" s="73"/>
      <c r="AD493" s="73"/>
      <c r="AE493" s="73"/>
      <c r="AF493" s="73"/>
      <c r="AG493" s="73"/>
      <c r="AH493" s="73"/>
      <c r="AI493" s="74"/>
    </row>
    <row r="494" spans="26:35" ht="14.25" customHeight="1" x14ac:dyDescent="0.2">
      <c r="Z494" s="72"/>
      <c r="AA494" s="73"/>
      <c r="AB494" s="73"/>
      <c r="AC494" s="73"/>
      <c r="AD494" s="73"/>
      <c r="AE494" s="73"/>
      <c r="AF494" s="73"/>
      <c r="AG494" s="73"/>
      <c r="AH494" s="73"/>
      <c r="AI494" s="74"/>
    </row>
    <row r="495" spans="26:35" ht="14.25" customHeight="1" x14ac:dyDescent="0.2">
      <c r="Z495" s="72"/>
      <c r="AA495" s="73"/>
      <c r="AB495" s="73"/>
      <c r="AC495" s="73"/>
      <c r="AD495" s="73"/>
      <c r="AE495" s="73"/>
      <c r="AF495" s="73"/>
      <c r="AG495" s="73"/>
      <c r="AH495" s="73"/>
      <c r="AI495" s="74"/>
    </row>
    <row r="496" spans="26:35" ht="14.25" customHeight="1" x14ac:dyDescent="0.2">
      <c r="Z496" s="72"/>
      <c r="AA496" s="73"/>
      <c r="AB496" s="73"/>
      <c r="AC496" s="73"/>
      <c r="AD496" s="73"/>
      <c r="AE496" s="73"/>
      <c r="AF496" s="73"/>
      <c r="AG496" s="73"/>
      <c r="AH496" s="73"/>
      <c r="AI496" s="74"/>
    </row>
    <row r="497" spans="26:35" ht="14.25" customHeight="1" x14ac:dyDescent="0.2">
      <c r="Z497" s="72"/>
      <c r="AA497" s="73"/>
      <c r="AB497" s="73"/>
      <c r="AC497" s="73"/>
      <c r="AD497" s="73"/>
      <c r="AE497" s="73"/>
      <c r="AF497" s="73"/>
      <c r="AG497" s="73"/>
      <c r="AH497" s="73"/>
      <c r="AI497" s="74"/>
    </row>
    <row r="498" spans="26:35" ht="14.25" customHeight="1" x14ac:dyDescent="0.2">
      <c r="Z498" s="72"/>
      <c r="AA498" s="73"/>
      <c r="AB498" s="73"/>
      <c r="AC498" s="73"/>
      <c r="AD498" s="73"/>
      <c r="AE498" s="73"/>
      <c r="AF498" s="73"/>
      <c r="AG498" s="73"/>
      <c r="AH498" s="73"/>
      <c r="AI498" s="74"/>
    </row>
    <row r="499" spans="26:35" ht="14.25" customHeight="1" x14ac:dyDescent="0.2">
      <c r="Z499" s="72"/>
      <c r="AA499" s="73"/>
      <c r="AB499" s="73"/>
      <c r="AC499" s="73"/>
      <c r="AD499" s="73"/>
      <c r="AE499" s="73"/>
      <c r="AF499" s="73"/>
      <c r="AG499" s="73"/>
      <c r="AH499" s="73"/>
      <c r="AI499" s="74"/>
    </row>
    <row r="500" spans="26:35" ht="14.25" customHeight="1" x14ac:dyDescent="0.2">
      <c r="Z500" s="72"/>
      <c r="AA500" s="73"/>
      <c r="AB500" s="73"/>
      <c r="AC500" s="73"/>
      <c r="AD500" s="73"/>
      <c r="AE500" s="73"/>
      <c r="AF500" s="73"/>
      <c r="AG500" s="73"/>
      <c r="AH500" s="73"/>
      <c r="AI500" s="74"/>
    </row>
    <row r="501" spans="26:35" ht="14.25" customHeight="1" x14ac:dyDescent="0.2">
      <c r="Z501" s="72"/>
      <c r="AA501" s="73"/>
      <c r="AB501" s="73"/>
      <c r="AC501" s="73"/>
      <c r="AD501" s="73"/>
      <c r="AE501" s="73"/>
      <c r="AF501" s="73"/>
      <c r="AG501" s="73"/>
      <c r="AH501" s="73"/>
      <c r="AI501" s="74"/>
    </row>
    <row r="502" spans="26:35" ht="14.25" customHeight="1" x14ac:dyDescent="0.2">
      <c r="Z502" s="72"/>
      <c r="AA502" s="73"/>
      <c r="AB502" s="73"/>
      <c r="AC502" s="73"/>
      <c r="AD502" s="73"/>
      <c r="AE502" s="73"/>
      <c r="AF502" s="73"/>
      <c r="AG502" s="73"/>
      <c r="AH502" s="73"/>
      <c r="AI502" s="74"/>
    </row>
    <row r="503" spans="26:35" ht="14.25" customHeight="1" x14ac:dyDescent="0.2">
      <c r="Z503" s="72"/>
      <c r="AA503" s="73"/>
      <c r="AB503" s="73"/>
      <c r="AC503" s="73"/>
      <c r="AD503" s="73"/>
      <c r="AE503" s="73"/>
      <c r="AF503" s="73"/>
      <c r="AG503" s="73"/>
      <c r="AH503" s="73"/>
      <c r="AI503" s="74"/>
    </row>
    <row r="504" spans="26:35" ht="14.25" customHeight="1" x14ac:dyDescent="0.2">
      <c r="Z504" s="72"/>
      <c r="AA504" s="73"/>
      <c r="AB504" s="73"/>
      <c r="AC504" s="73"/>
      <c r="AD504" s="73"/>
      <c r="AE504" s="73"/>
      <c r="AF504" s="73"/>
      <c r="AG504" s="73"/>
      <c r="AH504" s="73"/>
      <c r="AI504" s="74"/>
    </row>
    <row r="505" spans="26:35" ht="14.25" customHeight="1" x14ac:dyDescent="0.2">
      <c r="Z505" s="72"/>
      <c r="AA505" s="73"/>
      <c r="AB505" s="73"/>
      <c r="AC505" s="73"/>
      <c r="AD505" s="73"/>
      <c r="AE505" s="73"/>
      <c r="AF505" s="73"/>
      <c r="AG505" s="73"/>
      <c r="AH505" s="73"/>
      <c r="AI505" s="74"/>
    </row>
    <row r="506" spans="26:35" ht="14.25" customHeight="1" x14ac:dyDescent="0.2">
      <c r="Z506" s="72"/>
      <c r="AA506" s="73"/>
      <c r="AB506" s="73"/>
      <c r="AC506" s="73"/>
      <c r="AD506" s="73"/>
      <c r="AE506" s="73"/>
      <c r="AF506" s="73"/>
      <c r="AG506" s="73"/>
      <c r="AH506" s="73"/>
      <c r="AI506" s="74"/>
    </row>
    <row r="507" spans="26:35" ht="14.25" customHeight="1" x14ac:dyDescent="0.2">
      <c r="Z507" s="72"/>
      <c r="AA507" s="73"/>
      <c r="AB507" s="73"/>
      <c r="AC507" s="73"/>
      <c r="AD507" s="73"/>
      <c r="AE507" s="73"/>
      <c r="AF507" s="73"/>
      <c r="AG507" s="73"/>
      <c r="AH507" s="73"/>
      <c r="AI507" s="74"/>
    </row>
    <row r="508" spans="26:35" ht="14.25" customHeight="1" x14ac:dyDescent="0.2">
      <c r="Z508" s="72"/>
      <c r="AA508" s="73"/>
      <c r="AB508" s="73"/>
      <c r="AC508" s="73"/>
      <c r="AD508" s="73"/>
      <c r="AE508" s="73"/>
      <c r="AF508" s="73"/>
      <c r="AG508" s="73"/>
      <c r="AH508" s="73"/>
      <c r="AI508" s="74"/>
    </row>
    <row r="509" spans="26:35" ht="14.25" customHeight="1" x14ac:dyDescent="0.2">
      <c r="Z509" s="72"/>
      <c r="AA509" s="73"/>
      <c r="AB509" s="73"/>
      <c r="AC509" s="73"/>
      <c r="AD509" s="73"/>
      <c r="AE509" s="73"/>
      <c r="AF509" s="73"/>
      <c r="AG509" s="73"/>
      <c r="AH509" s="73"/>
      <c r="AI509" s="74"/>
    </row>
    <row r="510" spans="26:35" ht="14.25" customHeight="1" x14ac:dyDescent="0.2">
      <c r="Z510" s="72"/>
      <c r="AA510" s="73"/>
      <c r="AB510" s="73"/>
      <c r="AC510" s="73"/>
      <c r="AD510" s="73"/>
      <c r="AE510" s="73"/>
      <c r="AF510" s="73"/>
      <c r="AG510" s="73"/>
      <c r="AH510" s="73"/>
      <c r="AI510" s="74"/>
    </row>
    <row r="511" spans="26:35" ht="14.25" customHeight="1" x14ac:dyDescent="0.2">
      <c r="Z511" s="72"/>
      <c r="AA511" s="73"/>
      <c r="AB511" s="73"/>
      <c r="AC511" s="73"/>
      <c r="AD511" s="73"/>
      <c r="AE511" s="73"/>
      <c r="AF511" s="73"/>
      <c r="AG511" s="73"/>
      <c r="AH511" s="73"/>
      <c r="AI511" s="74"/>
    </row>
    <row r="512" spans="26:35" ht="14.25" customHeight="1" x14ac:dyDescent="0.2">
      <c r="Z512" s="72"/>
      <c r="AA512" s="73"/>
      <c r="AB512" s="73"/>
      <c r="AC512" s="73"/>
      <c r="AD512" s="73"/>
      <c r="AE512" s="73"/>
      <c r="AF512" s="73"/>
      <c r="AG512" s="73"/>
      <c r="AH512" s="73"/>
      <c r="AI512" s="74"/>
    </row>
    <row r="513" spans="26:35" ht="14.25" customHeight="1" x14ac:dyDescent="0.2">
      <c r="Z513" s="72"/>
      <c r="AA513" s="73"/>
      <c r="AB513" s="73"/>
      <c r="AC513" s="73"/>
      <c r="AD513" s="73"/>
      <c r="AE513" s="73"/>
      <c r="AF513" s="73"/>
      <c r="AG513" s="73"/>
      <c r="AH513" s="73"/>
      <c r="AI513" s="74"/>
    </row>
    <row r="514" spans="26:35" ht="14.25" customHeight="1" x14ac:dyDescent="0.2">
      <c r="Z514" s="72"/>
      <c r="AA514" s="73"/>
      <c r="AB514" s="73"/>
      <c r="AC514" s="73"/>
      <c r="AD514" s="73"/>
      <c r="AE514" s="73"/>
      <c r="AF514" s="73"/>
      <c r="AG514" s="73"/>
      <c r="AH514" s="73"/>
      <c r="AI514" s="74"/>
    </row>
    <row r="515" spans="26:35" ht="14.25" customHeight="1" x14ac:dyDescent="0.2">
      <c r="Z515" s="72"/>
      <c r="AA515" s="73"/>
      <c r="AB515" s="73"/>
      <c r="AC515" s="73"/>
      <c r="AD515" s="73"/>
      <c r="AE515" s="73"/>
      <c r="AF515" s="73"/>
      <c r="AG515" s="73"/>
      <c r="AH515" s="73"/>
      <c r="AI515" s="74"/>
    </row>
    <row r="516" spans="26:35" ht="14.25" customHeight="1" x14ac:dyDescent="0.2">
      <c r="Z516" s="72"/>
      <c r="AA516" s="73"/>
      <c r="AB516" s="73"/>
      <c r="AC516" s="73"/>
      <c r="AD516" s="73"/>
      <c r="AE516" s="73"/>
      <c r="AF516" s="73"/>
      <c r="AG516" s="73"/>
      <c r="AH516" s="73"/>
      <c r="AI516" s="74"/>
    </row>
    <row r="517" spans="26:35" ht="14.25" customHeight="1" x14ac:dyDescent="0.2">
      <c r="Z517" s="72"/>
      <c r="AA517" s="73"/>
      <c r="AB517" s="73"/>
      <c r="AC517" s="73"/>
      <c r="AD517" s="73"/>
      <c r="AE517" s="73"/>
      <c r="AF517" s="73"/>
      <c r="AG517" s="73"/>
      <c r="AH517" s="73"/>
      <c r="AI517" s="74"/>
    </row>
    <row r="518" spans="26:35" ht="14.25" customHeight="1" x14ac:dyDescent="0.2">
      <c r="Z518" s="72"/>
      <c r="AA518" s="73"/>
      <c r="AB518" s="73"/>
      <c r="AC518" s="73"/>
      <c r="AD518" s="73"/>
      <c r="AE518" s="73"/>
      <c r="AF518" s="73"/>
      <c r="AG518" s="73"/>
      <c r="AH518" s="73"/>
      <c r="AI518" s="74"/>
    </row>
    <row r="519" spans="26:35" ht="14.25" customHeight="1" x14ac:dyDescent="0.2">
      <c r="Z519" s="72"/>
      <c r="AA519" s="73"/>
      <c r="AB519" s="73"/>
      <c r="AC519" s="73"/>
      <c r="AD519" s="73"/>
      <c r="AE519" s="73"/>
      <c r="AF519" s="73"/>
      <c r="AG519" s="73"/>
      <c r="AH519" s="73"/>
      <c r="AI519" s="74"/>
    </row>
    <row r="520" spans="26:35" ht="14.25" customHeight="1" x14ac:dyDescent="0.2">
      <c r="Z520" s="72"/>
      <c r="AA520" s="73"/>
      <c r="AB520" s="73"/>
      <c r="AC520" s="73"/>
      <c r="AD520" s="73"/>
      <c r="AE520" s="73"/>
      <c r="AF520" s="73"/>
      <c r="AG520" s="73"/>
      <c r="AH520" s="73"/>
      <c r="AI520" s="74"/>
    </row>
    <row r="521" spans="26:35" ht="14.25" customHeight="1" x14ac:dyDescent="0.2">
      <c r="Z521" s="72"/>
      <c r="AA521" s="73"/>
      <c r="AB521" s="73"/>
      <c r="AC521" s="73"/>
      <c r="AD521" s="73"/>
      <c r="AE521" s="73"/>
      <c r="AF521" s="73"/>
      <c r="AG521" s="73"/>
      <c r="AH521" s="73"/>
      <c r="AI521" s="74"/>
    </row>
    <row r="522" spans="26:35" ht="14.25" customHeight="1" x14ac:dyDescent="0.2">
      <c r="Z522" s="72"/>
      <c r="AA522" s="73"/>
      <c r="AB522" s="73"/>
      <c r="AC522" s="73"/>
      <c r="AD522" s="73"/>
      <c r="AE522" s="73"/>
      <c r="AF522" s="73"/>
      <c r="AG522" s="73"/>
      <c r="AH522" s="73"/>
      <c r="AI522" s="74"/>
    </row>
    <row r="523" spans="26:35" ht="14.25" customHeight="1" x14ac:dyDescent="0.2">
      <c r="Z523" s="72"/>
      <c r="AA523" s="73"/>
      <c r="AB523" s="73"/>
      <c r="AC523" s="73"/>
      <c r="AD523" s="73"/>
      <c r="AE523" s="73"/>
      <c r="AF523" s="73"/>
      <c r="AG523" s="73"/>
      <c r="AH523" s="73"/>
      <c r="AI523" s="74"/>
    </row>
    <row r="524" spans="26:35" ht="14.25" customHeight="1" x14ac:dyDescent="0.2">
      <c r="Z524" s="72"/>
      <c r="AA524" s="73"/>
      <c r="AB524" s="73"/>
      <c r="AC524" s="73"/>
      <c r="AD524" s="73"/>
      <c r="AE524" s="73"/>
      <c r="AF524" s="73"/>
      <c r="AG524" s="73"/>
      <c r="AH524" s="73"/>
      <c r="AI524" s="74"/>
    </row>
    <row r="525" spans="26:35" ht="14.25" customHeight="1" x14ac:dyDescent="0.2">
      <c r="Z525" s="72"/>
      <c r="AA525" s="73"/>
      <c r="AB525" s="73"/>
      <c r="AC525" s="73"/>
      <c r="AD525" s="73"/>
      <c r="AE525" s="73"/>
      <c r="AF525" s="73"/>
      <c r="AG525" s="73"/>
      <c r="AH525" s="73"/>
      <c r="AI525" s="74"/>
    </row>
    <row r="526" spans="26:35" ht="14.25" customHeight="1" x14ac:dyDescent="0.2">
      <c r="Z526" s="72"/>
      <c r="AA526" s="73"/>
      <c r="AB526" s="73"/>
      <c r="AC526" s="73"/>
      <c r="AD526" s="73"/>
      <c r="AE526" s="73"/>
      <c r="AF526" s="73"/>
      <c r="AG526" s="73"/>
      <c r="AH526" s="73"/>
      <c r="AI526" s="74"/>
    </row>
    <row r="527" spans="26:35" ht="14.25" customHeight="1" x14ac:dyDescent="0.2">
      <c r="Z527" s="72"/>
      <c r="AA527" s="73"/>
      <c r="AB527" s="73"/>
      <c r="AC527" s="73"/>
      <c r="AD527" s="73"/>
      <c r="AE527" s="73"/>
      <c r="AF527" s="73"/>
      <c r="AG527" s="73"/>
      <c r="AH527" s="73"/>
      <c r="AI527" s="74"/>
    </row>
    <row r="528" spans="26:35" ht="14.25" customHeight="1" x14ac:dyDescent="0.2">
      <c r="Z528" s="72"/>
      <c r="AA528" s="73"/>
      <c r="AB528" s="73"/>
      <c r="AC528" s="73"/>
      <c r="AD528" s="73"/>
      <c r="AE528" s="73"/>
      <c r="AF528" s="73"/>
      <c r="AG528" s="73"/>
      <c r="AH528" s="73"/>
      <c r="AI528" s="74"/>
    </row>
    <row r="529" spans="26:35" ht="14.25" customHeight="1" x14ac:dyDescent="0.2">
      <c r="Z529" s="72"/>
      <c r="AA529" s="73"/>
      <c r="AB529" s="73"/>
      <c r="AC529" s="73"/>
      <c r="AD529" s="73"/>
      <c r="AE529" s="73"/>
      <c r="AF529" s="73"/>
      <c r="AG529" s="73"/>
      <c r="AH529" s="73"/>
      <c r="AI529" s="74"/>
    </row>
    <row r="530" spans="26:35" ht="14.25" customHeight="1" x14ac:dyDescent="0.2">
      <c r="Z530" s="72"/>
      <c r="AA530" s="73"/>
      <c r="AB530" s="73"/>
      <c r="AC530" s="73"/>
      <c r="AD530" s="73"/>
      <c r="AE530" s="73"/>
      <c r="AF530" s="73"/>
      <c r="AG530" s="73"/>
      <c r="AH530" s="73"/>
      <c r="AI530" s="74"/>
    </row>
    <row r="531" spans="26:35" ht="14.25" customHeight="1" x14ac:dyDescent="0.2">
      <c r="Z531" s="72"/>
      <c r="AA531" s="73"/>
      <c r="AB531" s="73"/>
      <c r="AC531" s="73"/>
      <c r="AD531" s="73"/>
      <c r="AE531" s="73"/>
      <c r="AF531" s="73"/>
      <c r="AG531" s="73"/>
      <c r="AH531" s="73"/>
      <c r="AI531" s="74"/>
    </row>
    <row r="532" spans="26:35" ht="14.25" customHeight="1" x14ac:dyDescent="0.2">
      <c r="Z532" s="72"/>
      <c r="AA532" s="73"/>
      <c r="AB532" s="73"/>
      <c r="AC532" s="73"/>
      <c r="AD532" s="73"/>
      <c r="AE532" s="73"/>
      <c r="AF532" s="73"/>
      <c r="AG532" s="73"/>
      <c r="AH532" s="73"/>
      <c r="AI532" s="74"/>
    </row>
    <row r="533" spans="26:35" ht="14.25" customHeight="1" x14ac:dyDescent="0.2">
      <c r="Z533" s="72"/>
      <c r="AA533" s="73"/>
      <c r="AB533" s="73"/>
      <c r="AC533" s="73"/>
      <c r="AD533" s="73"/>
      <c r="AE533" s="73"/>
      <c r="AF533" s="73"/>
      <c r="AG533" s="73"/>
      <c r="AH533" s="73"/>
      <c r="AI533" s="74"/>
    </row>
    <row r="534" spans="26:35" ht="14.25" customHeight="1" x14ac:dyDescent="0.2">
      <c r="Z534" s="72"/>
      <c r="AA534" s="73"/>
      <c r="AB534" s="73"/>
      <c r="AC534" s="73"/>
      <c r="AD534" s="73"/>
      <c r="AE534" s="73"/>
      <c r="AF534" s="73"/>
      <c r="AG534" s="73"/>
      <c r="AH534" s="73"/>
      <c r="AI534" s="74"/>
    </row>
    <row r="535" spans="26:35" ht="14.25" customHeight="1" x14ac:dyDescent="0.2">
      <c r="Z535" s="72"/>
      <c r="AA535" s="73"/>
      <c r="AB535" s="73"/>
      <c r="AC535" s="73"/>
      <c r="AD535" s="73"/>
      <c r="AE535" s="73"/>
      <c r="AF535" s="73"/>
      <c r="AG535" s="73"/>
      <c r="AH535" s="73"/>
      <c r="AI535" s="74"/>
    </row>
    <row r="536" spans="26:35" ht="14.25" customHeight="1" x14ac:dyDescent="0.2">
      <c r="Z536" s="72"/>
      <c r="AA536" s="73"/>
      <c r="AB536" s="73"/>
      <c r="AC536" s="73"/>
      <c r="AD536" s="73"/>
      <c r="AE536" s="73"/>
      <c r="AF536" s="73"/>
      <c r="AG536" s="73"/>
      <c r="AH536" s="73"/>
      <c r="AI536" s="74"/>
    </row>
    <row r="537" spans="26:35" ht="14.25" customHeight="1" x14ac:dyDescent="0.2">
      <c r="Z537" s="72"/>
      <c r="AA537" s="73"/>
      <c r="AB537" s="73"/>
      <c r="AC537" s="73"/>
      <c r="AD537" s="73"/>
      <c r="AE537" s="73"/>
      <c r="AF537" s="73"/>
      <c r="AG537" s="73"/>
      <c r="AH537" s="73"/>
      <c r="AI537" s="74"/>
    </row>
    <row r="538" spans="26:35" ht="14.25" customHeight="1" x14ac:dyDescent="0.2">
      <c r="Z538" s="72"/>
      <c r="AA538" s="73"/>
      <c r="AB538" s="73"/>
      <c r="AC538" s="73"/>
      <c r="AD538" s="73"/>
      <c r="AE538" s="73"/>
      <c r="AF538" s="73"/>
      <c r="AG538" s="73"/>
      <c r="AH538" s="73"/>
      <c r="AI538" s="74"/>
    </row>
    <row r="539" spans="26:35" ht="14.25" customHeight="1" x14ac:dyDescent="0.2">
      <c r="Z539" s="72"/>
      <c r="AA539" s="73"/>
      <c r="AB539" s="73"/>
      <c r="AC539" s="73"/>
      <c r="AD539" s="73"/>
      <c r="AE539" s="73"/>
      <c r="AF539" s="73"/>
      <c r="AG539" s="73"/>
      <c r="AH539" s="73"/>
      <c r="AI539" s="74"/>
    </row>
    <row r="540" spans="26:35" ht="14.25" customHeight="1" x14ac:dyDescent="0.2">
      <c r="Z540" s="72"/>
      <c r="AA540" s="73"/>
      <c r="AB540" s="73"/>
      <c r="AC540" s="73"/>
      <c r="AD540" s="73"/>
      <c r="AE540" s="73"/>
      <c r="AF540" s="73"/>
      <c r="AG540" s="73"/>
      <c r="AH540" s="73"/>
      <c r="AI540" s="74"/>
    </row>
    <row r="541" spans="26:35" ht="14.25" customHeight="1" x14ac:dyDescent="0.2">
      <c r="Z541" s="72"/>
      <c r="AA541" s="73"/>
      <c r="AB541" s="73"/>
      <c r="AC541" s="73"/>
      <c r="AD541" s="73"/>
      <c r="AE541" s="73"/>
      <c r="AF541" s="73"/>
      <c r="AG541" s="73"/>
      <c r="AH541" s="73"/>
      <c r="AI541" s="74"/>
    </row>
    <row r="542" spans="26:35" ht="14.25" customHeight="1" x14ac:dyDescent="0.2">
      <c r="Z542" s="72"/>
      <c r="AA542" s="73"/>
      <c r="AB542" s="73"/>
      <c r="AC542" s="73"/>
      <c r="AD542" s="73"/>
      <c r="AE542" s="73"/>
      <c r="AF542" s="73"/>
      <c r="AG542" s="73"/>
      <c r="AH542" s="73"/>
      <c r="AI542" s="74"/>
    </row>
    <row r="543" spans="26:35" ht="14.25" customHeight="1" x14ac:dyDescent="0.2">
      <c r="Z543" s="72"/>
      <c r="AA543" s="73"/>
      <c r="AB543" s="73"/>
      <c r="AC543" s="73"/>
      <c r="AD543" s="73"/>
      <c r="AE543" s="73"/>
      <c r="AF543" s="73"/>
      <c r="AG543" s="73"/>
      <c r="AH543" s="73"/>
      <c r="AI543" s="74"/>
    </row>
    <row r="544" spans="26:35" ht="14.25" customHeight="1" x14ac:dyDescent="0.2">
      <c r="Z544" s="72"/>
      <c r="AA544" s="73"/>
      <c r="AB544" s="73"/>
      <c r="AC544" s="73"/>
      <c r="AD544" s="73"/>
      <c r="AE544" s="73"/>
      <c r="AF544" s="73"/>
      <c r="AG544" s="73"/>
      <c r="AH544" s="73"/>
      <c r="AI544" s="74"/>
    </row>
    <row r="545" spans="26:35" ht="14.25" customHeight="1" x14ac:dyDescent="0.2">
      <c r="Z545" s="72"/>
      <c r="AA545" s="73"/>
      <c r="AB545" s="73"/>
      <c r="AC545" s="73"/>
      <c r="AD545" s="73"/>
      <c r="AE545" s="73"/>
      <c r="AF545" s="73"/>
      <c r="AG545" s="73"/>
      <c r="AH545" s="73"/>
      <c r="AI545" s="74"/>
    </row>
    <row r="546" spans="26:35" ht="14.25" customHeight="1" x14ac:dyDescent="0.2">
      <c r="Z546" s="72"/>
      <c r="AA546" s="73"/>
      <c r="AB546" s="73"/>
      <c r="AC546" s="73"/>
      <c r="AD546" s="73"/>
      <c r="AE546" s="73"/>
      <c r="AF546" s="73"/>
      <c r="AG546" s="73"/>
      <c r="AH546" s="73"/>
      <c r="AI546" s="74"/>
    </row>
    <row r="547" spans="26:35" ht="14.25" customHeight="1" x14ac:dyDescent="0.2">
      <c r="Z547" s="72"/>
      <c r="AA547" s="73"/>
      <c r="AB547" s="73"/>
      <c r="AC547" s="73"/>
      <c r="AD547" s="73"/>
      <c r="AE547" s="73"/>
      <c r="AF547" s="73"/>
      <c r="AG547" s="73"/>
      <c r="AH547" s="73"/>
      <c r="AI547" s="74"/>
    </row>
    <row r="548" spans="26:35" ht="14.25" customHeight="1" x14ac:dyDescent="0.2">
      <c r="Z548" s="72"/>
      <c r="AA548" s="73"/>
      <c r="AB548" s="73"/>
      <c r="AC548" s="73"/>
      <c r="AD548" s="73"/>
      <c r="AE548" s="73"/>
      <c r="AF548" s="73"/>
      <c r="AG548" s="73"/>
      <c r="AH548" s="73"/>
      <c r="AI548" s="74"/>
    </row>
    <row r="549" spans="26:35" ht="14.25" customHeight="1" x14ac:dyDescent="0.2">
      <c r="Z549" s="72"/>
      <c r="AA549" s="73"/>
      <c r="AB549" s="73"/>
      <c r="AC549" s="73"/>
      <c r="AD549" s="73"/>
      <c r="AE549" s="73"/>
      <c r="AF549" s="73"/>
      <c r="AG549" s="73"/>
      <c r="AH549" s="73"/>
      <c r="AI549" s="74"/>
    </row>
    <row r="550" spans="26:35" ht="14.25" customHeight="1" x14ac:dyDescent="0.2">
      <c r="Z550" s="72"/>
      <c r="AA550" s="73"/>
      <c r="AB550" s="73"/>
      <c r="AC550" s="73"/>
      <c r="AD550" s="73"/>
      <c r="AE550" s="73"/>
      <c r="AF550" s="73"/>
      <c r="AG550" s="73"/>
      <c r="AH550" s="73"/>
      <c r="AI550" s="74"/>
    </row>
    <row r="551" spans="26:35" ht="14.25" customHeight="1" x14ac:dyDescent="0.2">
      <c r="Z551" s="72"/>
      <c r="AA551" s="73"/>
      <c r="AB551" s="73"/>
      <c r="AC551" s="73"/>
      <c r="AD551" s="73"/>
      <c r="AE551" s="73"/>
      <c r="AF551" s="73"/>
      <c r="AG551" s="73"/>
      <c r="AH551" s="73"/>
      <c r="AI551" s="74"/>
    </row>
    <row r="552" spans="26:35" ht="14.25" customHeight="1" x14ac:dyDescent="0.2">
      <c r="Z552" s="72"/>
      <c r="AA552" s="73"/>
      <c r="AB552" s="73"/>
      <c r="AC552" s="73"/>
      <c r="AD552" s="73"/>
      <c r="AE552" s="73"/>
      <c r="AF552" s="73"/>
      <c r="AG552" s="73"/>
      <c r="AH552" s="73"/>
      <c r="AI552" s="74"/>
    </row>
    <row r="553" spans="26:35" ht="14.25" customHeight="1" x14ac:dyDescent="0.2">
      <c r="Z553" s="72"/>
      <c r="AA553" s="73"/>
      <c r="AB553" s="73"/>
      <c r="AC553" s="73"/>
      <c r="AD553" s="73"/>
      <c r="AE553" s="73"/>
      <c r="AF553" s="73"/>
      <c r="AG553" s="73"/>
      <c r="AH553" s="73"/>
      <c r="AI553" s="74"/>
    </row>
    <row r="554" spans="26:35" ht="14.25" customHeight="1" x14ac:dyDescent="0.2">
      <c r="Z554" s="72"/>
      <c r="AA554" s="73"/>
      <c r="AB554" s="73"/>
      <c r="AC554" s="73"/>
      <c r="AD554" s="73"/>
      <c r="AE554" s="73"/>
      <c r="AF554" s="73"/>
      <c r="AG554" s="73"/>
      <c r="AH554" s="73"/>
      <c r="AI554" s="74"/>
    </row>
    <row r="555" spans="26:35" ht="14.25" customHeight="1" x14ac:dyDescent="0.2">
      <c r="Z555" s="72"/>
      <c r="AA555" s="73"/>
      <c r="AB555" s="73"/>
      <c r="AC555" s="73"/>
      <c r="AD555" s="73"/>
      <c r="AE555" s="73"/>
      <c r="AF555" s="73"/>
      <c r="AG555" s="73"/>
      <c r="AH555" s="73"/>
      <c r="AI555" s="74"/>
    </row>
    <row r="556" spans="26:35" ht="14.25" customHeight="1" x14ac:dyDescent="0.2">
      <c r="Z556" s="72"/>
      <c r="AA556" s="73"/>
      <c r="AB556" s="73"/>
      <c r="AC556" s="73"/>
      <c r="AD556" s="73"/>
      <c r="AE556" s="73"/>
      <c r="AF556" s="73"/>
      <c r="AG556" s="73"/>
      <c r="AH556" s="73"/>
      <c r="AI556" s="74"/>
    </row>
    <row r="557" spans="26:35" ht="14.25" customHeight="1" x14ac:dyDescent="0.2">
      <c r="Z557" s="72"/>
      <c r="AA557" s="73"/>
      <c r="AB557" s="73"/>
      <c r="AC557" s="73"/>
      <c r="AD557" s="73"/>
      <c r="AE557" s="73"/>
      <c r="AF557" s="73"/>
      <c r="AG557" s="73"/>
      <c r="AH557" s="73"/>
      <c r="AI557" s="74"/>
    </row>
    <row r="558" spans="26:35" ht="14.25" customHeight="1" x14ac:dyDescent="0.2">
      <c r="Z558" s="72"/>
      <c r="AA558" s="73"/>
      <c r="AB558" s="73"/>
      <c r="AC558" s="73"/>
      <c r="AD558" s="73"/>
      <c r="AE558" s="73"/>
      <c r="AF558" s="73"/>
      <c r="AG558" s="73"/>
      <c r="AH558" s="73"/>
      <c r="AI558" s="74"/>
    </row>
    <row r="559" spans="26:35" ht="14.25" customHeight="1" x14ac:dyDescent="0.2">
      <c r="Z559" s="72"/>
      <c r="AA559" s="73"/>
      <c r="AB559" s="73"/>
      <c r="AC559" s="73"/>
      <c r="AD559" s="73"/>
      <c r="AE559" s="73"/>
      <c r="AF559" s="73"/>
      <c r="AG559" s="73"/>
      <c r="AH559" s="73"/>
      <c r="AI559" s="74"/>
    </row>
    <row r="560" spans="26:35" ht="14.25" customHeight="1" x14ac:dyDescent="0.2">
      <c r="Z560" s="72"/>
      <c r="AA560" s="73"/>
      <c r="AB560" s="73"/>
      <c r="AC560" s="73"/>
      <c r="AD560" s="73"/>
      <c r="AE560" s="73"/>
      <c r="AF560" s="73"/>
      <c r="AG560" s="73"/>
      <c r="AH560" s="73"/>
      <c r="AI560" s="74"/>
    </row>
    <row r="561" spans="26:35" ht="14.25" customHeight="1" x14ac:dyDescent="0.2">
      <c r="Z561" s="72"/>
      <c r="AA561" s="73"/>
      <c r="AB561" s="73"/>
      <c r="AC561" s="73"/>
      <c r="AD561" s="73"/>
      <c r="AE561" s="73"/>
      <c r="AF561" s="73"/>
      <c r="AG561" s="73"/>
      <c r="AH561" s="73"/>
      <c r="AI561" s="74"/>
    </row>
    <row r="562" spans="26:35" ht="14.25" customHeight="1" x14ac:dyDescent="0.2">
      <c r="Z562" s="72"/>
      <c r="AA562" s="73"/>
      <c r="AB562" s="73"/>
      <c r="AC562" s="73"/>
      <c r="AD562" s="73"/>
      <c r="AE562" s="73"/>
      <c r="AF562" s="73"/>
      <c r="AG562" s="73"/>
      <c r="AH562" s="73"/>
      <c r="AI562" s="74"/>
    </row>
    <row r="563" spans="26:35" ht="14.25" customHeight="1" x14ac:dyDescent="0.2">
      <c r="Z563" s="72"/>
      <c r="AA563" s="73"/>
      <c r="AB563" s="73"/>
      <c r="AC563" s="73"/>
      <c r="AD563" s="73"/>
      <c r="AE563" s="73"/>
      <c r="AF563" s="73"/>
      <c r="AG563" s="73"/>
      <c r="AH563" s="73"/>
      <c r="AI563" s="74"/>
    </row>
    <row r="564" spans="26:35" ht="14.25" customHeight="1" x14ac:dyDescent="0.2">
      <c r="Z564" s="72"/>
      <c r="AA564" s="73"/>
      <c r="AB564" s="73"/>
      <c r="AC564" s="73"/>
      <c r="AD564" s="73"/>
      <c r="AE564" s="73"/>
      <c r="AF564" s="73"/>
      <c r="AG564" s="73"/>
      <c r="AH564" s="73"/>
      <c r="AI564" s="74"/>
    </row>
    <row r="565" spans="26:35" ht="14.25" customHeight="1" x14ac:dyDescent="0.2">
      <c r="Z565" s="72"/>
      <c r="AA565" s="73"/>
      <c r="AB565" s="73"/>
      <c r="AC565" s="73"/>
      <c r="AD565" s="73"/>
      <c r="AE565" s="73"/>
      <c r="AF565" s="73"/>
      <c r="AG565" s="73"/>
      <c r="AH565" s="73"/>
      <c r="AI565" s="74"/>
    </row>
    <row r="566" spans="26:35" ht="14.25" customHeight="1" x14ac:dyDescent="0.2">
      <c r="Z566" s="72"/>
      <c r="AA566" s="73"/>
      <c r="AB566" s="73"/>
      <c r="AC566" s="73"/>
      <c r="AD566" s="73"/>
      <c r="AE566" s="73"/>
      <c r="AF566" s="73"/>
      <c r="AG566" s="73"/>
      <c r="AH566" s="73"/>
      <c r="AI566" s="74"/>
    </row>
    <row r="567" spans="26:35" ht="14.25" customHeight="1" x14ac:dyDescent="0.2">
      <c r="Z567" s="72"/>
      <c r="AA567" s="73"/>
      <c r="AB567" s="73"/>
      <c r="AC567" s="73"/>
      <c r="AD567" s="73"/>
      <c r="AE567" s="73"/>
      <c r="AF567" s="73"/>
      <c r="AG567" s="73"/>
      <c r="AH567" s="73"/>
      <c r="AI567" s="74"/>
    </row>
    <row r="568" spans="26:35" ht="14.25" customHeight="1" x14ac:dyDescent="0.2">
      <c r="Z568" s="72"/>
      <c r="AA568" s="73"/>
      <c r="AB568" s="73"/>
      <c r="AC568" s="73"/>
      <c r="AD568" s="73"/>
      <c r="AE568" s="73"/>
      <c r="AF568" s="73"/>
      <c r="AG568" s="73"/>
      <c r="AH568" s="73"/>
      <c r="AI568" s="74"/>
    </row>
    <row r="569" spans="26:35" ht="14.25" customHeight="1" x14ac:dyDescent="0.2">
      <c r="Z569" s="72"/>
      <c r="AA569" s="73"/>
      <c r="AB569" s="73"/>
      <c r="AC569" s="73"/>
      <c r="AD569" s="73"/>
      <c r="AE569" s="73"/>
      <c r="AF569" s="73"/>
      <c r="AG569" s="73"/>
      <c r="AH569" s="73"/>
      <c r="AI569" s="74"/>
    </row>
    <row r="570" spans="26:35" ht="14.25" customHeight="1" x14ac:dyDescent="0.2">
      <c r="Z570" s="72"/>
      <c r="AA570" s="73"/>
      <c r="AB570" s="73"/>
      <c r="AC570" s="73"/>
      <c r="AD570" s="73"/>
      <c r="AE570" s="73"/>
      <c r="AF570" s="73"/>
      <c r="AG570" s="73"/>
      <c r="AH570" s="73"/>
      <c r="AI570" s="74"/>
    </row>
    <row r="571" spans="26:35" ht="14.25" customHeight="1" x14ac:dyDescent="0.2">
      <c r="Z571" s="72"/>
      <c r="AA571" s="73"/>
      <c r="AB571" s="73"/>
      <c r="AC571" s="73"/>
      <c r="AD571" s="73"/>
      <c r="AE571" s="73"/>
      <c r="AF571" s="73"/>
      <c r="AG571" s="73"/>
      <c r="AH571" s="73"/>
      <c r="AI571" s="74"/>
    </row>
    <row r="572" spans="26:35" ht="14.25" customHeight="1" x14ac:dyDescent="0.2">
      <c r="Z572" s="72"/>
      <c r="AA572" s="73"/>
      <c r="AB572" s="73"/>
      <c r="AC572" s="73"/>
      <c r="AD572" s="73"/>
      <c r="AE572" s="73"/>
      <c r="AF572" s="73"/>
      <c r="AG572" s="73"/>
      <c r="AH572" s="73"/>
      <c r="AI572" s="74"/>
    </row>
    <row r="573" spans="26:35" ht="14.25" customHeight="1" x14ac:dyDescent="0.2">
      <c r="Z573" s="72"/>
      <c r="AA573" s="73"/>
      <c r="AB573" s="73"/>
      <c r="AC573" s="73"/>
      <c r="AD573" s="73"/>
      <c r="AE573" s="73"/>
      <c r="AF573" s="73"/>
      <c r="AG573" s="73"/>
      <c r="AH573" s="73"/>
      <c r="AI573" s="74"/>
    </row>
    <row r="574" spans="26:35" ht="14.25" customHeight="1" x14ac:dyDescent="0.2">
      <c r="Z574" s="72"/>
      <c r="AA574" s="73"/>
      <c r="AB574" s="73"/>
      <c r="AC574" s="73"/>
      <c r="AD574" s="73"/>
      <c r="AE574" s="73"/>
      <c r="AF574" s="73"/>
      <c r="AG574" s="73"/>
      <c r="AH574" s="73"/>
      <c r="AI574" s="74"/>
    </row>
    <row r="575" spans="26:35" ht="14.25" customHeight="1" x14ac:dyDescent="0.2">
      <c r="Z575" s="72"/>
      <c r="AA575" s="73"/>
      <c r="AB575" s="73"/>
      <c r="AC575" s="73"/>
      <c r="AD575" s="73"/>
      <c r="AE575" s="73"/>
      <c r="AF575" s="73"/>
      <c r="AG575" s="73"/>
      <c r="AH575" s="73"/>
      <c r="AI575" s="74"/>
    </row>
    <row r="576" spans="26:35" ht="14.25" customHeight="1" x14ac:dyDescent="0.2">
      <c r="Z576" s="72"/>
      <c r="AA576" s="73"/>
      <c r="AB576" s="73"/>
      <c r="AC576" s="73"/>
      <c r="AD576" s="73"/>
      <c r="AE576" s="73"/>
      <c r="AF576" s="73"/>
      <c r="AG576" s="73"/>
      <c r="AH576" s="73"/>
      <c r="AI576" s="74"/>
    </row>
    <row r="577" spans="26:35" ht="14.25" customHeight="1" x14ac:dyDescent="0.2">
      <c r="Z577" s="72"/>
      <c r="AA577" s="73"/>
      <c r="AB577" s="73"/>
      <c r="AC577" s="73"/>
      <c r="AD577" s="73"/>
      <c r="AE577" s="73"/>
      <c r="AF577" s="73"/>
      <c r="AG577" s="73"/>
      <c r="AH577" s="73"/>
      <c r="AI577" s="74"/>
    </row>
    <row r="578" spans="26:35" ht="14.25" customHeight="1" x14ac:dyDescent="0.2">
      <c r="Z578" s="72"/>
      <c r="AA578" s="73"/>
      <c r="AB578" s="73"/>
      <c r="AC578" s="73"/>
      <c r="AD578" s="73"/>
      <c r="AE578" s="73"/>
      <c r="AF578" s="73"/>
      <c r="AG578" s="73"/>
      <c r="AH578" s="73"/>
      <c r="AI578" s="74"/>
    </row>
    <row r="579" spans="26:35" ht="14.25" customHeight="1" x14ac:dyDescent="0.2">
      <c r="Z579" s="72"/>
      <c r="AA579" s="73"/>
      <c r="AB579" s="73"/>
      <c r="AC579" s="73"/>
      <c r="AD579" s="73"/>
      <c r="AE579" s="73"/>
      <c r="AF579" s="73"/>
      <c r="AG579" s="73"/>
      <c r="AH579" s="73"/>
      <c r="AI579" s="74"/>
    </row>
    <row r="580" spans="26:35" ht="14.25" customHeight="1" x14ac:dyDescent="0.2">
      <c r="Z580" s="72"/>
      <c r="AA580" s="73"/>
      <c r="AB580" s="73"/>
      <c r="AC580" s="73"/>
      <c r="AD580" s="73"/>
      <c r="AE580" s="73"/>
      <c r="AF580" s="73"/>
      <c r="AG580" s="73"/>
      <c r="AH580" s="73"/>
      <c r="AI580" s="74"/>
    </row>
    <row r="581" spans="26:35" ht="14.25" customHeight="1" x14ac:dyDescent="0.2">
      <c r="Z581" s="72"/>
      <c r="AA581" s="73"/>
      <c r="AB581" s="73"/>
      <c r="AC581" s="73"/>
      <c r="AD581" s="73"/>
      <c r="AE581" s="73"/>
      <c r="AF581" s="73"/>
      <c r="AG581" s="73"/>
      <c r="AH581" s="73"/>
      <c r="AI581" s="74"/>
    </row>
    <row r="582" spans="26:35" ht="14.25" customHeight="1" x14ac:dyDescent="0.2">
      <c r="Z582" s="72"/>
      <c r="AA582" s="73"/>
      <c r="AB582" s="73"/>
      <c r="AC582" s="73"/>
      <c r="AD582" s="73"/>
      <c r="AE582" s="73"/>
      <c r="AF582" s="73"/>
      <c r="AG582" s="73"/>
      <c r="AH582" s="73"/>
      <c r="AI582" s="74"/>
    </row>
    <row r="583" spans="26:35" ht="14.25" customHeight="1" x14ac:dyDescent="0.2">
      <c r="Z583" s="72"/>
      <c r="AA583" s="73"/>
      <c r="AB583" s="73"/>
      <c r="AC583" s="73"/>
      <c r="AD583" s="73"/>
      <c r="AE583" s="73"/>
      <c r="AF583" s="73"/>
      <c r="AG583" s="73"/>
      <c r="AH583" s="73"/>
      <c r="AI583" s="74"/>
    </row>
    <row r="584" spans="26:35" ht="14.25" customHeight="1" x14ac:dyDescent="0.2">
      <c r="Z584" s="72"/>
      <c r="AA584" s="73"/>
      <c r="AB584" s="73"/>
      <c r="AC584" s="73"/>
      <c r="AD584" s="73"/>
      <c r="AE584" s="73"/>
      <c r="AF584" s="73"/>
      <c r="AG584" s="73"/>
      <c r="AH584" s="73"/>
      <c r="AI584" s="74"/>
    </row>
    <row r="585" spans="26:35" ht="14.25" customHeight="1" x14ac:dyDescent="0.2">
      <c r="Z585" s="72"/>
      <c r="AA585" s="73"/>
      <c r="AB585" s="73"/>
      <c r="AC585" s="73"/>
      <c r="AD585" s="73"/>
      <c r="AE585" s="73"/>
      <c r="AF585" s="73"/>
      <c r="AG585" s="73"/>
      <c r="AH585" s="73"/>
      <c r="AI585" s="74"/>
    </row>
    <row r="586" spans="26:35" ht="14.25" customHeight="1" x14ac:dyDescent="0.2">
      <c r="Z586" s="72"/>
      <c r="AA586" s="73"/>
      <c r="AB586" s="73"/>
      <c r="AC586" s="73"/>
      <c r="AD586" s="73"/>
      <c r="AE586" s="73"/>
      <c r="AF586" s="73"/>
      <c r="AG586" s="73"/>
      <c r="AH586" s="73"/>
      <c r="AI586" s="74"/>
    </row>
    <row r="587" spans="26:35" ht="14.25" customHeight="1" x14ac:dyDescent="0.2">
      <c r="Z587" s="72"/>
      <c r="AA587" s="73"/>
      <c r="AB587" s="73"/>
      <c r="AC587" s="73"/>
      <c r="AD587" s="73"/>
      <c r="AE587" s="73"/>
      <c r="AF587" s="73"/>
      <c r="AG587" s="73"/>
      <c r="AH587" s="73"/>
      <c r="AI587" s="74"/>
    </row>
    <row r="588" spans="26:35" ht="14.25" customHeight="1" x14ac:dyDescent="0.2">
      <c r="Z588" s="72"/>
      <c r="AA588" s="73"/>
      <c r="AB588" s="73"/>
      <c r="AC588" s="73"/>
      <c r="AD588" s="73"/>
      <c r="AE588" s="73"/>
      <c r="AF588" s="73"/>
      <c r="AG588" s="73"/>
      <c r="AH588" s="73"/>
      <c r="AI588" s="74"/>
    </row>
    <row r="589" spans="26:35" ht="14.25" customHeight="1" x14ac:dyDescent="0.2">
      <c r="Z589" s="72"/>
      <c r="AA589" s="73"/>
      <c r="AB589" s="73"/>
      <c r="AC589" s="73"/>
      <c r="AD589" s="73"/>
      <c r="AE589" s="73"/>
      <c r="AF589" s="73"/>
      <c r="AG589" s="73"/>
      <c r="AH589" s="73"/>
      <c r="AI589" s="74"/>
    </row>
    <row r="590" spans="26:35" ht="14.25" customHeight="1" x14ac:dyDescent="0.2">
      <c r="Z590" s="72"/>
      <c r="AA590" s="73"/>
      <c r="AB590" s="73"/>
      <c r="AC590" s="73"/>
      <c r="AD590" s="73"/>
      <c r="AE590" s="73"/>
      <c r="AF590" s="73"/>
      <c r="AG590" s="73"/>
      <c r="AH590" s="73"/>
      <c r="AI590" s="74"/>
    </row>
    <row r="591" spans="26:35" ht="14.25" customHeight="1" x14ac:dyDescent="0.2">
      <c r="Z591" s="72"/>
      <c r="AA591" s="73"/>
      <c r="AB591" s="73"/>
      <c r="AC591" s="73"/>
      <c r="AD591" s="73"/>
      <c r="AE591" s="73"/>
      <c r="AF591" s="73"/>
      <c r="AG591" s="73"/>
      <c r="AH591" s="73"/>
      <c r="AI591" s="74"/>
    </row>
    <row r="592" spans="26:35" ht="14.25" customHeight="1" x14ac:dyDescent="0.2">
      <c r="Z592" s="72"/>
      <c r="AA592" s="73"/>
      <c r="AB592" s="73"/>
      <c r="AC592" s="73"/>
      <c r="AD592" s="73"/>
      <c r="AE592" s="73"/>
      <c r="AF592" s="73"/>
      <c r="AG592" s="73"/>
      <c r="AH592" s="73"/>
      <c r="AI592" s="74"/>
    </row>
    <row r="593" spans="26:35" ht="14.25" customHeight="1" x14ac:dyDescent="0.2">
      <c r="Z593" s="72"/>
      <c r="AA593" s="73"/>
      <c r="AB593" s="73"/>
      <c r="AC593" s="73"/>
      <c r="AD593" s="73"/>
      <c r="AE593" s="73"/>
      <c r="AF593" s="73"/>
      <c r="AG593" s="73"/>
      <c r="AH593" s="73"/>
      <c r="AI593" s="74"/>
    </row>
    <row r="594" spans="26:35" ht="14.25" customHeight="1" x14ac:dyDescent="0.2">
      <c r="Z594" s="72"/>
      <c r="AA594" s="73"/>
      <c r="AB594" s="73"/>
      <c r="AC594" s="73"/>
      <c r="AD594" s="73"/>
      <c r="AE594" s="73"/>
      <c r="AF594" s="73"/>
      <c r="AG594" s="73"/>
      <c r="AH594" s="73"/>
      <c r="AI594" s="74"/>
    </row>
    <row r="595" spans="26:35" ht="14.25" customHeight="1" x14ac:dyDescent="0.2">
      <c r="Z595" s="72"/>
      <c r="AA595" s="73"/>
      <c r="AB595" s="73"/>
      <c r="AC595" s="73"/>
      <c r="AD595" s="73"/>
      <c r="AE595" s="73"/>
      <c r="AF595" s="73"/>
      <c r="AG595" s="73"/>
      <c r="AH595" s="73"/>
      <c r="AI595" s="74"/>
    </row>
    <row r="596" spans="26:35" ht="14.25" customHeight="1" x14ac:dyDescent="0.2">
      <c r="Z596" s="72"/>
      <c r="AA596" s="73"/>
      <c r="AB596" s="73"/>
      <c r="AC596" s="73"/>
      <c r="AD596" s="73"/>
      <c r="AE596" s="73"/>
      <c r="AF596" s="73"/>
      <c r="AG596" s="73"/>
      <c r="AH596" s="73"/>
      <c r="AI596" s="74"/>
    </row>
    <row r="597" spans="26:35" ht="14.25" customHeight="1" x14ac:dyDescent="0.2">
      <c r="Z597" s="72"/>
      <c r="AA597" s="73"/>
      <c r="AB597" s="73"/>
      <c r="AC597" s="73"/>
      <c r="AD597" s="73"/>
      <c r="AE597" s="73"/>
      <c r="AF597" s="73"/>
      <c r="AG597" s="73"/>
      <c r="AH597" s="73"/>
      <c r="AI597" s="74"/>
    </row>
    <row r="598" spans="26:35" ht="14.25" customHeight="1" x14ac:dyDescent="0.2">
      <c r="Z598" s="72"/>
      <c r="AA598" s="73"/>
      <c r="AB598" s="73"/>
      <c r="AC598" s="73"/>
      <c r="AD598" s="73"/>
      <c r="AE598" s="73"/>
      <c r="AF598" s="73"/>
      <c r="AG598" s="73"/>
      <c r="AH598" s="73"/>
      <c r="AI598" s="74"/>
    </row>
    <row r="599" spans="26:35" ht="14.25" customHeight="1" x14ac:dyDescent="0.2">
      <c r="Z599" s="72"/>
      <c r="AA599" s="73"/>
      <c r="AB599" s="73"/>
      <c r="AC599" s="73"/>
      <c r="AD599" s="73"/>
      <c r="AE599" s="73"/>
      <c r="AF599" s="73"/>
      <c r="AG599" s="73"/>
      <c r="AH599" s="73"/>
      <c r="AI599" s="74"/>
    </row>
    <row r="600" spans="26:35" ht="14.25" customHeight="1" x14ac:dyDescent="0.2">
      <c r="Z600" s="72"/>
      <c r="AA600" s="73"/>
      <c r="AB600" s="73"/>
      <c r="AC600" s="73"/>
      <c r="AD600" s="73"/>
      <c r="AE600" s="73"/>
      <c r="AF600" s="73"/>
      <c r="AG600" s="73"/>
      <c r="AH600" s="73"/>
      <c r="AI600" s="74"/>
    </row>
    <row r="601" spans="26:35" ht="14.25" customHeight="1" x14ac:dyDescent="0.2">
      <c r="Z601" s="72"/>
      <c r="AA601" s="73"/>
      <c r="AB601" s="73"/>
      <c r="AC601" s="73"/>
      <c r="AD601" s="73"/>
      <c r="AE601" s="73"/>
      <c r="AF601" s="73"/>
      <c r="AG601" s="73"/>
      <c r="AH601" s="73"/>
      <c r="AI601" s="74"/>
    </row>
    <row r="602" spans="26:35" ht="14.25" customHeight="1" x14ac:dyDescent="0.2">
      <c r="Z602" s="72"/>
      <c r="AA602" s="73"/>
      <c r="AB602" s="73"/>
      <c r="AC602" s="73"/>
      <c r="AD602" s="73"/>
      <c r="AE602" s="73"/>
      <c r="AF602" s="73"/>
      <c r="AG602" s="73"/>
      <c r="AH602" s="73"/>
      <c r="AI602" s="74"/>
    </row>
    <row r="603" spans="26:35" ht="14.25" customHeight="1" x14ac:dyDescent="0.2">
      <c r="Z603" s="72"/>
      <c r="AA603" s="73"/>
      <c r="AB603" s="73"/>
      <c r="AC603" s="73"/>
      <c r="AD603" s="73"/>
      <c r="AE603" s="73"/>
      <c r="AF603" s="73"/>
      <c r="AG603" s="73"/>
      <c r="AH603" s="73"/>
      <c r="AI603" s="74"/>
    </row>
    <row r="604" spans="26:35" ht="14.25" customHeight="1" x14ac:dyDescent="0.2">
      <c r="Z604" s="72"/>
      <c r="AA604" s="73"/>
      <c r="AB604" s="73"/>
      <c r="AC604" s="73"/>
      <c r="AD604" s="73"/>
      <c r="AE604" s="73"/>
      <c r="AF604" s="73"/>
      <c r="AG604" s="73"/>
      <c r="AH604" s="73"/>
      <c r="AI604" s="74"/>
    </row>
    <row r="605" spans="26:35" ht="14.25" customHeight="1" x14ac:dyDescent="0.2">
      <c r="Z605" s="72"/>
      <c r="AA605" s="73"/>
      <c r="AB605" s="73"/>
      <c r="AC605" s="73"/>
      <c r="AD605" s="73"/>
      <c r="AE605" s="73"/>
      <c r="AF605" s="73"/>
      <c r="AG605" s="73"/>
      <c r="AH605" s="73"/>
      <c r="AI605" s="74"/>
    </row>
    <row r="606" spans="26:35" ht="14.25" customHeight="1" x14ac:dyDescent="0.2">
      <c r="Z606" s="72"/>
      <c r="AA606" s="73"/>
      <c r="AB606" s="73"/>
      <c r="AC606" s="73"/>
      <c r="AD606" s="73"/>
      <c r="AE606" s="73"/>
      <c r="AF606" s="73"/>
      <c r="AG606" s="73"/>
      <c r="AH606" s="73"/>
      <c r="AI606" s="74"/>
    </row>
    <row r="607" spans="26:35" ht="14.25" customHeight="1" x14ac:dyDescent="0.2">
      <c r="Z607" s="72"/>
      <c r="AA607" s="73"/>
      <c r="AB607" s="73"/>
      <c r="AC607" s="73"/>
      <c r="AD607" s="73"/>
      <c r="AE607" s="73"/>
      <c r="AF607" s="73"/>
      <c r="AG607" s="73"/>
      <c r="AH607" s="73"/>
      <c r="AI607" s="74"/>
    </row>
    <row r="608" spans="26:35" ht="14.25" customHeight="1" x14ac:dyDescent="0.2">
      <c r="Z608" s="72"/>
      <c r="AA608" s="73"/>
      <c r="AB608" s="73"/>
      <c r="AC608" s="73"/>
      <c r="AD608" s="73"/>
      <c r="AE608" s="73"/>
      <c r="AF608" s="73"/>
      <c r="AG608" s="73"/>
      <c r="AH608" s="73"/>
      <c r="AI608" s="74"/>
    </row>
    <row r="609" spans="26:35" ht="14.25" customHeight="1" x14ac:dyDescent="0.2">
      <c r="Z609" s="72"/>
      <c r="AA609" s="73"/>
      <c r="AB609" s="73"/>
      <c r="AC609" s="73"/>
      <c r="AD609" s="73"/>
      <c r="AE609" s="73"/>
      <c r="AF609" s="73"/>
      <c r="AG609" s="73"/>
      <c r="AH609" s="73"/>
      <c r="AI609" s="74"/>
    </row>
    <row r="610" spans="26:35" ht="14.25" customHeight="1" x14ac:dyDescent="0.2">
      <c r="Z610" s="72"/>
      <c r="AA610" s="73"/>
      <c r="AB610" s="73"/>
      <c r="AC610" s="73"/>
      <c r="AD610" s="73"/>
      <c r="AE610" s="73"/>
      <c r="AF610" s="73"/>
      <c r="AG610" s="73"/>
      <c r="AH610" s="73"/>
      <c r="AI610" s="74"/>
    </row>
    <row r="611" spans="26:35" ht="14.25" customHeight="1" x14ac:dyDescent="0.2">
      <c r="Z611" s="72"/>
      <c r="AA611" s="73"/>
      <c r="AB611" s="73"/>
      <c r="AC611" s="73"/>
      <c r="AD611" s="73"/>
      <c r="AE611" s="73"/>
      <c r="AF611" s="73"/>
      <c r="AG611" s="73"/>
      <c r="AH611" s="73"/>
      <c r="AI611" s="74"/>
    </row>
    <row r="612" spans="26:35" ht="14.25" customHeight="1" x14ac:dyDescent="0.2">
      <c r="Z612" s="72"/>
      <c r="AA612" s="73"/>
      <c r="AB612" s="73"/>
      <c r="AC612" s="73"/>
      <c r="AD612" s="73"/>
      <c r="AE612" s="73"/>
      <c r="AF612" s="73"/>
      <c r="AG612" s="73"/>
      <c r="AH612" s="73"/>
      <c r="AI612" s="74"/>
    </row>
    <row r="613" spans="26:35" ht="14.25" customHeight="1" x14ac:dyDescent="0.2">
      <c r="Z613" s="72"/>
      <c r="AA613" s="73"/>
      <c r="AB613" s="73"/>
      <c r="AC613" s="73"/>
      <c r="AD613" s="73"/>
      <c r="AE613" s="73"/>
      <c r="AF613" s="73"/>
      <c r="AG613" s="73"/>
      <c r="AH613" s="73"/>
      <c r="AI613" s="74"/>
    </row>
    <row r="614" spans="26:35" ht="14.25" customHeight="1" x14ac:dyDescent="0.2">
      <c r="Z614" s="72"/>
      <c r="AA614" s="73"/>
      <c r="AB614" s="73"/>
      <c r="AC614" s="73"/>
      <c r="AD614" s="73"/>
      <c r="AE614" s="73"/>
      <c r="AF614" s="73"/>
      <c r="AG614" s="73"/>
      <c r="AH614" s="73"/>
      <c r="AI614" s="74"/>
    </row>
    <row r="615" spans="26:35" ht="14.25" customHeight="1" x14ac:dyDescent="0.2">
      <c r="Z615" s="72"/>
      <c r="AA615" s="73"/>
      <c r="AB615" s="73"/>
      <c r="AC615" s="73"/>
      <c r="AD615" s="73"/>
      <c r="AE615" s="73"/>
      <c r="AF615" s="73"/>
      <c r="AG615" s="73"/>
      <c r="AH615" s="73"/>
      <c r="AI615" s="74"/>
    </row>
    <row r="616" spans="26:35" ht="14.25" customHeight="1" x14ac:dyDescent="0.2">
      <c r="Z616" s="72"/>
      <c r="AA616" s="73"/>
      <c r="AB616" s="73"/>
      <c r="AC616" s="73"/>
      <c r="AD616" s="73"/>
      <c r="AE616" s="73"/>
      <c r="AF616" s="73"/>
      <c r="AG616" s="73"/>
      <c r="AH616" s="73"/>
      <c r="AI616" s="74"/>
    </row>
    <row r="617" spans="26:35" ht="14.25" customHeight="1" x14ac:dyDescent="0.2">
      <c r="Z617" s="72"/>
      <c r="AA617" s="73"/>
      <c r="AB617" s="73"/>
      <c r="AC617" s="73"/>
      <c r="AD617" s="73"/>
      <c r="AE617" s="73"/>
      <c r="AF617" s="73"/>
      <c r="AG617" s="73"/>
      <c r="AH617" s="73"/>
      <c r="AI617" s="74"/>
    </row>
    <row r="618" spans="26:35" ht="14.25" customHeight="1" x14ac:dyDescent="0.2">
      <c r="Z618" s="72"/>
      <c r="AA618" s="73"/>
      <c r="AB618" s="73"/>
      <c r="AC618" s="73"/>
      <c r="AD618" s="73"/>
      <c r="AE618" s="73"/>
      <c r="AF618" s="73"/>
      <c r="AG618" s="73"/>
      <c r="AH618" s="73"/>
      <c r="AI618" s="74"/>
    </row>
    <row r="619" spans="26:35" ht="14.25" customHeight="1" x14ac:dyDescent="0.2">
      <c r="Z619" s="72"/>
      <c r="AA619" s="73"/>
      <c r="AB619" s="73"/>
      <c r="AC619" s="73"/>
      <c r="AD619" s="73"/>
      <c r="AE619" s="73"/>
      <c r="AF619" s="73"/>
      <c r="AG619" s="73"/>
      <c r="AH619" s="73"/>
      <c r="AI619" s="74"/>
    </row>
    <row r="620" spans="26:35" ht="14.25" customHeight="1" x14ac:dyDescent="0.2">
      <c r="Z620" s="72"/>
      <c r="AA620" s="73"/>
      <c r="AB620" s="73"/>
      <c r="AC620" s="73"/>
      <c r="AD620" s="73"/>
      <c r="AE620" s="73"/>
      <c r="AF620" s="73"/>
      <c r="AG620" s="73"/>
      <c r="AH620" s="73"/>
      <c r="AI620" s="74"/>
    </row>
    <row r="621" spans="26:35" ht="14.25" customHeight="1" x14ac:dyDescent="0.2">
      <c r="Z621" s="72"/>
      <c r="AA621" s="73"/>
      <c r="AB621" s="73"/>
      <c r="AC621" s="73"/>
      <c r="AD621" s="73"/>
      <c r="AE621" s="73"/>
      <c r="AF621" s="73"/>
      <c r="AG621" s="73"/>
      <c r="AH621" s="73"/>
      <c r="AI621" s="74"/>
    </row>
    <row r="622" spans="26:35" ht="14.25" customHeight="1" x14ac:dyDescent="0.2">
      <c r="Z622" s="72"/>
      <c r="AA622" s="73"/>
      <c r="AB622" s="73"/>
      <c r="AC622" s="73"/>
      <c r="AD622" s="73"/>
      <c r="AE622" s="73"/>
      <c r="AF622" s="73"/>
      <c r="AG622" s="73"/>
      <c r="AH622" s="73"/>
      <c r="AI622" s="74"/>
    </row>
    <row r="623" spans="26:35" ht="14.25" customHeight="1" x14ac:dyDescent="0.2">
      <c r="Z623" s="72"/>
      <c r="AA623" s="73"/>
      <c r="AB623" s="73"/>
      <c r="AC623" s="73"/>
      <c r="AD623" s="73"/>
      <c r="AE623" s="73"/>
      <c r="AF623" s="73"/>
      <c r="AG623" s="73"/>
      <c r="AH623" s="73"/>
      <c r="AI623" s="74"/>
    </row>
    <row r="624" spans="26:35" ht="14.25" customHeight="1" x14ac:dyDescent="0.2">
      <c r="Z624" s="72"/>
      <c r="AA624" s="73"/>
      <c r="AB624" s="73"/>
      <c r="AC624" s="73"/>
      <c r="AD624" s="73"/>
      <c r="AE624" s="73"/>
      <c r="AF624" s="73"/>
      <c r="AG624" s="73"/>
      <c r="AH624" s="73"/>
      <c r="AI624" s="74"/>
    </row>
    <row r="625" spans="26:35" ht="14.25" customHeight="1" x14ac:dyDescent="0.2">
      <c r="Z625" s="72"/>
      <c r="AA625" s="73"/>
      <c r="AB625" s="73"/>
      <c r="AC625" s="73"/>
      <c r="AD625" s="73"/>
      <c r="AE625" s="73"/>
      <c r="AF625" s="73"/>
      <c r="AG625" s="73"/>
      <c r="AH625" s="73"/>
      <c r="AI625" s="74"/>
    </row>
    <row r="626" spans="26:35" ht="14.25" customHeight="1" x14ac:dyDescent="0.2">
      <c r="Z626" s="72"/>
      <c r="AA626" s="73"/>
      <c r="AB626" s="73"/>
      <c r="AC626" s="73"/>
      <c r="AD626" s="73"/>
      <c r="AE626" s="73"/>
      <c r="AF626" s="73"/>
      <c r="AG626" s="73"/>
      <c r="AH626" s="73"/>
      <c r="AI626" s="74"/>
    </row>
    <row r="627" spans="26:35" ht="14.25" customHeight="1" x14ac:dyDescent="0.2">
      <c r="Z627" s="72"/>
      <c r="AA627" s="73"/>
      <c r="AB627" s="73"/>
      <c r="AC627" s="73"/>
      <c r="AD627" s="73"/>
      <c r="AE627" s="73"/>
      <c r="AF627" s="73"/>
      <c r="AG627" s="73"/>
      <c r="AH627" s="73"/>
      <c r="AI627" s="74"/>
    </row>
    <row r="628" spans="26:35" ht="14.25" customHeight="1" x14ac:dyDescent="0.2">
      <c r="Z628" s="72"/>
      <c r="AA628" s="73"/>
      <c r="AB628" s="73"/>
      <c r="AC628" s="73"/>
      <c r="AD628" s="73"/>
      <c r="AE628" s="73"/>
      <c r="AF628" s="73"/>
      <c r="AG628" s="73"/>
      <c r="AH628" s="73"/>
      <c r="AI628" s="74"/>
    </row>
    <row r="629" spans="26:35" ht="14.25" customHeight="1" x14ac:dyDescent="0.2">
      <c r="Z629" s="72"/>
      <c r="AA629" s="73"/>
      <c r="AB629" s="73"/>
      <c r="AC629" s="73"/>
      <c r="AD629" s="73"/>
      <c r="AE629" s="73"/>
      <c r="AF629" s="73"/>
      <c r="AG629" s="73"/>
      <c r="AH629" s="73"/>
      <c r="AI629" s="74"/>
    </row>
    <row r="630" spans="26:35" ht="14.25" customHeight="1" x14ac:dyDescent="0.2">
      <c r="Z630" s="72"/>
      <c r="AA630" s="73"/>
      <c r="AB630" s="73"/>
      <c r="AC630" s="73"/>
      <c r="AD630" s="73"/>
      <c r="AE630" s="73"/>
      <c r="AF630" s="73"/>
      <c r="AG630" s="73"/>
      <c r="AH630" s="73"/>
      <c r="AI630" s="74"/>
    </row>
    <row r="631" spans="26:35" ht="14.25" customHeight="1" x14ac:dyDescent="0.2">
      <c r="Z631" s="72"/>
      <c r="AA631" s="73"/>
      <c r="AB631" s="73"/>
      <c r="AC631" s="73"/>
      <c r="AD631" s="73"/>
      <c r="AE631" s="73"/>
      <c r="AF631" s="73"/>
      <c r="AG631" s="73"/>
      <c r="AH631" s="73"/>
      <c r="AI631" s="74"/>
    </row>
    <row r="632" spans="26:35" ht="14.25" customHeight="1" x14ac:dyDescent="0.2">
      <c r="Z632" s="72"/>
      <c r="AA632" s="73"/>
      <c r="AB632" s="73"/>
      <c r="AC632" s="73"/>
      <c r="AD632" s="73"/>
      <c r="AE632" s="73"/>
      <c r="AF632" s="73"/>
      <c r="AG632" s="73"/>
      <c r="AH632" s="73"/>
      <c r="AI632" s="74"/>
    </row>
    <row r="633" spans="26:35" ht="14.25" customHeight="1" x14ac:dyDescent="0.2">
      <c r="Z633" s="72"/>
      <c r="AA633" s="73"/>
      <c r="AB633" s="73"/>
      <c r="AC633" s="73"/>
      <c r="AD633" s="73"/>
      <c r="AE633" s="73"/>
      <c r="AF633" s="73"/>
      <c r="AG633" s="73"/>
      <c r="AH633" s="73"/>
      <c r="AI633" s="74"/>
    </row>
    <row r="634" spans="26:35" ht="14.25" customHeight="1" x14ac:dyDescent="0.2">
      <c r="Z634" s="72"/>
      <c r="AA634" s="73"/>
      <c r="AB634" s="73"/>
      <c r="AC634" s="73"/>
      <c r="AD634" s="73"/>
      <c r="AE634" s="73"/>
      <c r="AF634" s="73"/>
      <c r="AG634" s="73"/>
      <c r="AH634" s="73"/>
      <c r="AI634" s="74"/>
    </row>
    <row r="635" spans="26:35" ht="14.25" customHeight="1" x14ac:dyDescent="0.2">
      <c r="Z635" s="72"/>
      <c r="AA635" s="73"/>
      <c r="AB635" s="73"/>
      <c r="AC635" s="73"/>
      <c r="AD635" s="73"/>
      <c r="AE635" s="73"/>
      <c r="AF635" s="73"/>
      <c r="AG635" s="73"/>
      <c r="AH635" s="73"/>
      <c r="AI635" s="74"/>
    </row>
    <row r="636" spans="26:35" ht="14.25" customHeight="1" x14ac:dyDescent="0.2">
      <c r="Z636" s="72"/>
      <c r="AA636" s="73"/>
      <c r="AB636" s="73"/>
      <c r="AC636" s="73"/>
      <c r="AD636" s="73"/>
      <c r="AE636" s="73"/>
      <c r="AF636" s="73"/>
      <c r="AG636" s="73"/>
      <c r="AH636" s="73"/>
      <c r="AI636" s="74"/>
    </row>
    <row r="637" spans="26:35" ht="14.25" customHeight="1" x14ac:dyDescent="0.2">
      <c r="Z637" s="72"/>
      <c r="AA637" s="73"/>
      <c r="AB637" s="73"/>
      <c r="AC637" s="73"/>
      <c r="AD637" s="73"/>
      <c r="AE637" s="73"/>
      <c r="AF637" s="73"/>
      <c r="AG637" s="73"/>
      <c r="AH637" s="73"/>
      <c r="AI637" s="74"/>
    </row>
    <row r="638" spans="26:35" ht="14.25" customHeight="1" x14ac:dyDescent="0.2">
      <c r="Z638" s="72"/>
      <c r="AA638" s="73"/>
      <c r="AB638" s="73"/>
      <c r="AC638" s="73"/>
      <c r="AD638" s="73"/>
      <c r="AE638" s="73"/>
      <c r="AF638" s="73"/>
      <c r="AG638" s="73"/>
      <c r="AH638" s="73"/>
      <c r="AI638" s="74"/>
    </row>
    <row r="639" spans="26:35" ht="14.25" customHeight="1" x14ac:dyDescent="0.2">
      <c r="Z639" s="72"/>
      <c r="AA639" s="73"/>
      <c r="AB639" s="73"/>
      <c r="AC639" s="73"/>
      <c r="AD639" s="73"/>
      <c r="AE639" s="73"/>
      <c r="AF639" s="73"/>
      <c r="AG639" s="73"/>
      <c r="AH639" s="73"/>
      <c r="AI639" s="74"/>
    </row>
    <row r="640" spans="26:35" ht="14.25" customHeight="1" x14ac:dyDescent="0.2">
      <c r="Z640" s="72"/>
      <c r="AA640" s="73"/>
      <c r="AB640" s="73"/>
      <c r="AC640" s="73"/>
      <c r="AD640" s="73"/>
      <c r="AE640" s="73"/>
      <c r="AF640" s="73"/>
      <c r="AG640" s="73"/>
      <c r="AH640" s="73"/>
      <c r="AI640" s="74"/>
    </row>
    <row r="641" spans="26:35" ht="14.25" customHeight="1" x14ac:dyDescent="0.2">
      <c r="Z641" s="72"/>
      <c r="AA641" s="73"/>
      <c r="AB641" s="73"/>
      <c r="AC641" s="73"/>
      <c r="AD641" s="73"/>
      <c r="AE641" s="73"/>
      <c r="AF641" s="73"/>
      <c r="AG641" s="73"/>
      <c r="AH641" s="73"/>
      <c r="AI641" s="74"/>
    </row>
    <row r="642" spans="26:35" ht="14.25" customHeight="1" x14ac:dyDescent="0.2">
      <c r="Z642" s="72"/>
      <c r="AA642" s="73"/>
      <c r="AB642" s="73"/>
      <c r="AC642" s="73"/>
      <c r="AD642" s="73"/>
      <c r="AE642" s="73"/>
      <c r="AF642" s="73"/>
      <c r="AG642" s="73"/>
      <c r="AH642" s="73"/>
      <c r="AI642" s="74"/>
    </row>
    <row r="643" spans="26:35" ht="14.25" customHeight="1" x14ac:dyDescent="0.2">
      <c r="Z643" s="72"/>
      <c r="AA643" s="73"/>
      <c r="AB643" s="73"/>
      <c r="AC643" s="73"/>
      <c r="AD643" s="73"/>
      <c r="AE643" s="73"/>
      <c r="AF643" s="73"/>
      <c r="AG643" s="73"/>
      <c r="AH643" s="73"/>
      <c r="AI643" s="74"/>
    </row>
    <row r="644" spans="26:35" ht="14.25" customHeight="1" x14ac:dyDescent="0.2">
      <c r="Z644" s="72"/>
      <c r="AA644" s="73"/>
      <c r="AB644" s="73"/>
      <c r="AC644" s="73"/>
      <c r="AD644" s="73"/>
      <c r="AE644" s="73"/>
      <c r="AF644" s="73"/>
      <c r="AG644" s="73"/>
      <c r="AH644" s="73"/>
      <c r="AI644" s="74"/>
    </row>
    <row r="645" spans="26:35" ht="14.25" customHeight="1" x14ac:dyDescent="0.2">
      <c r="Z645" s="72"/>
      <c r="AA645" s="73"/>
      <c r="AB645" s="73"/>
      <c r="AC645" s="73"/>
      <c r="AD645" s="73"/>
      <c r="AE645" s="73"/>
      <c r="AF645" s="73"/>
      <c r="AG645" s="73"/>
      <c r="AH645" s="73"/>
      <c r="AI645" s="74"/>
    </row>
    <row r="646" spans="26:35" ht="14.25" customHeight="1" x14ac:dyDescent="0.2">
      <c r="Z646" s="72"/>
      <c r="AA646" s="73"/>
      <c r="AB646" s="73"/>
      <c r="AC646" s="73"/>
      <c r="AD646" s="73"/>
      <c r="AE646" s="73"/>
      <c r="AF646" s="73"/>
      <c r="AG646" s="73"/>
      <c r="AH646" s="73"/>
      <c r="AI646" s="74"/>
    </row>
    <row r="647" spans="26:35" ht="14.25" customHeight="1" x14ac:dyDescent="0.2">
      <c r="Z647" s="72"/>
      <c r="AA647" s="73"/>
      <c r="AB647" s="73"/>
      <c r="AC647" s="73"/>
      <c r="AD647" s="73"/>
      <c r="AE647" s="73"/>
      <c r="AF647" s="73"/>
      <c r="AG647" s="73"/>
      <c r="AH647" s="73"/>
      <c r="AI647" s="74"/>
    </row>
    <row r="648" spans="26:35" ht="14.25" customHeight="1" x14ac:dyDescent="0.2">
      <c r="Z648" s="72"/>
      <c r="AA648" s="73"/>
      <c r="AB648" s="73"/>
      <c r="AC648" s="73"/>
      <c r="AD648" s="73"/>
      <c r="AE648" s="73"/>
      <c r="AF648" s="73"/>
      <c r="AG648" s="73"/>
      <c r="AH648" s="73"/>
      <c r="AI648" s="74"/>
    </row>
    <row r="649" spans="26:35" ht="14.25" customHeight="1" x14ac:dyDescent="0.2">
      <c r="Z649" s="72"/>
      <c r="AA649" s="73"/>
      <c r="AB649" s="73"/>
      <c r="AC649" s="73"/>
      <c r="AD649" s="73"/>
      <c r="AE649" s="73"/>
      <c r="AF649" s="73"/>
      <c r="AG649" s="73"/>
      <c r="AH649" s="73"/>
      <c r="AI649" s="74"/>
    </row>
    <row r="650" spans="26:35" ht="14.25" customHeight="1" x14ac:dyDescent="0.2">
      <c r="Z650" s="72"/>
      <c r="AA650" s="73"/>
      <c r="AB650" s="73"/>
      <c r="AC650" s="73"/>
      <c r="AD650" s="73"/>
      <c r="AE650" s="73"/>
      <c r="AF650" s="73"/>
      <c r="AG650" s="73"/>
      <c r="AH650" s="73"/>
      <c r="AI650" s="74"/>
    </row>
    <row r="651" spans="26:35" ht="14.25" customHeight="1" x14ac:dyDescent="0.2">
      <c r="Z651" s="72"/>
      <c r="AA651" s="73"/>
      <c r="AB651" s="73"/>
      <c r="AC651" s="73"/>
      <c r="AD651" s="73"/>
      <c r="AE651" s="73"/>
      <c r="AF651" s="73"/>
      <c r="AG651" s="73"/>
      <c r="AH651" s="73"/>
      <c r="AI651" s="74"/>
    </row>
    <row r="652" spans="26:35" ht="14.25" customHeight="1" x14ac:dyDescent="0.2">
      <c r="Z652" s="72"/>
      <c r="AA652" s="73"/>
      <c r="AB652" s="73"/>
      <c r="AC652" s="73"/>
      <c r="AD652" s="73"/>
      <c r="AE652" s="73"/>
      <c r="AF652" s="73"/>
      <c r="AG652" s="73"/>
      <c r="AH652" s="73"/>
      <c r="AI652" s="74"/>
    </row>
    <row r="653" spans="26:35" ht="14.25" customHeight="1" x14ac:dyDescent="0.2">
      <c r="Z653" s="72"/>
      <c r="AA653" s="73"/>
      <c r="AB653" s="73"/>
      <c r="AC653" s="73"/>
      <c r="AD653" s="73"/>
      <c r="AE653" s="73"/>
      <c r="AF653" s="73"/>
      <c r="AG653" s="73"/>
      <c r="AH653" s="73"/>
      <c r="AI653" s="74"/>
    </row>
    <row r="654" spans="26:35" ht="14.25" customHeight="1" x14ac:dyDescent="0.2">
      <c r="Z654" s="72"/>
      <c r="AA654" s="73"/>
      <c r="AB654" s="73"/>
      <c r="AC654" s="73"/>
      <c r="AD654" s="73"/>
      <c r="AE654" s="73"/>
      <c r="AF654" s="73"/>
      <c r="AG654" s="73"/>
      <c r="AH654" s="73"/>
      <c r="AI654" s="74"/>
    </row>
    <row r="655" spans="26:35" ht="14.25" customHeight="1" x14ac:dyDescent="0.2">
      <c r="Z655" s="72"/>
      <c r="AA655" s="73"/>
      <c r="AB655" s="73"/>
      <c r="AC655" s="73"/>
      <c r="AD655" s="73"/>
      <c r="AE655" s="73"/>
      <c r="AF655" s="73"/>
      <c r="AG655" s="73"/>
      <c r="AH655" s="73"/>
      <c r="AI655" s="74"/>
    </row>
    <row r="656" spans="26:35" ht="14.25" customHeight="1" x14ac:dyDescent="0.2">
      <c r="Z656" s="72"/>
      <c r="AA656" s="73"/>
      <c r="AB656" s="73"/>
      <c r="AC656" s="73"/>
      <c r="AD656" s="73"/>
      <c r="AE656" s="73"/>
      <c r="AF656" s="73"/>
      <c r="AG656" s="73"/>
      <c r="AH656" s="73"/>
      <c r="AI656" s="74"/>
    </row>
    <row r="657" spans="26:35" ht="14.25" customHeight="1" x14ac:dyDescent="0.2">
      <c r="Z657" s="72"/>
      <c r="AA657" s="73"/>
      <c r="AB657" s="73"/>
      <c r="AC657" s="73"/>
      <c r="AD657" s="73"/>
      <c r="AE657" s="73"/>
      <c r="AF657" s="73"/>
      <c r="AG657" s="73"/>
      <c r="AH657" s="73"/>
      <c r="AI657" s="74"/>
    </row>
    <row r="658" spans="26:35" ht="14.25" customHeight="1" x14ac:dyDescent="0.2">
      <c r="Z658" s="72"/>
      <c r="AA658" s="73"/>
      <c r="AB658" s="73"/>
      <c r="AC658" s="73"/>
      <c r="AD658" s="73"/>
      <c r="AE658" s="73"/>
      <c r="AF658" s="73"/>
      <c r="AG658" s="73"/>
      <c r="AH658" s="73"/>
      <c r="AI658" s="74"/>
    </row>
    <row r="659" spans="26:35" ht="14.25" customHeight="1" x14ac:dyDescent="0.2">
      <c r="Z659" s="72"/>
      <c r="AA659" s="73"/>
      <c r="AB659" s="73"/>
      <c r="AC659" s="73"/>
      <c r="AD659" s="73"/>
      <c r="AE659" s="73"/>
      <c r="AF659" s="73"/>
      <c r="AG659" s="73"/>
      <c r="AH659" s="73"/>
      <c r="AI659" s="74"/>
    </row>
    <row r="660" spans="26:35" ht="14.25" customHeight="1" x14ac:dyDescent="0.2">
      <c r="Z660" s="72"/>
      <c r="AA660" s="73"/>
      <c r="AB660" s="73"/>
      <c r="AC660" s="73"/>
      <c r="AD660" s="73"/>
      <c r="AE660" s="73"/>
      <c r="AF660" s="73"/>
      <c r="AG660" s="73"/>
      <c r="AH660" s="73"/>
      <c r="AI660" s="74"/>
    </row>
    <row r="661" spans="26:35" ht="14.25" customHeight="1" x14ac:dyDescent="0.2">
      <c r="Z661" s="72"/>
      <c r="AA661" s="73"/>
      <c r="AB661" s="73"/>
      <c r="AC661" s="73"/>
      <c r="AD661" s="73"/>
      <c r="AE661" s="73"/>
      <c r="AF661" s="73"/>
      <c r="AG661" s="73"/>
      <c r="AH661" s="73"/>
      <c r="AI661" s="74"/>
    </row>
    <row r="662" spans="26:35" ht="14.25" customHeight="1" x14ac:dyDescent="0.2">
      <c r="Z662" s="72"/>
      <c r="AA662" s="73"/>
      <c r="AB662" s="73"/>
      <c r="AC662" s="73"/>
      <c r="AD662" s="73"/>
      <c r="AE662" s="73"/>
      <c r="AF662" s="73"/>
      <c r="AG662" s="73"/>
      <c r="AH662" s="73"/>
      <c r="AI662" s="74"/>
    </row>
    <row r="663" spans="26:35" ht="14.25" customHeight="1" x14ac:dyDescent="0.2">
      <c r="Z663" s="72"/>
      <c r="AA663" s="73"/>
      <c r="AB663" s="73"/>
      <c r="AC663" s="73"/>
      <c r="AD663" s="73"/>
      <c r="AE663" s="73"/>
      <c r="AF663" s="73"/>
      <c r="AG663" s="73"/>
      <c r="AH663" s="73"/>
      <c r="AI663" s="74"/>
    </row>
    <row r="664" spans="26:35" ht="14.25" customHeight="1" x14ac:dyDescent="0.2">
      <c r="Z664" s="72"/>
      <c r="AA664" s="73"/>
      <c r="AB664" s="73"/>
      <c r="AC664" s="73"/>
      <c r="AD664" s="73"/>
      <c r="AE664" s="73"/>
      <c r="AF664" s="73"/>
      <c r="AG664" s="73"/>
      <c r="AH664" s="73"/>
      <c r="AI664" s="74"/>
    </row>
    <row r="665" spans="26:35" ht="14.25" customHeight="1" x14ac:dyDescent="0.2">
      <c r="Z665" s="72"/>
      <c r="AA665" s="73"/>
      <c r="AB665" s="73"/>
      <c r="AC665" s="73"/>
      <c r="AD665" s="73"/>
      <c r="AE665" s="73"/>
      <c r="AF665" s="73"/>
      <c r="AG665" s="73"/>
      <c r="AH665" s="73"/>
      <c r="AI665" s="74"/>
    </row>
    <row r="666" spans="26:35" ht="14.25" customHeight="1" x14ac:dyDescent="0.2">
      <c r="Z666" s="72"/>
      <c r="AA666" s="73"/>
      <c r="AB666" s="73"/>
      <c r="AC666" s="73"/>
      <c r="AD666" s="73"/>
      <c r="AE666" s="73"/>
      <c r="AF666" s="73"/>
      <c r="AG666" s="73"/>
      <c r="AH666" s="73"/>
      <c r="AI666" s="74"/>
    </row>
    <row r="667" spans="26:35" ht="14.25" customHeight="1" x14ac:dyDescent="0.2">
      <c r="Z667" s="72"/>
      <c r="AA667" s="73"/>
      <c r="AB667" s="73"/>
      <c r="AC667" s="73"/>
      <c r="AD667" s="73"/>
      <c r="AE667" s="73"/>
      <c r="AF667" s="73"/>
      <c r="AG667" s="73"/>
      <c r="AH667" s="73"/>
      <c r="AI667" s="74"/>
    </row>
    <row r="668" spans="26:35" ht="14.25" customHeight="1" x14ac:dyDescent="0.2">
      <c r="Z668" s="72"/>
      <c r="AA668" s="73"/>
      <c r="AB668" s="73"/>
      <c r="AC668" s="73"/>
      <c r="AD668" s="73"/>
      <c r="AE668" s="73"/>
      <c r="AF668" s="73"/>
      <c r="AG668" s="73"/>
      <c r="AH668" s="73"/>
      <c r="AI668" s="74"/>
    </row>
    <row r="669" spans="26:35" ht="14.25" customHeight="1" x14ac:dyDescent="0.2">
      <c r="Z669" s="72"/>
      <c r="AA669" s="73"/>
      <c r="AB669" s="73"/>
      <c r="AC669" s="73"/>
      <c r="AD669" s="73"/>
      <c r="AE669" s="73"/>
      <c r="AF669" s="73"/>
      <c r="AG669" s="73"/>
      <c r="AH669" s="73"/>
      <c r="AI669" s="74"/>
    </row>
    <row r="670" spans="26:35" ht="14.25" customHeight="1" x14ac:dyDescent="0.2">
      <c r="Z670" s="72"/>
      <c r="AA670" s="73"/>
      <c r="AB670" s="73"/>
      <c r="AC670" s="73"/>
      <c r="AD670" s="73"/>
      <c r="AE670" s="73"/>
      <c r="AF670" s="73"/>
      <c r="AG670" s="73"/>
      <c r="AH670" s="73"/>
      <c r="AI670" s="74"/>
    </row>
    <row r="671" spans="26:35" ht="14.25" customHeight="1" x14ac:dyDescent="0.2">
      <c r="Z671" s="72"/>
      <c r="AA671" s="73"/>
      <c r="AB671" s="73"/>
      <c r="AC671" s="73"/>
      <c r="AD671" s="73"/>
      <c r="AE671" s="73"/>
      <c r="AF671" s="73"/>
      <c r="AG671" s="73"/>
      <c r="AH671" s="73"/>
      <c r="AI671" s="74"/>
    </row>
    <row r="672" spans="26:35" ht="14.25" customHeight="1" x14ac:dyDescent="0.2">
      <c r="Z672" s="72"/>
      <c r="AA672" s="73"/>
      <c r="AB672" s="73"/>
      <c r="AC672" s="73"/>
      <c r="AD672" s="73"/>
      <c r="AE672" s="73"/>
      <c r="AF672" s="73"/>
      <c r="AG672" s="73"/>
      <c r="AH672" s="73"/>
      <c r="AI672" s="74"/>
    </row>
    <row r="673" spans="26:35" ht="14.25" customHeight="1" x14ac:dyDescent="0.2">
      <c r="Z673" s="72"/>
      <c r="AA673" s="73"/>
      <c r="AB673" s="73"/>
      <c r="AC673" s="73"/>
      <c r="AD673" s="73"/>
      <c r="AE673" s="73"/>
      <c r="AF673" s="73"/>
      <c r="AG673" s="73"/>
      <c r="AH673" s="73"/>
      <c r="AI673" s="74"/>
    </row>
    <row r="674" spans="26:35" ht="14.25" customHeight="1" x14ac:dyDescent="0.2">
      <c r="Z674" s="72"/>
      <c r="AA674" s="73"/>
      <c r="AB674" s="73"/>
      <c r="AC674" s="73"/>
      <c r="AD674" s="73"/>
      <c r="AE674" s="73"/>
      <c r="AF674" s="73"/>
      <c r="AG674" s="73"/>
      <c r="AH674" s="73"/>
      <c r="AI674" s="74"/>
    </row>
    <row r="675" spans="26:35" ht="14.25" customHeight="1" x14ac:dyDescent="0.2">
      <c r="Z675" s="72"/>
      <c r="AA675" s="73"/>
      <c r="AB675" s="73"/>
      <c r="AC675" s="73"/>
      <c r="AD675" s="73"/>
      <c r="AE675" s="73"/>
      <c r="AF675" s="73"/>
      <c r="AG675" s="73"/>
      <c r="AH675" s="73"/>
      <c r="AI675" s="74"/>
    </row>
    <row r="676" spans="26:35" ht="14.25" customHeight="1" x14ac:dyDescent="0.2">
      <c r="Z676" s="72"/>
      <c r="AA676" s="73"/>
      <c r="AB676" s="73"/>
      <c r="AC676" s="73"/>
      <c r="AD676" s="73"/>
      <c r="AE676" s="73"/>
      <c r="AF676" s="73"/>
      <c r="AG676" s="73"/>
      <c r="AH676" s="73"/>
      <c r="AI676" s="74"/>
    </row>
    <row r="677" spans="26:35" ht="14.25" customHeight="1" x14ac:dyDescent="0.2">
      <c r="Z677" s="72"/>
      <c r="AA677" s="73"/>
      <c r="AB677" s="73"/>
      <c r="AC677" s="73"/>
      <c r="AD677" s="73"/>
      <c r="AE677" s="73"/>
      <c r="AF677" s="73"/>
      <c r="AG677" s="73"/>
      <c r="AH677" s="73"/>
      <c r="AI677" s="74"/>
    </row>
    <row r="678" spans="26:35" ht="14.25" customHeight="1" x14ac:dyDescent="0.2">
      <c r="Z678" s="72"/>
      <c r="AA678" s="73"/>
      <c r="AB678" s="73"/>
      <c r="AC678" s="73"/>
      <c r="AD678" s="73"/>
      <c r="AE678" s="73"/>
      <c r="AF678" s="73"/>
      <c r="AG678" s="73"/>
      <c r="AH678" s="73"/>
      <c r="AI678" s="74"/>
    </row>
    <row r="679" spans="26:35" ht="14.25" customHeight="1" x14ac:dyDescent="0.2">
      <c r="Z679" s="72"/>
      <c r="AA679" s="73"/>
      <c r="AB679" s="73"/>
      <c r="AC679" s="73"/>
      <c r="AD679" s="73"/>
      <c r="AE679" s="73"/>
      <c r="AF679" s="73"/>
      <c r="AG679" s="73"/>
      <c r="AH679" s="73"/>
      <c r="AI679" s="74"/>
    </row>
    <row r="680" spans="26:35" ht="14.25" customHeight="1" x14ac:dyDescent="0.2">
      <c r="Z680" s="72"/>
      <c r="AA680" s="73"/>
      <c r="AB680" s="73"/>
      <c r="AC680" s="73"/>
      <c r="AD680" s="73"/>
      <c r="AE680" s="73"/>
      <c r="AF680" s="73"/>
      <c r="AG680" s="73"/>
      <c r="AH680" s="73"/>
      <c r="AI680" s="74"/>
    </row>
    <row r="681" spans="26:35" ht="14.25" customHeight="1" x14ac:dyDescent="0.2">
      <c r="Z681" s="72"/>
      <c r="AA681" s="73"/>
      <c r="AB681" s="73"/>
      <c r="AC681" s="73"/>
      <c r="AD681" s="73"/>
      <c r="AE681" s="73"/>
      <c r="AF681" s="73"/>
      <c r="AG681" s="73"/>
      <c r="AH681" s="73"/>
      <c r="AI681" s="74"/>
    </row>
    <row r="682" spans="26:35" ht="14.25" customHeight="1" x14ac:dyDescent="0.2">
      <c r="Z682" s="72"/>
      <c r="AA682" s="73"/>
      <c r="AB682" s="73"/>
      <c r="AC682" s="73"/>
      <c r="AD682" s="73"/>
      <c r="AE682" s="73"/>
      <c r="AF682" s="73"/>
      <c r="AG682" s="73"/>
      <c r="AH682" s="73"/>
      <c r="AI682" s="74"/>
    </row>
    <row r="683" spans="26:35" ht="14.25" customHeight="1" x14ac:dyDescent="0.2">
      <c r="Z683" s="72"/>
      <c r="AA683" s="73"/>
      <c r="AB683" s="73"/>
      <c r="AC683" s="73"/>
      <c r="AD683" s="73"/>
      <c r="AE683" s="73"/>
      <c r="AF683" s="73"/>
      <c r="AG683" s="73"/>
      <c r="AH683" s="73"/>
      <c r="AI683" s="74"/>
    </row>
    <row r="684" spans="26:35" ht="14.25" customHeight="1" x14ac:dyDescent="0.2">
      <c r="Z684" s="72"/>
      <c r="AA684" s="73"/>
      <c r="AB684" s="73"/>
      <c r="AC684" s="73"/>
      <c r="AD684" s="73"/>
      <c r="AE684" s="73"/>
      <c r="AF684" s="73"/>
      <c r="AG684" s="73"/>
      <c r="AH684" s="73"/>
      <c r="AI684" s="74"/>
    </row>
    <row r="685" spans="26:35" ht="14.25" customHeight="1" x14ac:dyDescent="0.2">
      <c r="Z685" s="72"/>
      <c r="AA685" s="73"/>
      <c r="AB685" s="73"/>
      <c r="AC685" s="73"/>
      <c r="AD685" s="73"/>
      <c r="AE685" s="73"/>
      <c r="AF685" s="73"/>
      <c r="AG685" s="73"/>
      <c r="AH685" s="73"/>
      <c r="AI685" s="74"/>
    </row>
    <row r="686" spans="26:35" ht="14.25" customHeight="1" x14ac:dyDescent="0.2">
      <c r="Z686" s="72"/>
      <c r="AA686" s="73"/>
      <c r="AB686" s="73"/>
      <c r="AC686" s="73"/>
      <c r="AD686" s="73"/>
      <c r="AE686" s="73"/>
      <c r="AF686" s="73"/>
      <c r="AG686" s="73"/>
      <c r="AH686" s="73"/>
      <c r="AI686" s="74"/>
    </row>
    <row r="687" spans="26:35" ht="14.25" customHeight="1" x14ac:dyDescent="0.2">
      <c r="Z687" s="72"/>
      <c r="AA687" s="73"/>
      <c r="AB687" s="73"/>
      <c r="AC687" s="73"/>
      <c r="AD687" s="73"/>
      <c r="AE687" s="73"/>
      <c r="AF687" s="73"/>
      <c r="AG687" s="73"/>
      <c r="AH687" s="73"/>
      <c r="AI687" s="74"/>
    </row>
    <row r="688" spans="26:35" ht="14.25" customHeight="1" x14ac:dyDescent="0.2">
      <c r="Z688" s="72"/>
      <c r="AA688" s="73"/>
      <c r="AB688" s="73"/>
      <c r="AC688" s="73"/>
      <c r="AD688" s="73"/>
      <c r="AE688" s="73"/>
      <c r="AF688" s="73"/>
      <c r="AG688" s="73"/>
      <c r="AH688" s="73"/>
      <c r="AI688" s="74"/>
    </row>
    <row r="689" spans="26:35" ht="14.25" customHeight="1" x14ac:dyDescent="0.2">
      <c r="Z689" s="72"/>
      <c r="AA689" s="73"/>
      <c r="AB689" s="73"/>
      <c r="AC689" s="73"/>
      <c r="AD689" s="73"/>
      <c r="AE689" s="73"/>
      <c r="AF689" s="73"/>
      <c r="AG689" s="73"/>
      <c r="AH689" s="73"/>
      <c r="AI689" s="74"/>
    </row>
    <row r="690" spans="26:35" ht="14.25" customHeight="1" x14ac:dyDescent="0.2">
      <c r="Z690" s="72"/>
      <c r="AA690" s="73"/>
      <c r="AB690" s="73"/>
      <c r="AC690" s="73"/>
      <c r="AD690" s="73"/>
      <c r="AE690" s="73"/>
      <c r="AF690" s="73"/>
      <c r="AG690" s="73"/>
      <c r="AH690" s="73"/>
      <c r="AI690" s="74"/>
    </row>
    <row r="691" spans="26:35" ht="14.25" customHeight="1" x14ac:dyDescent="0.2">
      <c r="Z691" s="72"/>
      <c r="AA691" s="73"/>
      <c r="AB691" s="73"/>
      <c r="AC691" s="73"/>
      <c r="AD691" s="73"/>
      <c r="AE691" s="73"/>
      <c r="AF691" s="73"/>
      <c r="AG691" s="73"/>
      <c r="AH691" s="73"/>
      <c r="AI691" s="74"/>
    </row>
    <row r="692" spans="26:35" ht="14.25" customHeight="1" x14ac:dyDescent="0.2">
      <c r="Z692" s="72"/>
      <c r="AA692" s="73"/>
      <c r="AB692" s="73"/>
      <c r="AC692" s="73"/>
      <c r="AD692" s="73"/>
      <c r="AE692" s="73"/>
      <c r="AF692" s="73"/>
      <c r="AG692" s="73"/>
      <c r="AH692" s="73"/>
      <c r="AI692" s="74"/>
    </row>
    <row r="693" spans="26:35" ht="14.25" customHeight="1" x14ac:dyDescent="0.2">
      <c r="Z693" s="72"/>
      <c r="AA693" s="73"/>
      <c r="AB693" s="73"/>
      <c r="AC693" s="73"/>
      <c r="AD693" s="73"/>
      <c r="AE693" s="73"/>
      <c r="AF693" s="73"/>
      <c r="AG693" s="73"/>
      <c r="AH693" s="73"/>
      <c r="AI693" s="74"/>
    </row>
    <row r="694" spans="26:35" ht="14.25" customHeight="1" x14ac:dyDescent="0.2">
      <c r="Z694" s="72"/>
      <c r="AA694" s="73"/>
      <c r="AB694" s="73"/>
      <c r="AC694" s="73"/>
      <c r="AD694" s="73"/>
      <c r="AE694" s="73"/>
      <c r="AF694" s="73"/>
      <c r="AG694" s="73"/>
      <c r="AH694" s="73"/>
      <c r="AI694" s="74"/>
    </row>
    <row r="695" spans="26:35" ht="14.25" customHeight="1" x14ac:dyDescent="0.2">
      <c r="Z695" s="72"/>
      <c r="AA695" s="73"/>
      <c r="AB695" s="73"/>
      <c r="AC695" s="73"/>
      <c r="AD695" s="73"/>
      <c r="AE695" s="73"/>
      <c r="AF695" s="73"/>
      <c r="AG695" s="73"/>
      <c r="AH695" s="73"/>
      <c r="AI695" s="74"/>
    </row>
    <row r="696" spans="26:35" ht="14.25" customHeight="1" x14ac:dyDescent="0.2">
      <c r="Z696" s="72"/>
      <c r="AA696" s="73"/>
      <c r="AB696" s="73"/>
      <c r="AC696" s="73"/>
      <c r="AD696" s="73"/>
      <c r="AE696" s="73"/>
      <c r="AF696" s="73"/>
      <c r="AG696" s="73"/>
      <c r="AH696" s="73"/>
      <c r="AI696" s="74"/>
    </row>
    <row r="697" spans="26:35" ht="14.25" customHeight="1" x14ac:dyDescent="0.2">
      <c r="Z697" s="72"/>
      <c r="AA697" s="73"/>
      <c r="AB697" s="73"/>
      <c r="AC697" s="73"/>
      <c r="AD697" s="73"/>
      <c r="AE697" s="73"/>
      <c r="AF697" s="73"/>
      <c r="AG697" s="73"/>
      <c r="AH697" s="73"/>
      <c r="AI697" s="74"/>
    </row>
    <row r="698" spans="26:35" ht="14.25" customHeight="1" x14ac:dyDescent="0.2">
      <c r="Z698" s="72"/>
      <c r="AA698" s="73"/>
      <c r="AB698" s="73"/>
      <c r="AC698" s="73"/>
      <c r="AD698" s="73"/>
      <c r="AE698" s="73"/>
      <c r="AF698" s="73"/>
      <c r="AG698" s="73"/>
      <c r="AH698" s="73"/>
      <c r="AI698" s="74"/>
    </row>
    <row r="699" spans="26:35" ht="14.25" customHeight="1" x14ac:dyDescent="0.2">
      <c r="Z699" s="72"/>
      <c r="AA699" s="73"/>
      <c r="AB699" s="73"/>
      <c r="AC699" s="73"/>
      <c r="AD699" s="73"/>
      <c r="AE699" s="73"/>
      <c r="AF699" s="73"/>
      <c r="AG699" s="73"/>
      <c r="AH699" s="73"/>
      <c r="AI699" s="74"/>
    </row>
    <row r="700" spans="26:35" ht="14.25" customHeight="1" x14ac:dyDescent="0.2">
      <c r="Z700" s="72"/>
      <c r="AA700" s="73"/>
      <c r="AB700" s="73"/>
      <c r="AC700" s="73"/>
      <c r="AD700" s="73"/>
      <c r="AE700" s="73"/>
      <c r="AF700" s="73"/>
      <c r="AG700" s="73"/>
      <c r="AH700" s="73"/>
      <c r="AI700" s="74"/>
    </row>
    <row r="701" spans="26:35" ht="14.25" customHeight="1" x14ac:dyDescent="0.2">
      <c r="Z701" s="72"/>
      <c r="AA701" s="73"/>
      <c r="AB701" s="73"/>
      <c r="AC701" s="73"/>
      <c r="AD701" s="73"/>
      <c r="AE701" s="73"/>
      <c r="AF701" s="73"/>
      <c r="AG701" s="73"/>
      <c r="AH701" s="73"/>
      <c r="AI701" s="74"/>
    </row>
    <row r="702" spans="26:35" ht="14.25" customHeight="1" x14ac:dyDescent="0.2">
      <c r="Z702" s="72"/>
      <c r="AA702" s="73"/>
      <c r="AB702" s="73"/>
      <c r="AC702" s="73"/>
      <c r="AD702" s="73"/>
      <c r="AE702" s="73"/>
      <c r="AF702" s="73"/>
      <c r="AG702" s="73"/>
      <c r="AH702" s="73"/>
      <c r="AI702" s="74"/>
    </row>
    <row r="703" spans="26:35" ht="14.25" customHeight="1" x14ac:dyDescent="0.2">
      <c r="Z703" s="72"/>
      <c r="AA703" s="73"/>
      <c r="AB703" s="73"/>
      <c r="AC703" s="73"/>
      <c r="AD703" s="73"/>
      <c r="AE703" s="73"/>
      <c r="AF703" s="73"/>
      <c r="AG703" s="73"/>
      <c r="AH703" s="73"/>
      <c r="AI703" s="74"/>
    </row>
    <row r="704" spans="26:35" ht="14.25" customHeight="1" x14ac:dyDescent="0.2">
      <c r="Z704" s="72"/>
      <c r="AA704" s="73"/>
      <c r="AB704" s="73"/>
      <c r="AC704" s="73"/>
      <c r="AD704" s="73"/>
      <c r="AE704" s="73"/>
      <c r="AF704" s="73"/>
      <c r="AG704" s="73"/>
      <c r="AH704" s="73"/>
      <c r="AI704" s="74"/>
    </row>
    <row r="705" spans="26:35" ht="14.25" customHeight="1" x14ac:dyDescent="0.2">
      <c r="Z705" s="72"/>
      <c r="AA705" s="73"/>
      <c r="AB705" s="73"/>
      <c r="AC705" s="73"/>
      <c r="AD705" s="73"/>
      <c r="AE705" s="73"/>
      <c r="AF705" s="73"/>
      <c r="AG705" s="73"/>
      <c r="AH705" s="73"/>
      <c r="AI705" s="74"/>
    </row>
    <row r="706" spans="26:35" ht="14.25" customHeight="1" x14ac:dyDescent="0.2">
      <c r="Z706" s="72"/>
      <c r="AA706" s="73"/>
      <c r="AB706" s="73"/>
      <c r="AC706" s="73"/>
      <c r="AD706" s="73"/>
      <c r="AE706" s="73"/>
      <c r="AF706" s="73"/>
      <c r="AG706" s="73"/>
      <c r="AH706" s="73"/>
      <c r="AI706" s="74"/>
    </row>
    <row r="707" spans="26:35" ht="14.25" customHeight="1" x14ac:dyDescent="0.2">
      <c r="Z707" s="72"/>
      <c r="AA707" s="73"/>
      <c r="AB707" s="73"/>
      <c r="AC707" s="73"/>
      <c r="AD707" s="73"/>
      <c r="AE707" s="73"/>
      <c r="AF707" s="73"/>
      <c r="AG707" s="73"/>
      <c r="AH707" s="73"/>
      <c r="AI707" s="74"/>
    </row>
    <row r="708" spans="26:35" ht="14.25" customHeight="1" x14ac:dyDescent="0.2">
      <c r="Z708" s="72"/>
      <c r="AA708" s="73"/>
      <c r="AB708" s="73"/>
      <c r="AC708" s="73"/>
      <c r="AD708" s="73"/>
      <c r="AE708" s="73"/>
      <c r="AF708" s="73"/>
      <c r="AG708" s="73"/>
      <c r="AH708" s="73"/>
      <c r="AI708" s="74"/>
    </row>
    <row r="709" spans="26:35" ht="14.25" customHeight="1" x14ac:dyDescent="0.2">
      <c r="Z709" s="72"/>
      <c r="AA709" s="73"/>
      <c r="AB709" s="73"/>
      <c r="AC709" s="73"/>
      <c r="AD709" s="73"/>
      <c r="AE709" s="73"/>
      <c r="AF709" s="73"/>
      <c r="AG709" s="73"/>
      <c r="AH709" s="73"/>
      <c r="AI709" s="74"/>
    </row>
    <row r="710" spans="26:35" ht="14.25" customHeight="1" x14ac:dyDescent="0.2">
      <c r="Z710" s="72"/>
      <c r="AA710" s="73"/>
      <c r="AB710" s="73"/>
      <c r="AC710" s="73"/>
      <c r="AD710" s="73"/>
      <c r="AE710" s="73"/>
      <c r="AF710" s="73"/>
      <c r="AG710" s="73"/>
      <c r="AH710" s="73"/>
      <c r="AI710" s="74"/>
    </row>
    <row r="711" spans="26:35" ht="14.25" customHeight="1" x14ac:dyDescent="0.2">
      <c r="Z711" s="72"/>
      <c r="AA711" s="73"/>
      <c r="AB711" s="73"/>
      <c r="AC711" s="73"/>
      <c r="AD711" s="73"/>
      <c r="AE711" s="73"/>
      <c r="AF711" s="73"/>
      <c r="AG711" s="73"/>
      <c r="AH711" s="73"/>
      <c r="AI711" s="74"/>
    </row>
    <row r="712" spans="26:35" ht="14.25" customHeight="1" x14ac:dyDescent="0.2">
      <c r="Z712" s="72"/>
      <c r="AA712" s="73"/>
      <c r="AB712" s="73"/>
      <c r="AC712" s="73"/>
      <c r="AD712" s="73"/>
      <c r="AE712" s="73"/>
      <c r="AF712" s="73"/>
      <c r="AG712" s="73"/>
      <c r="AH712" s="73"/>
      <c r="AI712" s="74"/>
    </row>
    <row r="713" spans="26:35" ht="14.25" customHeight="1" x14ac:dyDescent="0.2">
      <c r="Z713" s="72"/>
      <c r="AA713" s="73"/>
      <c r="AB713" s="73"/>
      <c r="AC713" s="73"/>
      <c r="AD713" s="73"/>
      <c r="AE713" s="73"/>
      <c r="AF713" s="73"/>
      <c r="AG713" s="73"/>
      <c r="AH713" s="73"/>
      <c r="AI713" s="74"/>
    </row>
    <row r="714" spans="26:35" ht="14.25" customHeight="1" x14ac:dyDescent="0.2">
      <c r="Z714" s="72"/>
      <c r="AA714" s="73"/>
      <c r="AB714" s="73"/>
      <c r="AC714" s="73"/>
      <c r="AD714" s="73"/>
      <c r="AE714" s="73"/>
      <c r="AF714" s="73"/>
      <c r="AG714" s="73"/>
      <c r="AH714" s="73"/>
      <c r="AI714" s="74"/>
    </row>
    <row r="715" spans="26:35" ht="14.25" customHeight="1" x14ac:dyDescent="0.2">
      <c r="Z715" s="72"/>
      <c r="AA715" s="73"/>
      <c r="AB715" s="73"/>
      <c r="AC715" s="73"/>
      <c r="AD715" s="73"/>
      <c r="AE715" s="73"/>
      <c r="AF715" s="73"/>
      <c r="AG715" s="73"/>
      <c r="AH715" s="73"/>
      <c r="AI715" s="74"/>
    </row>
    <row r="716" spans="26:35" ht="14.25" customHeight="1" x14ac:dyDescent="0.2">
      <c r="Z716" s="72"/>
      <c r="AA716" s="73"/>
      <c r="AB716" s="73"/>
      <c r="AC716" s="73"/>
      <c r="AD716" s="73"/>
      <c r="AE716" s="73"/>
      <c r="AF716" s="73"/>
      <c r="AG716" s="73"/>
      <c r="AH716" s="73"/>
      <c r="AI716" s="74"/>
    </row>
    <row r="717" spans="26:35" ht="14.25" customHeight="1" x14ac:dyDescent="0.2">
      <c r="Z717" s="72"/>
      <c r="AA717" s="73"/>
      <c r="AB717" s="73"/>
      <c r="AC717" s="73"/>
      <c r="AD717" s="73"/>
      <c r="AE717" s="73"/>
      <c r="AF717" s="73"/>
      <c r="AG717" s="73"/>
      <c r="AH717" s="73"/>
      <c r="AI717" s="74"/>
    </row>
    <row r="718" spans="26:35" ht="14.25" customHeight="1" x14ac:dyDescent="0.2">
      <c r="Z718" s="72"/>
      <c r="AA718" s="73"/>
      <c r="AB718" s="73"/>
      <c r="AC718" s="73"/>
      <c r="AD718" s="73"/>
      <c r="AE718" s="73"/>
      <c r="AF718" s="73"/>
      <c r="AG718" s="73"/>
      <c r="AH718" s="73"/>
      <c r="AI718" s="74"/>
    </row>
    <row r="719" spans="26:35" ht="14.25" customHeight="1" x14ac:dyDescent="0.2">
      <c r="Z719" s="72"/>
      <c r="AA719" s="73"/>
      <c r="AB719" s="73"/>
      <c r="AC719" s="73"/>
      <c r="AD719" s="73"/>
      <c r="AE719" s="73"/>
      <c r="AF719" s="73"/>
      <c r="AG719" s="73"/>
      <c r="AH719" s="73"/>
      <c r="AI719" s="74"/>
    </row>
    <row r="720" spans="26:35" ht="14.25" customHeight="1" x14ac:dyDescent="0.2">
      <c r="Z720" s="72"/>
      <c r="AA720" s="73"/>
      <c r="AB720" s="73"/>
      <c r="AC720" s="73"/>
      <c r="AD720" s="73"/>
      <c r="AE720" s="73"/>
      <c r="AF720" s="73"/>
      <c r="AG720" s="73"/>
      <c r="AH720" s="73"/>
      <c r="AI720" s="74"/>
    </row>
    <row r="721" spans="26:35" ht="14.25" customHeight="1" x14ac:dyDescent="0.2">
      <c r="Z721" s="72"/>
      <c r="AA721" s="73"/>
      <c r="AB721" s="73"/>
      <c r="AC721" s="73"/>
      <c r="AD721" s="73"/>
      <c r="AE721" s="73"/>
      <c r="AF721" s="73"/>
      <c r="AG721" s="73"/>
      <c r="AH721" s="73"/>
      <c r="AI721" s="74"/>
    </row>
    <row r="722" spans="26:35" ht="14.25" customHeight="1" x14ac:dyDescent="0.2">
      <c r="Z722" s="72"/>
      <c r="AA722" s="73"/>
      <c r="AB722" s="73"/>
      <c r="AC722" s="73"/>
      <c r="AD722" s="73"/>
      <c r="AE722" s="73"/>
      <c r="AF722" s="73"/>
      <c r="AG722" s="73"/>
      <c r="AH722" s="73"/>
      <c r="AI722" s="74"/>
    </row>
    <row r="723" spans="26:35" ht="14.25" customHeight="1" x14ac:dyDescent="0.2">
      <c r="Z723" s="72"/>
      <c r="AA723" s="73"/>
      <c r="AB723" s="73"/>
      <c r="AC723" s="73"/>
      <c r="AD723" s="73"/>
      <c r="AE723" s="73"/>
      <c r="AF723" s="73"/>
      <c r="AG723" s="73"/>
      <c r="AH723" s="73"/>
      <c r="AI723" s="74"/>
    </row>
    <row r="724" spans="26:35" ht="14.25" customHeight="1" x14ac:dyDescent="0.2">
      <c r="Z724" s="72"/>
      <c r="AA724" s="73"/>
      <c r="AB724" s="73"/>
      <c r="AC724" s="73"/>
      <c r="AD724" s="73"/>
      <c r="AE724" s="73"/>
      <c r="AF724" s="73"/>
      <c r="AG724" s="73"/>
      <c r="AH724" s="73"/>
      <c r="AI724" s="74"/>
    </row>
    <row r="725" spans="26:35" ht="14.25" customHeight="1" x14ac:dyDescent="0.2">
      <c r="Z725" s="72"/>
      <c r="AA725" s="73"/>
      <c r="AB725" s="73"/>
      <c r="AC725" s="73"/>
      <c r="AD725" s="73"/>
      <c r="AE725" s="73"/>
      <c r="AF725" s="73"/>
      <c r="AG725" s="73"/>
      <c r="AH725" s="73"/>
      <c r="AI725" s="74"/>
    </row>
    <row r="726" spans="26:35" ht="14.25" customHeight="1" x14ac:dyDescent="0.2">
      <c r="Z726" s="72"/>
      <c r="AA726" s="73"/>
      <c r="AB726" s="73"/>
      <c r="AC726" s="73"/>
      <c r="AD726" s="73"/>
      <c r="AE726" s="73"/>
      <c r="AF726" s="73"/>
      <c r="AG726" s="73"/>
      <c r="AH726" s="73"/>
      <c r="AI726" s="74"/>
    </row>
    <row r="727" spans="26:35" ht="14.25" customHeight="1" x14ac:dyDescent="0.2">
      <c r="Z727" s="72"/>
      <c r="AA727" s="73"/>
      <c r="AB727" s="73"/>
      <c r="AC727" s="73"/>
      <c r="AD727" s="73"/>
      <c r="AE727" s="73"/>
      <c r="AF727" s="73"/>
      <c r="AG727" s="73"/>
      <c r="AH727" s="73"/>
      <c r="AI727" s="74"/>
    </row>
    <row r="728" spans="26:35" ht="14.25" customHeight="1" x14ac:dyDescent="0.2">
      <c r="Z728" s="72"/>
      <c r="AA728" s="73"/>
      <c r="AB728" s="73"/>
      <c r="AC728" s="73"/>
      <c r="AD728" s="73"/>
      <c r="AE728" s="73"/>
      <c r="AF728" s="73"/>
      <c r="AG728" s="73"/>
      <c r="AH728" s="73"/>
      <c r="AI728" s="74"/>
    </row>
    <row r="729" spans="26:35" ht="14.25" customHeight="1" x14ac:dyDescent="0.2">
      <c r="Z729" s="72"/>
      <c r="AA729" s="73"/>
      <c r="AB729" s="73"/>
      <c r="AC729" s="73"/>
      <c r="AD729" s="73"/>
      <c r="AE729" s="73"/>
      <c r="AF729" s="73"/>
      <c r="AG729" s="73"/>
      <c r="AH729" s="73"/>
      <c r="AI729" s="74"/>
    </row>
    <row r="730" spans="26:35" ht="14.25" customHeight="1" x14ac:dyDescent="0.2">
      <c r="Z730" s="72"/>
      <c r="AA730" s="73"/>
      <c r="AB730" s="73"/>
      <c r="AC730" s="73"/>
      <c r="AD730" s="73"/>
      <c r="AE730" s="73"/>
      <c r="AF730" s="73"/>
      <c r="AG730" s="73"/>
      <c r="AH730" s="73"/>
      <c r="AI730" s="74"/>
    </row>
    <row r="731" spans="26:35" ht="14.25" customHeight="1" x14ac:dyDescent="0.2">
      <c r="Z731" s="72"/>
      <c r="AA731" s="73"/>
      <c r="AB731" s="73"/>
      <c r="AC731" s="73"/>
      <c r="AD731" s="73"/>
      <c r="AE731" s="73"/>
      <c r="AF731" s="73"/>
      <c r="AG731" s="73"/>
      <c r="AH731" s="73"/>
      <c r="AI731" s="74"/>
    </row>
    <row r="732" spans="26:35" ht="14.25" customHeight="1" x14ac:dyDescent="0.2">
      <c r="Z732" s="72"/>
      <c r="AA732" s="73"/>
      <c r="AB732" s="73"/>
      <c r="AC732" s="73"/>
      <c r="AD732" s="73"/>
      <c r="AE732" s="73"/>
      <c r="AF732" s="73"/>
      <c r="AG732" s="73"/>
      <c r="AH732" s="73"/>
      <c r="AI732" s="74"/>
    </row>
    <row r="733" spans="26:35" ht="14.25" customHeight="1" x14ac:dyDescent="0.2">
      <c r="Z733" s="72"/>
      <c r="AA733" s="73"/>
      <c r="AB733" s="73"/>
      <c r="AC733" s="73"/>
      <c r="AD733" s="73"/>
      <c r="AE733" s="73"/>
      <c r="AF733" s="73"/>
      <c r="AG733" s="73"/>
      <c r="AH733" s="73"/>
      <c r="AI733" s="74"/>
    </row>
    <row r="734" spans="26:35" ht="14.25" customHeight="1" x14ac:dyDescent="0.2">
      <c r="Z734" s="72"/>
      <c r="AA734" s="73"/>
      <c r="AB734" s="73"/>
      <c r="AC734" s="73"/>
      <c r="AD734" s="73"/>
      <c r="AE734" s="73"/>
      <c r="AF734" s="73"/>
      <c r="AG734" s="73"/>
      <c r="AH734" s="73"/>
      <c r="AI734" s="74"/>
    </row>
    <row r="735" spans="26:35" ht="14.25" customHeight="1" x14ac:dyDescent="0.2">
      <c r="Z735" s="72"/>
      <c r="AA735" s="73"/>
      <c r="AB735" s="73"/>
      <c r="AC735" s="73"/>
      <c r="AD735" s="73"/>
      <c r="AE735" s="73"/>
      <c r="AF735" s="73"/>
      <c r="AG735" s="73"/>
      <c r="AH735" s="73"/>
      <c r="AI735" s="74"/>
    </row>
    <row r="736" spans="26:35" ht="14.25" customHeight="1" x14ac:dyDescent="0.2">
      <c r="Z736" s="72"/>
      <c r="AA736" s="73"/>
      <c r="AB736" s="73"/>
      <c r="AC736" s="73"/>
      <c r="AD736" s="73"/>
      <c r="AE736" s="73"/>
      <c r="AF736" s="73"/>
      <c r="AG736" s="73"/>
      <c r="AH736" s="73"/>
      <c r="AI736" s="74"/>
    </row>
    <row r="737" spans="26:35" ht="14.25" customHeight="1" x14ac:dyDescent="0.2">
      <c r="Z737" s="72"/>
      <c r="AA737" s="73"/>
      <c r="AB737" s="73"/>
      <c r="AC737" s="73"/>
      <c r="AD737" s="73"/>
      <c r="AE737" s="73"/>
      <c r="AF737" s="73"/>
      <c r="AG737" s="73"/>
      <c r="AH737" s="73"/>
      <c r="AI737" s="74"/>
    </row>
    <row r="738" spans="26:35" ht="14.25" customHeight="1" x14ac:dyDescent="0.2">
      <c r="Z738" s="72"/>
      <c r="AA738" s="73"/>
      <c r="AB738" s="73"/>
      <c r="AC738" s="73"/>
      <c r="AD738" s="73"/>
      <c r="AE738" s="73"/>
      <c r="AF738" s="73"/>
      <c r="AG738" s="73"/>
      <c r="AH738" s="73"/>
      <c r="AI738" s="74"/>
    </row>
    <row r="739" spans="26:35" ht="14.25" customHeight="1" x14ac:dyDescent="0.2">
      <c r="Z739" s="72"/>
      <c r="AA739" s="73"/>
      <c r="AB739" s="73"/>
      <c r="AC739" s="73"/>
      <c r="AD739" s="73"/>
      <c r="AE739" s="73"/>
      <c r="AF739" s="73"/>
      <c r="AG739" s="73"/>
      <c r="AH739" s="73"/>
      <c r="AI739" s="74"/>
    </row>
    <row r="740" spans="26:35" ht="14.25" customHeight="1" x14ac:dyDescent="0.2">
      <c r="Z740" s="72"/>
      <c r="AA740" s="73"/>
      <c r="AB740" s="73"/>
      <c r="AC740" s="73"/>
      <c r="AD740" s="73"/>
      <c r="AE740" s="73"/>
      <c r="AF740" s="73"/>
      <c r="AG740" s="73"/>
      <c r="AH740" s="73"/>
      <c r="AI740" s="74"/>
    </row>
    <row r="741" spans="26:35" ht="14.25" customHeight="1" x14ac:dyDescent="0.2">
      <c r="Z741" s="72"/>
      <c r="AA741" s="73"/>
      <c r="AB741" s="73"/>
      <c r="AC741" s="73"/>
      <c r="AD741" s="73"/>
      <c r="AE741" s="73"/>
      <c r="AF741" s="73"/>
      <c r="AG741" s="73"/>
      <c r="AH741" s="73"/>
      <c r="AI741" s="74"/>
    </row>
    <row r="742" spans="26:35" ht="14.25" customHeight="1" x14ac:dyDescent="0.2">
      <c r="Z742" s="72"/>
      <c r="AA742" s="73"/>
      <c r="AB742" s="73"/>
      <c r="AC742" s="73"/>
      <c r="AD742" s="73"/>
      <c r="AE742" s="73"/>
      <c r="AF742" s="73"/>
      <c r="AG742" s="73"/>
      <c r="AH742" s="73"/>
      <c r="AI742" s="74"/>
    </row>
    <row r="743" spans="26:35" ht="14.25" customHeight="1" x14ac:dyDescent="0.2">
      <c r="Z743" s="72"/>
      <c r="AA743" s="73"/>
      <c r="AB743" s="73"/>
      <c r="AC743" s="73"/>
      <c r="AD743" s="73"/>
      <c r="AE743" s="73"/>
      <c r="AF743" s="73"/>
      <c r="AG743" s="73"/>
      <c r="AH743" s="73"/>
      <c r="AI743" s="74"/>
    </row>
    <row r="744" spans="26:35" ht="14.25" customHeight="1" x14ac:dyDescent="0.2">
      <c r="Z744" s="72"/>
      <c r="AA744" s="73"/>
      <c r="AB744" s="73"/>
      <c r="AC744" s="73"/>
      <c r="AD744" s="73"/>
      <c r="AE744" s="73"/>
      <c r="AF744" s="73"/>
      <c r="AG744" s="73"/>
      <c r="AH744" s="73"/>
      <c r="AI744" s="74"/>
    </row>
    <row r="745" spans="26:35" ht="14.25" customHeight="1" x14ac:dyDescent="0.2">
      <c r="Z745" s="72"/>
      <c r="AA745" s="73"/>
      <c r="AB745" s="73"/>
      <c r="AC745" s="73"/>
      <c r="AD745" s="73"/>
      <c r="AE745" s="73"/>
      <c r="AF745" s="73"/>
      <c r="AG745" s="73"/>
      <c r="AH745" s="73"/>
      <c r="AI745" s="74"/>
    </row>
    <row r="746" spans="26:35" ht="14.25" customHeight="1" x14ac:dyDescent="0.2">
      <c r="Z746" s="72"/>
      <c r="AA746" s="73"/>
      <c r="AB746" s="73"/>
      <c r="AC746" s="73"/>
      <c r="AD746" s="73"/>
      <c r="AE746" s="73"/>
      <c r="AF746" s="73"/>
      <c r="AG746" s="73"/>
      <c r="AH746" s="73"/>
      <c r="AI746" s="74"/>
    </row>
    <row r="747" spans="26:35" ht="14.25" customHeight="1" x14ac:dyDescent="0.2">
      <c r="Z747" s="72"/>
      <c r="AA747" s="73"/>
      <c r="AB747" s="73"/>
      <c r="AC747" s="73"/>
      <c r="AD747" s="73"/>
      <c r="AE747" s="73"/>
      <c r="AF747" s="73"/>
      <c r="AG747" s="73"/>
      <c r="AH747" s="73"/>
      <c r="AI747" s="74"/>
    </row>
    <row r="748" spans="26:35" ht="14.25" customHeight="1" x14ac:dyDescent="0.2">
      <c r="Z748" s="72"/>
      <c r="AA748" s="73"/>
      <c r="AB748" s="73"/>
      <c r="AC748" s="73"/>
      <c r="AD748" s="73"/>
      <c r="AE748" s="73"/>
      <c r="AF748" s="73"/>
      <c r="AG748" s="73"/>
      <c r="AH748" s="73"/>
      <c r="AI748" s="74"/>
    </row>
    <row r="749" spans="26:35" ht="14.25" customHeight="1" x14ac:dyDescent="0.2">
      <c r="Z749" s="72"/>
      <c r="AA749" s="73"/>
      <c r="AB749" s="73"/>
      <c r="AC749" s="73"/>
      <c r="AD749" s="73"/>
      <c r="AE749" s="73"/>
      <c r="AF749" s="73"/>
      <c r="AG749" s="73"/>
      <c r="AH749" s="73"/>
      <c r="AI749" s="74"/>
    </row>
    <row r="750" spans="26:35" ht="14.25" customHeight="1" x14ac:dyDescent="0.2">
      <c r="Z750" s="72"/>
      <c r="AA750" s="73"/>
      <c r="AB750" s="73"/>
      <c r="AC750" s="73"/>
      <c r="AD750" s="73"/>
      <c r="AE750" s="73"/>
      <c r="AF750" s="73"/>
      <c r="AG750" s="73"/>
      <c r="AH750" s="73"/>
      <c r="AI750" s="74"/>
    </row>
    <row r="751" spans="26:35" ht="14.25" customHeight="1" x14ac:dyDescent="0.2">
      <c r="Z751" s="72"/>
      <c r="AA751" s="73"/>
      <c r="AB751" s="73"/>
      <c r="AC751" s="73"/>
      <c r="AD751" s="73"/>
      <c r="AE751" s="73"/>
      <c r="AF751" s="73"/>
      <c r="AG751" s="73"/>
      <c r="AH751" s="73"/>
      <c r="AI751" s="74"/>
    </row>
    <row r="752" spans="26:35" ht="14.25" customHeight="1" x14ac:dyDescent="0.2">
      <c r="Z752" s="72"/>
      <c r="AA752" s="73"/>
      <c r="AB752" s="73"/>
      <c r="AC752" s="73"/>
      <c r="AD752" s="73"/>
      <c r="AE752" s="73"/>
      <c r="AF752" s="73"/>
      <c r="AG752" s="73"/>
      <c r="AH752" s="73"/>
      <c r="AI752" s="74"/>
    </row>
    <row r="753" spans="26:35" ht="14.25" customHeight="1" x14ac:dyDescent="0.2">
      <c r="Z753" s="72"/>
      <c r="AA753" s="73"/>
      <c r="AB753" s="73"/>
      <c r="AC753" s="73"/>
      <c r="AD753" s="73"/>
      <c r="AE753" s="73"/>
      <c r="AF753" s="73"/>
      <c r="AG753" s="73"/>
      <c r="AH753" s="73"/>
      <c r="AI753" s="74"/>
    </row>
    <row r="754" spans="26:35" ht="14.25" customHeight="1" x14ac:dyDescent="0.2">
      <c r="Z754" s="72"/>
      <c r="AA754" s="73"/>
      <c r="AB754" s="73"/>
      <c r="AC754" s="73"/>
      <c r="AD754" s="73"/>
      <c r="AE754" s="73"/>
      <c r="AF754" s="73"/>
      <c r="AG754" s="73"/>
      <c r="AH754" s="73"/>
      <c r="AI754" s="74"/>
    </row>
    <row r="755" spans="26:35" ht="14.25" customHeight="1" x14ac:dyDescent="0.2">
      <c r="Z755" s="72"/>
      <c r="AA755" s="73"/>
      <c r="AB755" s="73"/>
      <c r="AC755" s="73"/>
      <c r="AD755" s="73"/>
      <c r="AE755" s="73"/>
      <c r="AF755" s="73"/>
      <c r="AG755" s="73"/>
      <c r="AH755" s="73"/>
      <c r="AI755" s="74"/>
    </row>
    <row r="756" spans="26:35" ht="14.25" customHeight="1" x14ac:dyDescent="0.2">
      <c r="Z756" s="72"/>
      <c r="AA756" s="73"/>
      <c r="AB756" s="73"/>
      <c r="AC756" s="73"/>
      <c r="AD756" s="73"/>
      <c r="AE756" s="73"/>
      <c r="AF756" s="73"/>
      <c r="AG756" s="73"/>
      <c r="AH756" s="73"/>
      <c r="AI756" s="74"/>
    </row>
    <row r="757" spans="26:35" ht="14.25" customHeight="1" x14ac:dyDescent="0.2">
      <c r="Z757" s="72"/>
      <c r="AA757" s="73"/>
      <c r="AB757" s="73"/>
      <c r="AC757" s="73"/>
      <c r="AD757" s="73"/>
      <c r="AE757" s="73"/>
      <c r="AF757" s="73"/>
      <c r="AG757" s="73"/>
      <c r="AH757" s="73"/>
      <c r="AI757" s="74"/>
    </row>
    <row r="758" spans="26:35" ht="14.25" customHeight="1" x14ac:dyDescent="0.2">
      <c r="Z758" s="72"/>
      <c r="AA758" s="73"/>
      <c r="AB758" s="73"/>
      <c r="AC758" s="73"/>
      <c r="AD758" s="73"/>
      <c r="AE758" s="73"/>
      <c r="AF758" s="73"/>
      <c r="AG758" s="73"/>
      <c r="AH758" s="73"/>
      <c r="AI758" s="74"/>
    </row>
    <row r="759" spans="26:35" ht="14.25" customHeight="1" x14ac:dyDescent="0.2">
      <c r="Z759" s="72"/>
      <c r="AA759" s="73"/>
      <c r="AB759" s="73"/>
      <c r="AC759" s="73"/>
      <c r="AD759" s="73"/>
      <c r="AE759" s="73"/>
      <c r="AF759" s="73"/>
      <c r="AG759" s="73"/>
      <c r="AH759" s="73"/>
      <c r="AI759" s="74"/>
    </row>
    <row r="760" spans="26:35" ht="14.25" customHeight="1" x14ac:dyDescent="0.2">
      <c r="Z760" s="72"/>
      <c r="AA760" s="73"/>
      <c r="AB760" s="73"/>
      <c r="AC760" s="73"/>
      <c r="AD760" s="73"/>
      <c r="AE760" s="73"/>
      <c r="AF760" s="73"/>
      <c r="AG760" s="73"/>
      <c r="AH760" s="73"/>
      <c r="AI760" s="74"/>
    </row>
    <row r="761" spans="26:35" ht="14.25" customHeight="1" x14ac:dyDescent="0.2">
      <c r="Z761" s="72"/>
      <c r="AA761" s="73"/>
      <c r="AB761" s="73"/>
      <c r="AC761" s="73"/>
      <c r="AD761" s="73"/>
      <c r="AE761" s="73"/>
      <c r="AF761" s="73"/>
      <c r="AG761" s="73"/>
      <c r="AH761" s="73"/>
      <c r="AI761" s="74"/>
    </row>
    <row r="762" spans="26:35" ht="14.25" customHeight="1" x14ac:dyDescent="0.2">
      <c r="Z762" s="72"/>
      <c r="AA762" s="73"/>
      <c r="AB762" s="73"/>
      <c r="AC762" s="73"/>
      <c r="AD762" s="73"/>
      <c r="AE762" s="73"/>
      <c r="AF762" s="73"/>
      <c r="AG762" s="73"/>
      <c r="AH762" s="73"/>
      <c r="AI762" s="74"/>
    </row>
    <row r="763" spans="26:35" ht="14.25" customHeight="1" x14ac:dyDescent="0.2">
      <c r="Z763" s="72"/>
      <c r="AA763" s="73"/>
      <c r="AB763" s="73"/>
      <c r="AC763" s="73"/>
      <c r="AD763" s="73"/>
      <c r="AE763" s="73"/>
      <c r="AF763" s="73"/>
      <c r="AG763" s="73"/>
      <c r="AH763" s="73"/>
      <c r="AI763" s="74"/>
    </row>
    <row r="764" spans="26:35" ht="14.25" customHeight="1" x14ac:dyDescent="0.2">
      <c r="Z764" s="72"/>
      <c r="AA764" s="73"/>
      <c r="AB764" s="73"/>
      <c r="AC764" s="73"/>
      <c r="AD764" s="73"/>
      <c r="AE764" s="73"/>
      <c r="AF764" s="73"/>
      <c r="AG764" s="73"/>
      <c r="AH764" s="73"/>
      <c r="AI764" s="74"/>
    </row>
    <row r="765" spans="26:35" ht="14.25" customHeight="1" x14ac:dyDescent="0.2">
      <c r="Z765" s="72"/>
      <c r="AA765" s="73"/>
      <c r="AB765" s="73"/>
      <c r="AC765" s="73"/>
      <c r="AD765" s="73"/>
      <c r="AE765" s="73"/>
      <c r="AF765" s="73"/>
      <c r="AG765" s="73"/>
      <c r="AH765" s="73"/>
      <c r="AI765" s="74"/>
    </row>
    <row r="766" spans="26:35" ht="14.25" customHeight="1" x14ac:dyDescent="0.2">
      <c r="Z766" s="72"/>
      <c r="AA766" s="73"/>
      <c r="AB766" s="73"/>
      <c r="AC766" s="73"/>
      <c r="AD766" s="73"/>
      <c r="AE766" s="73"/>
      <c r="AF766" s="73"/>
      <c r="AG766" s="73"/>
      <c r="AH766" s="73"/>
      <c r="AI766" s="74"/>
    </row>
    <row r="767" spans="26:35" ht="14.25" customHeight="1" x14ac:dyDescent="0.2">
      <c r="Z767" s="72"/>
      <c r="AA767" s="73"/>
      <c r="AB767" s="73"/>
      <c r="AC767" s="73"/>
      <c r="AD767" s="73"/>
      <c r="AE767" s="73"/>
      <c r="AF767" s="73"/>
      <c r="AG767" s="73"/>
      <c r="AH767" s="73"/>
      <c r="AI767" s="74"/>
    </row>
    <row r="768" spans="26:35" ht="14.25" customHeight="1" x14ac:dyDescent="0.2">
      <c r="Z768" s="72"/>
      <c r="AA768" s="73"/>
      <c r="AB768" s="73"/>
      <c r="AC768" s="73"/>
      <c r="AD768" s="73"/>
      <c r="AE768" s="73"/>
      <c r="AF768" s="73"/>
      <c r="AG768" s="73"/>
      <c r="AH768" s="73"/>
      <c r="AI768" s="74"/>
    </row>
    <row r="769" spans="26:35" ht="14.25" customHeight="1" x14ac:dyDescent="0.2">
      <c r="Z769" s="72"/>
      <c r="AA769" s="73"/>
      <c r="AB769" s="73"/>
      <c r="AC769" s="73"/>
      <c r="AD769" s="73"/>
      <c r="AE769" s="73"/>
      <c r="AF769" s="73"/>
      <c r="AG769" s="73"/>
      <c r="AH769" s="73"/>
      <c r="AI769" s="74"/>
    </row>
    <row r="770" spans="26:35" ht="14.25" customHeight="1" x14ac:dyDescent="0.2">
      <c r="Z770" s="72"/>
      <c r="AA770" s="73"/>
      <c r="AB770" s="73"/>
      <c r="AC770" s="73"/>
      <c r="AD770" s="73"/>
      <c r="AE770" s="73"/>
      <c r="AF770" s="73"/>
      <c r="AG770" s="73"/>
      <c r="AH770" s="73"/>
      <c r="AI770" s="74"/>
    </row>
    <row r="771" spans="26:35" ht="14.25" customHeight="1" x14ac:dyDescent="0.2">
      <c r="Z771" s="72"/>
      <c r="AA771" s="73"/>
      <c r="AB771" s="73"/>
      <c r="AC771" s="73"/>
      <c r="AD771" s="73"/>
      <c r="AE771" s="73"/>
      <c r="AF771" s="73"/>
      <c r="AG771" s="73"/>
      <c r="AH771" s="73"/>
      <c r="AI771" s="74"/>
    </row>
    <row r="772" spans="26:35" ht="14.25" customHeight="1" x14ac:dyDescent="0.2">
      <c r="Z772" s="72"/>
      <c r="AA772" s="73"/>
      <c r="AB772" s="73"/>
      <c r="AC772" s="73"/>
      <c r="AD772" s="73"/>
      <c r="AE772" s="73"/>
      <c r="AF772" s="73"/>
      <c r="AG772" s="73"/>
      <c r="AH772" s="73"/>
      <c r="AI772" s="74"/>
    </row>
    <row r="773" spans="26:35" ht="14.25" customHeight="1" x14ac:dyDescent="0.2">
      <c r="Z773" s="72"/>
      <c r="AA773" s="73"/>
      <c r="AB773" s="73"/>
      <c r="AC773" s="73"/>
      <c r="AD773" s="73"/>
      <c r="AE773" s="73"/>
      <c r="AF773" s="73"/>
      <c r="AG773" s="73"/>
      <c r="AH773" s="73"/>
      <c r="AI773" s="74"/>
    </row>
    <row r="774" spans="26:35" ht="14.25" customHeight="1" x14ac:dyDescent="0.2">
      <c r="Z774" s="72"/>
      <c r="AA774" s="73"/>
      <c r="AB774" s="73"/>
      <c r="AC774" s="73"/>
      <c r="AD774" s="73"/>
      <c r="AE774" s="73"/>
      <c r="AF774" s="73"/>
      <c r="AG774" s="73"/>
      <c r="AH774" s="73"/>
      <c r="AI774" s="74"/>
    </row>
    <row r="775" spans="26:35" ht="14.25" customHeight="1" x14ac:dyDescent="0.2">
      <c r="Z775" s="72"/>
      <c r="AA775" s="73"/>
      <c r="AB775" s="73"/>
      <c r="AC775" s="73"/>
      <c r="AD775" s="73"/>
      <c r="AE775" s="73"/>
      <c r="AF775" s="73"/>
      <c r="AG775" s="73"/>
      <c r="AH775" s="73"/>
      <c r="AI775" s="74"/>
    </row>
    <row r="776" spans="26:35" ht="14.25" customHeight="1" x14ac:dyDescent="0.2">
      <c r="Z776" s="72"/>
      <c r="AA776" s="73"/>
      <c r="AB776" s="73"/>
      <c r="AC776" s="73"/>
      <c r="AD776" s="73"/>
      <c r="AE776" s="73"/>
      <c r="AF776" s="73"/>
      <c r="AG776" s="73"/>
      <c r="AH776" s="73"/>
      <c r="AI776" s="74"/>
    </row>
    <row r="777" spans="26:35" ht="14.25" customHeight="1" x14ac:dyDescent="0.2">
      <c r="Z777" s="72"/>
      <c r="AA777" s="73"/>
      <c r="AB777" s="73"/>
      <c r="AC777" s="73"/>
      <c r="AD777" s="73"/>
      <c r="AE777" s="73"/>
      <c r="AF777" s="73"/>
      <c r="AG777" s="73"/>
      <c r="AH777" s="73"/>
      <c r="AI777" s="74"/>
    </row>
    <row r="778" spans="26:35" ht="14.25" customHeight="1" x14ac:dyDescent="0.2">
      <c r="Z778" s="72"/>
      <c r="AA778" s="73"/>
      <c r="AB778" s="73"/>
      <c r="AC778" s="73"/>
      <c r="AD778" s="73"/>
      <c r="AE778" s="73"/>
      <c r="AF778" s="73"/>
      <c r="AG778" s="73"/>
      <c r="AH778" s="73"/>
      <c r="AI778" s="74"/>
    </row>
    <row r="779" spans="26:35" ht="14.25" customHeight="1" x14ac:dyDescent="0.2">
      <c r="Z779" s="72"/>
      <c r="AA779" s="73"/>
      <c r="AB779" s="73"/>
      <c r="AC779" s="73"/>
      <c r="AD779" s="73"/>
      <c r="AE779" s="73"/>
      <c r="AF779" s="73"/>
      <c r="AG779" s="73"/>
      <c r="AH779" s="73"/>
      <c r="AI779" s="74"/>
    </row>
    <row r="780" spans="26:35" ht="14.25" customHeight="1" x14ac:dyDescent="0.2">
      <c r="Z780" s="72"/>
      <c r="AA780" s="73"/>
      <c r="AB780" s="73"/>
      <c r="AC780" s="73"/>
      <c r="AD780" s="73"/>
      <c r="AE780" s="73"/>
      <c r="AF780" s="73"/>
      <c r="AG780" s="73"/>
      <c r="AH780" s="73"/>
      <c r="AI780" s="74"/>
    </row>
    <row r="781" spans="26:35" ht="14.25" customHeight="1" x14ac:dyDescent="0.2">
      <c r="Z781" s="72"/>
      <c r="AA781" s="73"/>
      <c r="AB781" s="73"/>
      <c r="AC781" s="73"/>
      <c r="AD781" s="73"/>
      <c r="AE781" s="73"/>
      <c r="AF781" s="73"/>
      <c r="AG781" s="73"/>
      <c r="AH781" s="73"/>
      <c r="AI781" s="74"/>
    </row>
    <row r="782" spans="26:35" ht="14.25" customHeight="1" x14ac:dyDescent="0.2">
      <c r="Z782" s="72"/>
      <c r="AA782" s="73"/>
      <c r="AB782" s="73"/>
      <c r="AC782" s="73"/>
      <c r="AD782" s="73"/>
      <c r="AE782" s="73"/>
      <c r="AF782" s="73"/>
      <c r="AG782" s="73"/>
      <c r="AH782" s="73"/>
      <c r="AI782" s="74"/>
    </row>
    <row r="783" spans="26:35" ht="14.25" customHeight="1" x14ac:dyDescent="0.2">
      <c r="Z783" s="72"/>
      <c r="AA783" s="73"/>
      <c r="AB783" s="73"/>
      <c r="AC783" s="73"/>
      <c r="AD783" s="73"/>
      <c r="AE783" s="73"/>
      <c r="AF783" s="73"/>
      <c r="AG783" s="73"/>
      <c r="AH783" s="73"/>
      <c r="AI783" s="74"/>
    </row>
    <row r="784" spans="26:35" ht="14.25" customHeight="1" x14ac:dyDescent="0.2">
      <c r="Z784" s="72"/>
      <c r="AA784" s="73"/>
      <c r="AB784" s="73"/>
      <c r="AC784" s="73"/>
      <c r="AD784" s="73"/>
      <c r="AE784" s="73"/>
      <c r="AF784" s="73"/>
      <c r="AG784" s="73"/>
      <c r="AH784" s="73"/>
      <c r="AI784" s="74"/>
    </row>
    <row r="785" spans="26:35" ht="14.25" customHeight="1" x14ac:dyDescent="0.2">
      <c r="Z785" s="72"/>
      <c r="AA785" s="73"/>
      <c r="AB785" s="73"/>
      <c r="AC785" s="73"/>
      <c r="AD785" s="73"/>
      <c r="AE785" s="73"/>
      <c r="AF785" s="73"/>
      <c r="AG785" s="73"/>
      <c r="AH785" s="73"/>
      <c r="AI785" s="74"/>
    </row>
    <row r="786" spans="26:35" ht="14.25" customHeight="1" x14ac:dyDescent="0.2">
      <c r="Z786" s="72"/>
      <c r="AA786" s="73"/>
      <c r="AB786" s="73"/>
      <c r="AC786" s="73"/>
      <c r="AD786" s="73"/>
      <c r="AE786" s="73"/>
      <c r="AF786" s="73"/>
      <c r="AG786" s="73"/>
      <c r="AH786" s="73"/>
      <c r="AI786" s="74"/>
    </row>
    <row r="787" spans="26:35" ht="14.25" customHeight="1" x14ac:dyDescent="0.2">
      <c r="Z787" s="72"/>
      <c r="AA787" s="73"/>
      <c r="AB787" s="73"/>
      <c r="AC787" s="73"/>
      <c r="AD787" s="73"/>
      <c r="AE787" s="73"/>
      <c r="AF787" s="73"/>
      <c r="AG787" s="73"/>
      <c r="AH787" s="73"/>
      <c r="AI787" s="74"/>
    </row>
    <row r="788" spans="26:35" ht="14.25" customHeight="1" x14ac:dyDescent="0.2">
      <c r="Z788" s="72"/>
      <c r="AA788" s="73"/>
      <c r="AB788" s="73"/>
      <c r="AC788" s="73"/>
      <c r="AD788" s="73"/>
      <c r="AE788" s="73"/>
      <c r="AF788" s="73"/>
      <c r="AG788" s="73"/>
      <c r="AH788" s="73"/>
      <c r="AI788" s="74"/>
    </row>
    <row r="789" spans="26:35" ht="14.25" customHeight="1" x14ac:dyDescent="0.2">
      <c r="Z789" s="72"/>
      <c r="AA789" s="73"/>
      <c r="AB789" s="73"/>
      <c r="AC789" s="73"/>
      <c r="AD789" s="73"/>
      <c r="AE789" s="73"/>
      <c r="AF789" s="73"/>
      <c r="AG789" s="73"/>
      <c r="AH789" s="73"/>
      <c r="AI789" s="74"/>
    </row>
    <row r="790" spans="26:35" ht="14.25" customHeight="1" x14ac:dyDescent="0.2">
      <c r="Z790" s="72"/>
      <c r="AA790" s="73"/>
      <c r="AB790" s="73"/>
      <c r="AC790" s="73"/>
      <c r="AD790" s="73"/>
      <c r="AE790" s="73"/>
      <c r="AF790" s="73"/>
      <c r="AG790" s="73"/>
      <c r="AH790" s="73"/>
      <c r="AI790" s="74"/>
    </row>
    <row r="791" spans="26:35" ht="14.25" customHeight="1" x14ac:dyDescent="0.2">
      <c r="Z791" s="72"/>
      <c r="AA791" s="73"/>
      <c r="AB791" s="73"/>
      <c r="AC791" s="73"/>
      <c r="AD791" s="73"/>
      <c r="AE791" s="73"/>
      <c r="AF791" s="73"/>
      <c r="AG791" s="73"/>
      <c r="AH791" s="73"/>
      <c r="AI791" s="74"/>
    </row>
    <row r="792" spans="26:35" ht="14.25" customHeight="1" x14ac:dyDescent="0.2">
      <c r="Z792" s="72"/>
      <c r="AA792" s="73"/>
      <c r="AB792" s="73"/>
      <c r="AC792" s="73"/>
      <c r="AD792" s="73"/>
      <c r="AE792" s="73"/>
      <c r="AF792" s="73"/>
      <c r="AG792" s="73"/>
      <c r="AH792" s="73"/>
      <c r="AI792" s="74"/>
    </row>
    <row r="793" spans="26:35" ht="14.25" customHeight="1" x14ac:dyDescent="0.2">
      <c r="Z793" s="72"/>
      <c r="AA793" s="73"/>
      <c r="AB793" s="73"/>
      <c r="AC793" s="73"/>
      <c r="AD793" s="73"/>
      <c r="AE793" s="73"/>
      <c r="AF793" s="73"/>
      <c r="AG793" s="73"/>
      <c r="AH793" s="73"/>
      <c r="AI793" s="74"/>
    </row>
    <row r="794" spans="26:35" ht="14.25" customHeight="1" x14ac:dyDescent="0.2">
      <c r="Z794" s="72"/>
      <c r="AA794" s="73"/>
      <c r="AB794" s="73"/>
      <c r="AC794" s="73"/>
      <c r="AD794" s="73"/>
      <c r="AE794" s="73"/>
      <c r="AF794" s="73"/>
      <c r="AG794" s="73"/>
      <c r="AH794" s="73"/>
      <c r="AI794" s="74"/>
    </row>
    <row r="795" spans="26:35" ht="14.25" customHeight="1" x14ac:dyDescent="0.2">
      <c r="Z795" s="72"/>
      <c r="AA795" s="73"/>
      <c r="AB795" s="73"/>
      <c r="AC795" s="73"/>
      <c r="AD795" s="73"/>
      <c r="AE795" s="73"/>
      <c r="AF795" s="73"/>
      <c r="AG795" s="73"/>
      <c r="AH795" s="73"/>
      <c r="AI795" s="74"/>
    </row>
    <row r="796" spans="26:35" ht="14.25" customHeight="1" x14ac:dyDescent="0.2">
      <c r="Z796" s="72"/>
      <c r="AA796" s="73"/>
      <c r="AB796" s="73"/>
      <c r="AC796" s="73"/>
      <c r="AD796" s="73"/>
      <c r="AE796" s="73"/>
      <c r="AF796" s="73"/>
      <c r="AG796" s="73"/>
      <c r="AH796" s="73"/>
      <c r="AI796" s="74"/>
    </row>
    <row r="797" spans="26:35" ht="14.25" customHeight="1" x14ac:dyDescent="0.2">
      <c r="Z797" s="72"/>
      <c r="AA797" s="73"/>
      <c r="AB797" s="73"/>
      <c r="AC797" s="73"/>
      <c r="AD797" s="73"/>
      <c r="AE797" s="73"/>
      <c r="AF797" s="73"/>
      <c r="AG797" s="73"/>
      <c r="AH797" s="73"/>
      <c r="AI797" s="74"/>
    </row>
    <row r="798" spans="26:35" ht="14.25" customHeight="1" x14ac:dyDescent="0.2">
      <c r="Z798" s="72"/>
      <c r="AA798" s="73"/>
      <c r="AB798" s="73"/>
      <c r="AC798" s="73"/>
      <c r="AD798" s="73"/>
      <c r="AE798" s="73"/>
      <c r="AF798" s="73"/>
      <c r="AG798" s="73"/>
      <c r="AH798" s="73"/>
      <c r="AI798" s="74"/>
    </row>
    <row r="799" spans="26:35" ht="14.25" customHeight="1" x14ac:dyDescent="0.2">
      <c r="Z799" s="72"/>
      <c r="AA799" s="73"/>
      <c r="AB799" s="73"/>
      <c r="AC799" s="73"/>
      <c r="AD799" s="73"/>
      <c r="AE799" s="73"/>
      <c r="AF799" s="73"/>
      <c r="AG799" s="73"/>
      <c r="AH799" s="73"/>
      <c r="AI799" s="74"/>
    </row>
    <row r="800" spans="26:35" ht="14.25" customHeight="1" x14ac:dyDescent="0.2">
      <c r="Z800" s="72"/>
      <c r="AA800" s="73"/>
      <c r="AB800" s="73"/>
      <c r="AC800" s="73"/>
      <c r="AD800" s="73"/>
      <c r="AE800" s="73"/>
      <c r="AF800" s="73"/>
      <c r="AG800" s="73"/>
      <c r="AH800" s="73"/>
      <c r="AI800" s="74"/>
    </row>
    <row r="801" spans="26:35" ht="14.25" customHeight="1" x14ac:dyDescent="0.2">
      <c r="Z801" s="72"/>
      <c r="AA801" s="73"/>
      <c r="AB801" s="73"/>
      <c r="AC801" s="73"/>
      <c r="AD801" s="73"/>
      <c r="AE801" s="73"/>
      <c r="AF801" s="73"/>
      <c r="AG801" s="73"/>
      <c r="AH801" s="73"/>
      <c r="AI801" s="74"/>
    </row>
    <row r="802" spans="26:35" ht="14.25" customHeight="1" x14ac:dyDescent="0.2">
      <c r="Z802" s="72"/>
      <c r="AA802" s="73"/>
      <c r="AB802" s="73"/>
      <c r="AC802" s="73"/>
      <c r="AD802" s="73"/>
      <c r="AE802" s="73"/>
      <c r="AF802" s="73"/>
      <c r="AG802" s="73"/>
      <c r="AH802" s="73"/>
      <c r="AI802" s="74"/>
    </row>
    <row r="803" spans="26:35" ht="14.25" customHeight="1" x14ac:dyDescent="0.2">
      <c r="Z803" s="72"/>
      <c r="AA803" s="73"/>
      <c r="AB803" s="73"/>
      <c r="AC803" s="73"/>
      <c r="AD803" s="73"/>
      <c r="AE803" s="73"/>
      <c r="AF803" s="73"/>
      <c r="AG803" s="73"/>
      <c r="AH803" s="73"/>
      <c r="AI803" s="74"/>
    </row>
    <row r="804" spans="26:35" ht="14.25" customHeight="1" x14ac:dyDescent="0.2">
      <c r="Z804" s="72"/>
      <c r="AA804" s="73"/>
      <c r="AB804" s="73"/>
      <c r="AC804" s="73"/>
      <c r="AD804" s="73"/>
      <c r="AE804" s="73"/>
      <c r="AF804" s="73"/>
      <c r="AG804" s="73"/>
      <c r="AH804" s="73"/>
      <c r="AI804" s="74"/>
    </row>
    <row r="805" spans="26:35" ht="14.25" customHeight="1" x14ac:dyDescent="0.2">
      <c r="Z805" s="72"/>
      <c r="AA805" s="73"/>
      <c r="AB805" s="73"/>
      <c r="AC805" s="73"/>
      <c r="AD805" s="73"/>
      <c r="AE805" s="73"/>
      <c r="AF805" s="73"/>
      <c r="AG805" s="73"/>
      <c r="AH805" s="73"/>
      <c r="AI805" s="74"/>
    </row>
    <row r="806" spans="26:35" ht="14.25" customHeight="1" x14ac:dyDescent="0.2">
      <c r="Z806" s="72"/>
      <c r="AA806" s="73"/>
      <c r="AB806" s="73"/>
      <c r="AC806" s="73"/>
      <c r="AD806" s="73"/>
      <c r="AE806" s="73"/>
      <c r="AF806" s="73"/>
      <c r="AG806" s="73"/>
      <c r="AH806" s="73"/>
      <c r="AI806" s="74"/>
    </row>
    <row r="807" spans="26:35" ht="14.25" customHeight="1" x14ac:dyDescent="0.2">
      <c r="Z807" s="72"/>
      <c r="AA807" s="73"/>
      <c r="AB807" s="73"/>
      <c r="AC807" s="73"/>
      <c r="AD807" s="73"/>
      <c r="AE807" s="73"/>
      <c r="AF807" s="73"/>
      <c r="AG807" s="73"/>
      <c r="AH807" s="73"/>
      <c r="AI807" s="74"/>
    </row>
    <row r="808" spans="26:35" ht="14.25" customHeight="1" x14ac:dyDescent="0.2">
      <c r="Z808" s="72"/>
      <c r="AA808" s="73"/>
      <c r="AB808" s="73"/>
      <c r="AC808" s="73"/>
      <c r="AD808" s="73"/>
      <c r="AE808" s="73"/>
      <c r="AF808" s="73"/>
      <c r="AG808" s="73"/>
      <c r="AH808" s="73"/>
      <c r="AI808" s="74"/>
    </row>
    <row r="809" spans="26:35" ht="14.25" customHeight="1" x14ac:dyDescent="0.2">
      <c r="Z809" s="72"/>
      <c r="AA809" s="73"/>
      <c r="AB809" s="73"/>
      <c r="AC809" s="73"/>
      <c r="AD809" s="73"/>
      <c r="AE809" s="73"/>
      <c r="AF809" s="73"/>
      <c r="AG809" s="73"/>
      <c r="AH809" s="73"/>
      <c r="AI809" s="74"/>
    </row>
    <row r="810" spans="26:35" ht="14.25" customHeight="1" x14ac:dyDescent="0.2">
      <c r="Z810" s="72"/>
      <c r="AA810" s="73"/>
      <c r="AB810" s="73"/>
      <c r="AC810" s="73"/>
      <c r="AD810" s="73"/>
      <c r="AE810" s="73"/>
      <c r="AF810" s="73"/>
      <c r="AG810" s="73"/>
      <c r="AH810" s="73"/>
      <c r="AI810" s="74"/>
    </row>
    <row r="811" spans="26:35" ht="14.25" customHeight="1" x14ac:dyDescent="0.2">
      <c r="Z811" s="72"/>
      <c r="AA811" s="73"/>
      <c r="AB811" s="73"/>
      <c r="AC811" s="73"/>
      <c r="AD811" s="73"/>
      <c r="AE811" s="73"/>
      <c r="AF811" s="73"/>
      <c r="AG811" s="73"/>
      <c r="AH811" s="73"/>
      <c r="AI811" s="74"/>
    </row>
    <row r="812" spans="26:35" ht="14.25" customHeight="1" x14ac:dyDescent="0.2">
      <c r="Z812" s="72"/>
      <c r="AA812" s="73"/>
      <c r="AB812" s="73"/>
      <c r="AC812" s="73"/>
      <c r="AD812" s="73"/>
      <c r="AE812" s="73"/>
      <c r="AF812" s="73"/>
      <c r="AG812" s="73"/>
      <c r="AH812" s="73"/>
      <c r="AI812" s="74"/>
    </row>
    <row r="813" spans="26:35" ht="14.25" customHeight="1" x14ac:dyDescent="0.2">
      <c r="Z813" s="72"/>
      <c r="AA813" s="73"/>
      <c r="AB813" s="73"/>
      <c r="AC813" s="73"/>
      <c r="AD813" s="73"/>
      <c r="AE813" s="73"/>
      <c r="AF813" s="73"/>
      <c r="AG813" s="73"/>
      <c r="AH813" s="73"/>
      <c r="AI813" s="74"/>
    </row>
    <row r="814" spans="26:35" ht="14.25" customHeight="1" x14ac:dyDescent="0.2">
      <c r="Z814" s="72"/>
      <c r="AA814" s="73"/>
      <c r="AB814" s="73"/>
      <c r="AC814" s="73"/>
      <c r="AD814" s="73"/>
      <c r="AE814" s="73"/>
      <c r="AF814" s="73"/>
      <c r="AG814" s="73"/>
      <c r="AH814" s="73"/>
      <c r="AI814" s="74"/>
    </row>
    <row r="815" spans="26:35" ht="14.25" customHeight="1" x14ac:dyDescent="0.2">
      <c r="Z815" s="72"/>
      <c r="AA815" s="73"/>
      <c r="AB815" s="73"/>
      <c r="AC815" s="73"/>
      <c r="AD815" s="73"/>
      <c r="AE815" s="73"/>
      <c r="AF815" s="73"/>
      <c r="AG815" s="73"/>
      <c r="AH815" s="73"/>
      <c r="AI815" s="74"/>
    </row>
    <row r="816" spans="26:35" ht="14.25" customHeight="1" x14ac:dyDescent="0.2">
      <c r="Z816" s="72"/>
      <c r="AA816" s="73"/>
      <c r="AB816" s="73"/>
      <c r="AC816" s="73"/>
      <c r="AD816" s="73"/>
      <c r="AE816" s="73"/>
      <c r="AF816" s="73"/>
      <c r="AG816" s="73"/>
      <c r="AH816" s="73"/>
      <c r="AI816" s="74"/>
    </row>
    <row r="817" spans="26:35" ht="14.25" customHeight="1" x14ac:dyDescent="0.2">
      <c r="Z817" s="72"/>
      <c r="AA817" s="73"/>
      <c r="AB817" s="73"/>
      <c r="AC817" s="73"/>
      <c r="AD817" s="73"/>
      <c r="AE817" s="73"/>
      <c r="AF817" s="73"/>
      <c r="AG817" s="73"/>
      <c r="AH817" s="73"/>
      <c r="AI817" s="74"/>
    </row>
    <row r="818" spans="26:35" ht="14.25" customHeight="1" x14ac:dyDescent="0.2">
      <c r="Z818" s="72"/>
      <c r="AA818" s="73"/>
      <c r="AB818" s="73"/>
      <c r="AC818" s="73"/>
      <c r="AD818" s="73"/>
      <c r="AE818" s="73"/>
      <c r="AF818" s="73"/>
      <c r="AG818" s="73"/>
      <c r="AH818" s="73"/>
      <c r="AI818" s="74"/>
    </row>
    <row r="819" spans="26:35" ht="14.25" customHeight="1" x14ac:dyDescent="0.2">
      <c r="Z819" s="72"/>
      <c r="AA819" s="73"/>
      <c r="AB819" s="73"/>
      <c r="AC819" s="73"/>
      <c r="AD819" s="73"/>
      <c r="AE819" s="73"/>
      <c r="AF819" s="73"/>
      <c r="AG819" s="73"/>
      <c r="AH819" s="73"/>
      <c r="AI819" s="74"/>
    </row>
    <row r="820" spans="26:35" ht="14.25" customHeight="1" x14ac:dyDescent="0.2">
      <c r="Z820" s="72"/>
      <c r="AA820" s="73"/>
      <c r="AB820" s="73"/>
      <c r="AC820" s="73"/>
      <c r="AD820" s="73"/>
      <c r="AE820" s="73"/>
      <c r="AF820" s="73"/>
      <c r="AG820" s="73"/>
      <c r="AH820" s="73"/>
      <c r="AI820" s="74"/>
    </row>
    <row r="821" spans="26:35" ht="14.25" customHeight="1" x14ac:dyDescent="0.2">
      <c r="Z821" s="72"/>
      <c r="AA821" s="73"/>
      <c r="AB821" s="73"/>
      <c r="AC821" s="73"/>
      <c r="AD821" s="73"/>
      <c r="AE821" s="73"/>
      <c r="AF821" s="73"/>
      <c r="AG821" s="73"/>
      <c r="AH821" s="73"/>
      <c r="AI821" s="74"/>
    </row>
    <row r="822" spans="26:35" ht="14.25" customHeight="1" x14ac:dyDescent="0.2">
      <c r="Z822" s="72"/>
      <c r="AA822" s="73"/>
      <c r="AB822" s="73"/>
      <c r="AC822" s="73"/>
      <c r="AD822" s="73"/>
      <c r="AE822" s="73"/>
      <c r="AF822" s="73"/>
      <c r="AG822" s="73"/>
      <c r="AH822" s="73"/>
      <c r="AI822" s="74"/>
    </row>
    <row r="823" spans="26:35" ht="14.25" customHeight="1" x14ac:dyDescent="0.2">
      <c r="Z823" s="72"/>
      <c r="AA823" s="73"/>
      <c r="AB823" s="73"/>
      <c r="AC823" s="73"/>
      <c r="AD823" s="73"/>
      <c r="AE823" s="73"/>
      <c r="AF823" s="73"/>
      <c r="AG823" s="73"/>
      <c r="AH823" s="73"/>
      <c r="AI823" s="74"/>
    </row>
    <row r="824" spans="26:35" ht="14.25" customHeight="1" x14ac:dyDescent="0.2">
      <c r="Z824" s="72"/>
      <c r="AA824" s="73"/>
      <c r="AB824" s="73"/>
      <c r="AC824" s="73"/>
      <c r="AD824" s="73"/>
      <c r="AE824" s="73"/>
      <c r="AF824" s="73"/>
      <c r="AG824" s="73"/>
      <c r="AH824" s="73"/>
      <c r="AI824" s="74"/>
    </row>
    <row r="825" spans="26:35" ht="14.25" customHeight="1" x14ac:dyDescent="0.2">
      <c r="Z825" s="72"/>
      <c r="AA825" s="73"/>
      <c r="AB825" s="73"/>
      <c r="AC825" s="73"/>
      <c r="AD825" s="73"/>
      <c r="AE825" s="73"/>
      <c r="AF825" s="73"/>
      <c r="AG825" s="73"/>
      <c r="AH825" s="73"/>
      <c r="AI825" s="74"/>
    </row>
    <row r="826" spans="26:35" ht="14.25" customHeight="1" x14ac:dyDescent="0.2">
      <c r="Z826" s="72"/>
      <c r="AA826" s="73"/>
      <c r="AB826" s="73"/>
      <c r="AC826" s="73"/>
      <c r="AD826" s="73"/>
      <c r="AE826" s="73"/>
      <c r="AF826" s="73"/>
      <c r="AG826" s="73"/>
      <c r="AH826" s="73"/>
      <c r="AI826" s="74"/>
    </row>
    <row r="827" spans="26:35" ht="14.25" customHeight="1" x14ac:dyDescent="0.2">
      <c r="Z827" s="72"/>
      <c r="AA827" s="73"/>
      <c r="AB827" s="73"/>
      <c r="AC827" s="73"/>
      <c r="AD827" s="73"/>
      <c r="AE827" s="73"/>
      <c r="AF827" s="73"/>
      <c r="AG827" s="73"/>
      <c r="AH827" s="73"/>
      <c r="AI827" s="74"/>
    </row>
    <row r="828" spans="26:35" ht="14.25" customHeight="1" x14ac:dyDescent="0.2">
      <c r="Z828" s="72"/>
      <c r="AA828" s="73"/>
      <c r="AB828" s="73"/>
      <c r="AC828" s="73"/>
      <c r="AD828" s="73"/>
      <c r="AE828" s="73"/>
      <c r="AF828" s="73"/>
      <c r="AG828" s="73"/>
      <c r="AH828" s="73"/>
      <c r="AI828" s="74"/>
    </row>
    <row r="829" spans="26:35" ht="14.25" customHeight="1" x14ac:dyDescent="0.2">
      <c r="Z829" s="72"/>
      <c r="AA829" s="73"/>
      <c r="AB829" s="73"/>
      <c r="AC829" s="73"/>
      <c r="AD829" s="73"/>
      <c r="AE829" s="73"/>
      <c r="AF829" s="73"/>
      <c r="AG829" s="73"/>
      <c r="AH829" s="73"/>
      <c r="AI829" s="74"/>
    </row>
    <row r="830" spans="26:35" ht="14.25" customHeight="1" x14ac:dyDescent="0.2">
      <c r="Z830" s="72"/>
      <c r="AA830" s="73"/>
      <c r="AB830" s="73"/>
      <c r="AC830" s="73"/>
      <c r="AD830" s="73"/>
      <c r="AE830" s="73"/>
      <c r="AF830" s="73"/>
      <c r="AG830" s="73"/>
      <c r="AH830" s="73"/>
      <c r="AI830" s="74"/>
    </row>
    <row r="831" spans="26:35" ht="14.25" customHeight="1" x14ac:dyDescent="0.2">
      <c r="Z831" s="72"/>
      <c r="AA831" s="73"/>
      <c r="AB831" s="73"/>
      <c r="AC831" s="73"/>
      <c r="AD831" s="73"/>
      <c r="AE831" s="73"/>
      <c r="AF831" s="73"/>
      <c r="AG831" s="73"/>
      <c r="AH831" s="73"/>
      <c r="AI831" s="74"/>
    </row>
    <row r="832" spans="26:35" ht="14.25" customHeight="1" x14ac:dyDescent="0.2">
      <c r="Z832" s="72"/>
      <c r="AA832" s="73"/>
      <c r="AB832" s="73"/>
      <c r="AC832" s="73"/>
      <c r="AD832" s="73"/>
      <c r="AE832" s="73"/>
      <c r="AF832" s="73"/>
      <c r="AG832" s="73"/>
      <c r="AH832" s="73"/>
      <c r="AI832" s="74"/>
    </row>
    <row r="833" spans="26:35" ht="14.25" customHeight="1" x14ac:dyDescent="0.2">
      <c r="Z833" s="72"/>
      <c r="AA833" s="73"/>
      <c r="AB833" s="73"/>
      <c r="AC833" s="73"/>
      <c r="AD833" s="73"/>
      <c r="AE833" s="73"/>
      <c r="AF833" s="73"/>
      <c r="AG833" s="73"/>
      <c r="AH833" s="73"/>
      <c r="AI833" s="74"/>
    </row>
    <row r="834" spans="26:35" ht="14.25" customHeight="1" x14ac:dyDescent="0.2">
      <c r="Z834" s="72"/>
      <c r="AA834" s="73"/>
      <c r="AB834" s="73"/>
      <c r="AC834" s="73"/>
      <c r="AD834" s="73"/>
      <c r="AE834" s="73"/>
      <c r="AF834" s="73"/>
      <c r="AG834" s="73"/>
      <c r="AH834" s="73"/>
      <c r="AI834" s="74"/>
    </row>
    <row r="835" spans="26:35" ht="14.25" customHeight="1" x14ac:dyDescent="0.2">
      <c r="Z835" s="72"/>
      <c r="AA835" s="73"/>
      <c r="AB835" s="73"/>
      <c r="AC835" s="73"/>
      <c r="AD835" s="73"/>
      <c r="AE835" s="73"/>
      <c r="AF835" s="73"/>
      <c r="AG835" s="73"/>
      <c r="AH835" s="73"/>
      <c r="AI835" s="74"/>
    </row>
    <row r="836" spans="26:35" ht="14.25" customHeight="1" x14ac:dyDescent="0.2">
      <c r="Z836" s="72"/>
      <c r="AA836" s="73"/>
      <c r="AB836" s="73"/>
      <c r="AC836" s="73"/>
      <c r="AD836" s="73"/>
      <c r="AE836" s="73"/>
      <c r="AF836" s="73"/>
      <c r="AG836" s="73"/>
      <c r="AH836" s="73"/>
      <c r="AI836" s="74"/>
    </row>
    <row r="837" spans="26:35" ht="14.25" customHeight="1" x14ac:dyDescent="0.2">
      <c r="Z837" s="72"/>
      <c r="AA837" s="73"/>
      <c r="AB837" s="73"/>
      <c r="AC837" s="73"/>
      <c r="AD837" s="73"/>
      <c r="AE837" s="73"/>
      <c r="AF837" s="73"/>
      <c r="AG837" s="73"/>
      <c r="AH837" s="73"/>
      <c r="AI837" s="74"/>
    </row>
    <row r="838" spans="26:35" ht="14.25" customHeight="1" x14ac:dyDescent="0.2">
      <c r="Z838" s="72"/>
      <c r="AA838" s="73"/>
      <c r="AB838" s="73"/>
      <c r="AC838" s="73"/>
      <c r="AD838" s="73"/>
      <c r="AE838" s="73"/>
      <c r="AF838" s="73"/>
      <c r="AG838" s="73"/>
      <c r="AH838" s="73"/>
      <c r="AI838" s="74"/>
    </row>
    <row r="839" spans="26:35" ht="14.25" customHeight="1" x14ac:dyDescent="0.2">
      <c r="Z839" s="72"/>
      <c r="AA839" s="73"/>
      <c r="AB839" s="73"/>
      <c r="AC839" s="73"/>
      <c r="AD839" s="73"/>
      <c r="AE839" s="73"/>
      <c r="AF839" s="73"/>
      <c r="AG839" s="73"/>
      <c r="AH839" s="73"/>
      <c r="AI839" s="74"/>
    </row>
    <row r="840" spans="26:35" ht="14.25" customHeight="1" x14ac:dyDescent="0.2">
      <c r="Z840" s="72"/>
      <c r="AA840" s="73"/>
      <c r="AB840" s="73"/>
      <c r="AC840" s="73"/>
      <c r="AD840" s="73"/>
      <c r="AE840" s="73"/>
      <c r="AF840" s="73"/>
      <c r="AG840" s="73"/>
      <c r="AH840" s="73"/>
      <c r="AI840" s="74"/>
    </row>
    <row r="841" spans="26:35" ht="14.25" customHeight="1" x14ac:dyDescent="0.2">
      <c r="Z841" s="72"/>
      <c r="AA841" s="73"/>
      <c r="AB841" s="73"/>
      <c r="AC841" s="73"/>
      <c r="AD841" s="73"/>
      <c r="AE841" s="73"/>
      <c r="AF841" s="73"/>
      <c r="AG841" s="73"/>
      <c r="AH841" s="73"/>
      <c r="AI841" s="74"/>
    </row>
    <row r="842" spans="26:35" ht="14.25" customHeight="1" x14ac:dyDescent="0.2">
      <c r="Z842" s="72"/>
      <c r="AA842" s="73"/>
      <c r="AB842" s="73"/>
      <c r="AC842" s="73"/>
      <c r="AD842" s="73"/>
      <c r="AE842" s="73"/>
      <c r="AF842" s="73"/>
      <c r="AG842" s="73"/>
      <c r="AH842" s="73"/>
      <c r="AI842" s="74"/>
    </row>
    <row r="843" spans="26:35" ht="14.25" customHeight="1" x14ac:dyDescent="0.2">
      <c r="Z843" s="72"/>
      <c r="AA843" s="73"/>
      <c r="AB843" s="73"/>
      <c r="AC843" s="73"/>
      <c r="AD843" s="73"/>
      <c r="AE843" s="73"/>
      <c r="AF843" s="73"/>
      <c r="AG843" s="73"/>
      <c r="AH843" s="73"/>
      <c r="AI843" s="74"/>
    </row>
    <row r="844" spans="26:35" ht="14.25" customHeight="1" x14ac:dyDescent="0.2">
      <c r="Z844" s="72"/>
      <c r="AA844" s="73"/>
      <c r="AB844" s="73"/>
      <c r="AC844" s="73"/>
      <c r="AD844" s="73"/>
      <c r="AE844" s="73"/>
      <c r="AF844" s="73"/>
      <c r="AG844" s="73"/>
      <c r="AH844" s="73"/>
      <c r="AI844" s="74"/>
    </row>
    <row r="845" spans="26:35" ht="14.25" customHeight="1" x14ac:dyDescent="0.2">
      <c r="Z845" s="72"/>
      <c r="AA845" s="73"/>
      <c r="AB845" s="73"/>
      <c r="AC845" s="73"/>
      <c r="AD845" s="73"/>
      <c r="AE845" s="73"/>
      <c r="AF845" s="73"/>
      <c r="AG845" s="73"/>
      <c r="AH845" s="73"/>
      <c r="AI845" s="74"/>
    </row>
    <row r="846" spans="26:35" ht="14.25" customHeight="1" x14ac:dyDescent="0.2">
      <c r="Z846" s="72"/>
      <c r="AA846" s="73"/>
      <c r="AB846" s="73"/>
      <c r="AC846" s="73"/>
      <c r="AD846" s="73"/>
      <c r="AE846" s="73"/>
      <c r="AF846" s="73"/>
      <c r="AG846" s="73"/>
      <c r="AH846" s="73"/>
      <c r="AI846" s="74"/>
    </row>
    <row r="847" spans="26:35" ht="14.25" customHeight="1" x14ac:dyDescent="0.2">
      <c r="Z847" s="72"/>
      <c r="AA847" s="73"/>
      <c r="AB847" s="73"/>
      <c r="AC847" s="73"/>
      <c r="AD847" s="73"/>
      <c r="AE847" s="73"/>
      <c r="AF847" s="73"/>
      <c r="AG847" s="73"/>
      <c r="AH847" s="73"/>
      <c r="AI847" s="74"/>
    </row>
    <row r="848" spans="26:35" ht="14.25" customHeight="1" x14ac:dyDescent="0.2">
      <c r="Z848" s="72"/>
      <c r="AA848" s="73"/>
      <c r="AB848" s="73"/>
      <c r="AC848" s="73"/>
      <c r="AD848" s="73"/>
      <c r="AE848" s="73"/>
      <c r="AF848" s="73"/>
      <c r="AG848" s="73"/>
      <c r="AH848" s="73"/>
      <c r="AI848" s="74"/>
    </row>
    <row r="849" spans="26:35" ht="14.25" customHeight="1" x14ac:dyDescent="0.2">
      <c r="Z849" s="72"/>
      <c r="AA849" s="73"/>
      <c r="AB849" s="73"/>
      <c r="AC849" s="73"/>
      <c r="AD849" s="73"/>
      <c r="AE849" s="73"/>
      <c r="AF849" s="73"/>
      <c r="AG849" s="73"/>
      <c r="AH849" s="73"/>
      <c r="AI849" s="74"/>
    </row>
    <row r="850" spans="26:35" ht="14.25" customHeight="1" x14ac:dyDescent="0.2">
      <c r="Z850" s="72"/>
      <c r="AA850" s="73"/>
      <c r="AB850" s="73"/>
      <c r="AC850" s="73"/>
      <c r="AD850" s="73"/>
      <c r="AE850" s="73"/>
      <c r="AF850" s="73"/>
      <c r="AG850" s="73"/>
      <c r="AH850" s="73"/>
      <c r="AI850" s="74"/>
    </row>
    <row r="851" spans="26:35" ht="14.25" customHeight="1" x14ac:dyDescent="0.2">
      <c r="Z851" s="72"/>
      <c r="AA851" s="73"/>
      <c r="AB851" s="73"/>
      <c r="AC851" s="73"/>
      <c r="AD851" s="73"/>
      <c r="AE851" s="73"/>
      <c r="AF851" s="73"/>
      <c r="AG851" s="73"/>
      <c r="AH851" s="73"/>
      <c r="AI851" s="74"/>
    </row>
    <row r="852" spans="26:35" ht="14.25" customHeight="1" x14ac:dyDescent="0.2">
      <c r="Z852" s="72"/>
      <c r="AA852" s="73"/>
      <c r="AB852" s="73"/>
      <c r="AC852" s="73"/>
      <c r="AD852" s="73"/>
      <c r="AE852" s="73"/>
      <c r="AF852" s="73"/>
      <c r="AG852" s="73"/>
      <c r="AH852" s="73"/>
      <c r="AI852" s="74"/>
    </row>
    <row r="853" spans="26:35" ht="14.25" customHeight="1" x14ac:dyDescent="0.2">
      <c r="Z853" s="72"/>
      <c r="AA853" s="73"/>
      <c r="AB853" s="73"/>
      <c r="AC853" s="73"/>
      <c r="AD853" s="73"/>
      <c r="AE853" s="73"/>
      <c r="AF853" s="73"/>
      <c r="AG853" s="73"/>
      <c r="AH853" s="73"/>
      <c r="AI853" s="74"/>
    </row>
    <row r="854" spans="26:35" ht="14.25" customHeight="1" x14ac:dyDescent="0.2">
      <c r="Z854" s="72"/>
      <c r="AA854" s="73"/>
      <c r="AB854" s="73"/>
      <c r="AC854" s="73"/>
      <c r="AD854" s="73"/>
      <c r="AE854" s="73"/>
      <c r="AF854" s="73"/>
      <c r="AG854" s="73"/>
      <c r="AH854" s="73"/>
      <c r="AI854" s="74"/>
    </row>
    <row r="855" spans="26:35" ht="14.25" customHeight="1" x14ac:dyDescent="0.2">
      <c r="Z855" s="72"/>
      <c r="AA855" s="73"/>
      <c r="AB855" s="73"/>
      <c r="AC855" s="73"/>
      <c r="AD855" s="73"/>
      <c r="AE855" s="73"/>
      <c r="AF855" s="73"/>
      <c r="AG855" s="73"/>
      <c r="AH855" s="73"/>
      <c r="AI855" s="74"/>
    </row>
    <row r="856" spans="26:35" ht="14.25" customHeight="1" x14ac:dyDescent="0.2">
      <c r="Z856" s="72"/>
      <c r="AA856" s="73"/>
      <c r="AB856" s="73"/>
      <c r="AC856" s="73"/>
      <c r="AD856" s="73"/>
      <c r="AE856" s="73"/>
      <c r="AF856" s="73"/>
      <c r="AG856" s="73"/>
      <c r="AH856" s="73"/>
      <c r="AI856" s="74"/>
    </row>
    <row r="857" spans="26:35" ht="14.25" customHeight="1" x14ac:dyDescent="0.2">
      <c r="Z857" s="72"/>
      <c r="AA857" s="73"/>
      <c r="AB857" s="73"/>
      <c r="AC857" s="73"/>
      <c r="AD857" s="73"/>
      <c r="AE857" s="73"/>
      <c r="AF857" s="73"/>
      <c r="AG857" s="73"/>
      <c r="AH857" s="73"/>
      <c r="AI857" s="74"/>
    </row>
    <row r="858" spans="26:35" ht="14.25" customHeight="1" x14ac:dyDescent="0.2">
      <c r="Z858" s="72"/>
      <c r="AA858" s="73"/>
      <c r="AB858" s="73"/>
      <c r="AC858" s="73"/>
      <c r="AD858" s="73"/>
      <c r="AE858" s="73"/>
      <c r="AF858" s="73"/>
      <c r="AG858" s="73"/>
      <c r="AH858" s="73"/>
      <c r="AI858" s="74"/>
    </row>
    <row r="859" spans="26:35" ht="14.25" customHeight="1" x14ac:dyDescent="0.2">
      <c r="Z859" s="72"/>
      <c r="AA859" s="73"/>
      <c r="AB859" s="73"/>
      <c r="AC859" s="73"/>
      <c r="AD859" s="73"/>
      <c r="AE859" s="73"/>
      <c r="AF859" s="73"/>
      <c r="AG859" s="73"/>
      <c r="AH859" s="73"/>
      <c r="AI859" s="74"/>
    </row>
    <row r="860" spans="26:35" ht="14.25" customHeight="1" x14ac:dyDescent="0.2">
      <c r="Z860" s="72"/>
      <c r="AA860" s="73"/>
      <c r="AB860" s="73"/>
      <c r="AC860" s="73"/>
      <c r="AD860" s="73"/>
      <c r="AE860" s="73"/>
      <c r="AF860" s="73"/>
      <c r="AG860" s="73"/>
      <c r="AH860" s="73"/>
      <c r="AI860" s="74"/>
    </row>
    <row r="861" spans="26:35" ht="14.25" customHeight="1" x14ac:dyDescent="0.2">
      <c r="Z861" s="72"/>
      <c r="AA861" s="73"/>
      <c r="AB861" s="73"/>
      <c r="AC861" s="73"/>
      <c r="AD861" s="73"/>
      <c r="AE861" s="73"/>
      <c r="AF861" s="73"/>
      <c r="AG861" s="73"/>
      <c r="AH861" s="73"/>
      <c r="AI861" s="74"/>
    </row>
    <row r="862" spans="26:35" ht="14.25" customHeight="1" x14ac:dyDescent="0.2">
      <c r="Z862" s="72"/>
      <c r="AA862" s="73"/>
      <c r="AB862" s="73"/>
      <c r="AC862" s="73"/>
      <c r="AD862" s="73"/>
      <c r="AE862" s="73"/>
      <c r="AF862" s="73"/>
      <c r="AG862" s="73"/>
      <c r="AH862" s="73"/>
      <c r="AI862" s="74"/>
    </row>
    <row r="863" spans="26:35" ht="14.25" customHeight="1" x14ac:dyDescent="0.2">
      <c r="Z863" s="72"/>
      <c r="AA863" s="73"/>
      <c r="AB863" s="73"/>
      <c r="AC863" s="73"/>
      <c r="AD863" s="73"/>
      <c r="AE863" s="73"/>
      <c r="AF863" s="73"/>
      <c r="AG863" s="73"/>
      <c r="AH863" s="73"/>
      <c r="AI863" s="74"/>
    </row>
    <row r="864" spans="26:35" ht="14.25" customHeight="1" x14ac:dyDescent="0.2">
      <c r="Z864" s="72"/>
      <c r="AA864" s="73"/>
      <c r="AB864" s="73"/>
      <c r="AC864" s="73"/>
      <c r="AD864" s="73"/>
      <c r="AE864" s="73"/>
      <c r="AF864" s="73"/>
      <c r="AG864" s="73"/>
      <c r="AH864" s="73"/>
      <c r="AI864" s="74"/>
    </row>
    <row r="865" spans="26:35" ht="14.25" customHeight="1" x14ac:dyDescent="0.2">
      <c r="Z865" s="72"/>
      <c r="AA865" s="73"/>
      <c r="AB865" s="73"/>
      <c r="AC865" s="73"/>
      <c r="AD865" s="73"/>
      <c r="AE865" s="73"/>
      <c r="AF865" s="73"/>
      <c r="AG865" s="73"/>
      <c r="AH865" s="73"/>
      <c r="AI865" s="74"/>
    </row>
    <row r="866" spans="26:35" ht="14.25" customHeight="1" x14ac:dyDescent="0.2">
      <c r="Z866" s="72"/>
      <c r="AA866" s="73"/>
      <c r="AB866" s="73"/>
      <c r="AC866" s="73"/>
      <c r="AD866" s="73"/>
      <c r="AE866" s="73"/>
      <c r="AF866" s="73"/>
      <c r="AG866" s="73"/>
      <c r="AH866" s="73"/>
      <c r="AI866" s="74"/>
    </row>
    <row r="867" spans="26:35" ht="14.25" customHeight="1" x14ac:dyDescent="0.2">
      <c r="Z867" s="72"/>
      <c r="AA867" s="73"/>
      <c r="AB867" s="73"/>
      <c r="AC867" s="73"/>
      <c r="AD867" s="73"/>
      <c r="AE867" s="73"/>
      <c r="AF867" s="73"/>
      <c r="AG867" s="73"/>
      <c r="AH867" s="73"/>
      <c r="AI867" s="74"/>
    </row>
    <row r="868" spans="26:35" ht="14.25" customHeight="1" x14ac:dyDescent="0.2">
      <c r="Z868" s="72"/>
      <c r="AA868" s="73"/>
      <c r="AB868" s="73"/>
      <c r="AC868" s="73"/>
      <c r="AD868" s="73"/>
      <c r="AE868" s="73"/>
      <c r="AF868" s="73"/>
      <c r="AG868" s="73"/>
      <c r="AH868" s="73"/>
      <c r="AI868" s="74"/>
    </row>
    <row r="869" spans="26:35" ht="14.25" customHeight="1" x14ac:dyDescent="0.2">
      <c r="Z869" s="72"/>
      <c r="AA869" s="73"/>
      <c r="AB869" s="73"/>
      <c r="AC869" s="73"/>
      <c r="AD869" s="73"/>
      <c r="AE869" s="73"/>
      <c r="AF869" s="73"/>
      <c r="AG869" s="73"/>
      <c r="AH869" s="73"/>
      <c r="AI869" s="74"/>
    </row>
    <row r="870" spans="26:35" ht="14.25" customHeight="1" x14ac:dyDescent="0.2">
      <c r="Z870" s="72"/>
      <c r="AA870" s="73"/>
      <c r="AB870" s="73"/>
      <c r="AC870" s="73"/>
      <c r="AD870" s="73"/>
      <c r="AE870" s="73"/>
      <c r="AF870" s="73"/>
      <c r="AG870" s="73"/>
      <c r="AH870" s="73"/>
      <c r="AI870" s="74"/>
    </row>
    <row r="871" spans="26:35" ht="14.25" customHeight="1" x14ac:dyDescent="0.2">
      <c r="Z871" s="72"/>
      <c r="AA871" s="73"/>
      <c r="AB871" s="73"/>
      <c r="AC871" s="73"/>
      <c r="AD871" s="73"/>
      <c r="AE871" s="73"/>
      <c r="AF871" s="73"/>
      <c r="AG871" s="73"/>
      <c r="AH871" s="73"/>
      <c r="AI871" s="74"/>
    </row>
    <row r="872" spans="26:35" ht="14.25" customHeight="1" x14ac:dyDescent="0.2">
      <c r="Z872" s="72"/>
      <c r="AA872" s="73"/>
      <c r="AB872" s="73"/>
      <c r="AC872" s="73"/>
      <c r="AD872" s="73"/>
      <c r="AE872" s="73"/>
      <c r="AF872" s="73"/>
      <c r="AG872" s="73"/>
      <c r="AH872" s="73"/>
      <c r="AI872" s="74"/>
    </row>
    <row r="873" spans="26:35" ht="14.25" customHeight="1" x14ac:dyDescent="0.2">
      <c r="Z873" s="72"/>
      <c r="AA873" s="73"/>
      <c r="AB873" s="73"/>
      <c r="AC873" s="73"/>
      <c r="AD873" s="73"/>
      <c r="AE873" s="73"/>
      <c r="AF873" s="73"/>
      <c r="AG873" s="73"/>
      <c r="AH873" s="73"/>
      <c r="AI873" s="74"/>
    </row>
    <row r="874" spans="26:35" ht="14.25" customHeight="1" x14ac:dyDescent="0.2">
      <c r="Z874" s="72"/>
      <c r="AA874" s="73"/>
      <c r="AB874" s="73"/>
      <c r="AC874" s="73"/>
      <c r="AD874" s="73"/>
      <c r="AE874" s="73"/>
      <c r="AF874" s="73"/>
      <c r="AG874" s="73"/>
      <c r="AH874" s="73"/>
      <c r="AI874" s="74"/>
    </row>
    <row r="875" spans="26:35" ht="14.25" customHeight="1" x14ac:dyDescent="0.2">
      <c r="Z875" s="72"/>
      <c r="AA875" s="73"/>
      <c r="AB875" s="73"/>
      <c r="AC875" s="73"/>
      <c r="AD875" s="73"/>
      <c r="AE875" s="73"/>
      <c r="AF875" s="73"/>
      <c r="AG875" s="73"/>
      <c r="AH875" s="73"/>
      <c r="AI875" s="74"/>
    </row>
    <row r="876" spans="26:35" ht="14.25" customHeight="1" x14ac:dyDescent="0.2">
      <c r="Z876" s="72"/>
      <c r="AA876" s="73"/>
      <c r="AB876" s="73"/>
      <c r="AC876" s="73"/>
      <c r="AD876" s="73"/>
      <c r="AE876" s="73"/>
      <c r="AF876" s="73"/>
      <c r="AG876" s="73"/>
      <c r="AH876" s="73"/>
      <c r="AI876" s="74"/>
    </row>
    <row r="877" spans="26:35" ht="14.25" customHeight="1" x14ac:dyDescent="0.2">
      <c r="Z877" s="72"/>
      <c r="AA877" s="73"/>
      <c r="AB877" s="73"/>
      <c r="AC877" s="73"/>
      <c r="AD877" s="73"/>
      <c r="AE877" s="73"/>
      <c r="AF877" s="73"/>
      <c r="AG877" s="73"/>
      <c r="AH877" s="73"/>
      <c r="AI877" s="74"/>
    </row>
    <row r="878" spans="26:35" ht="14.25" customHeight="1" x14ac:dyDescent="0.2">
      <c r="Z878" s="72"/>
      <c r="AA878" s="73"/>
      <c r="AB878" s="73"/>
      <c r="AC878" s="73"/>
      <c r="AD878" s="73"/>
      <c r="AE878" s="73"/>
      <c r="AF878" s="73"/>
      <c r="AG878" s="73"/>
      <c r="AH878" s="73"/>
      <c r="AI878" s="74"/>
    </row>
    <row r="879" spans="26:35" ht="14.25" customHeight="1" x14ac:dyDescent="0.2">
      <c r="Z879" s="72"/>
      <c r="AA879" s="73"/>
      <c r="AB879" s="73"/>
      <c r="AC879" s="73"/>
      <c r="AD879" s="73"/>
      <c r="AE879" s="73"/>
      <c r="AF879" s="73"/>
      <c r="AG879" s="73"/>
      <c r="AH879" s="73"/>
      <c r="AI879" s="74"/>
    </row>
    <row r="880" spans="26:35" ht="14.25" customHeight="1" x14ac:dyDescent="0.2">
      <c r="Z880" s="72"/>
      <c r="AA880" s="73"/>
      <c r="AB880" s="73"/>
      <c r="AC880" s="73"/>
      <c r="AD880" s="73"/>
      <c r="AE880" s="73"/>
      <c r="AF880" s="73"/>
      <c r="AG880" s="73"/>
      <c r="AH880" s="73"/>
      <c r="AI880" s="74"/>
    </row>
    <row r="881" spans="26:35" ht="14.25" customHeight="1" x14ac:dyDescent="0.2">
      <c r="Z881" s="72"/>
      <c r="AA881" s="73"/>
      <c r="AB881" s="73"/>
      <c r="AC881" s="73"/>
      <c r="AD881" s="73"/>
      <c r="AE881" s="73"/>
      <c r="AF881" s="73"/>
      <c r="AG881" s="73"/>
      <c r="AH881" s="73"/>
      <c r="AI881" s="74"/>
    </row>
    <row r="882" spans="26:35" ht="14.25" customHeight="1" x14ac:dyDescent="0.2">
      <c r="Z882" s="72"/>
      <c r="AA882" s="73"/>
      <c r="AB882" s="73"/>
      <c r="AC882" s="73"/>
      <c r="AD882" s="73"/>
      <c r="AE882" s="73"/>
      <c r="AF882" s="73"/>
      <c r="AG882" s="73"/>
      <c r="AH882" s="73"/>
      <c r="AI882" s="74"/>
    </row>
    <row r="883" spans="26:35" ht="14.25" customHeight="1" x14ac:dyDescent="0.2">
      <c r="Z883" s="72"/>
      <c r="AA883" s="73"/>
      <c r="AB883" s="73"/>
      <c r="AC883" s="73"/>
      <c r="AD883" s="73"/>
      <c r="AE883" s="73"/>
      <c r="AF883" s="73"/>
      <c r="AG883" s="73"/>
      <c r="AH883" s="73"/>
      <c r="AI883" s="74"/>
    </row>
    <row r="884" spans="26:35" ht="14.25" customHeight="1" x14ac:dyDescent="0.2">
      <c r="Z884" s="72"/>
      <c r="AA884" s="73"/>
      <c r="AB884" s="73"/>
      <c r="AC884" s="73"/>
      <c r="AD884" s="73"/>
      <c r="AE884" s="73"/>
      <c r="AF884" s="73"/>
      <c r="AG884" s="73"/>
      <c r="AH884" s="73"/>
      <c r="AI884" s="74"/>
    </row>
    <row r="885" spans="26:35" ht="14.25" customHeight="1" x14ac:dyDescent="0.2">
      <c r="Z885" s="72"/>
      <c r="AA885" s="73"/>
      <c r="AB885" s="73"/>
      <c r="AC885" s="73"/>
      <c r="AD885" s="73"/>
      <c r="AE885" s="73"/>
      <c r="AF885" s="73"/>
      <c r="AG885" s="73"/>
      <c r="AH885" s="73"/>
      <c r="AI885" s="74"/>
    </row>
    <row r="886" spans="26:35" ht="14.25" customHeight="1" x14ac:dyDescent="0.2">
      <c r="Z886" s="72"/>
      <c r="AA886" s="73"/>
      <c r="AB886" s="73"/>
      <c r="AC886" s="73"/>
      <c r="AD886" s="73"/>
      <c r="AE886" s="73"/>
      <c r="AF886" s="73"/>
      <c r="AG886" s="73"/>
      <c r="AH886" s="73"/>
      <c r="AI886" s="74"/>
    </row>
    <row r="887" spans="26:35" ht="14.25" customHeight="1" x14ac:dyDescent="0.2">
      <c r="Z887" s="72"/>
      <c r="AA887" s="73"/>
      <c r="AB887" s="73"/>
      <c r="AC887" s="73"/>
      <c r="AD887" s="73"/>
      <c r="AE887" s="73"/>
      <c r="AF887" s="73"/>
      <c r="AG887" s="73"/>
      <c r="AH887" s="73"/>
      <c r="AI887" s="74"/>
    </row>
    <row r="888" spans="26:35" ht="14.25" customHeight="1" x14ac:dyDescent="0.2">
      <c r="Z888" s="72"/>
      <c r="AA888" s="73"/>
      <c r="AB888" s="73"/>
      <c r="AC888" s="73"/>
      <c r="AD888" s="73"/>
      <c r="AE888" s="73"/>
      <c r="AF888" s="73"/>
      <c r="AG888" s="73"/>
      <c r="AH888" s="73"/>
      <c r="AI888" s="74"/>
    </row>
    <row r="889" spans="26:35" ht="14.25" customHeight="1" x14ac:dyDescent="0.2">
      <c r="Z889" s="72"/>
      <c r="AA889" s="73"/>
      <c r="AB889" s="73"/>
      <c r="AC889" s="73"/>
      <c r="AD889" s="73"/>
      <c r="AE889" s="73"/>
      <c r="AF889" s="73"/>
      <c r="AG889" s="73"/>
      <c r="AH889" s="73"/>
      <c r="AI889" s="74"/>
    </row>
    <row r="890" spans="26:35" ht="14.25" customHeight="1" x14ac:dyDescent="0.2">
      <c r="Z890" s="72"/>
      <c r="AA890" s="73"/>
      <c r="AB890" s="73"/>
      <c r="AC890" s="73"/>
      <c r="AD890" s="73"/>
      <c r="AE890" s="73"/>
      <c r="AF890" s="73"/>
      <c r="AG890" s="73"/>
      <c r="AH890" s="73"/>
      <c r="AI890" s="74"/>
    </row>
    <row r="891" spans="26:35" ht="14.25" customHeight="1" x14ac:dyDescent="0.2">
      <c r="Z891" s="72"/>
      <c r="AA891" s="73"/>
      <c r="AB891" s="73"/>
      <c r="AC891" s="73"/>
      <c r="AD891" s="73"/>
      <c r="AE891" s="73"/>
      <c r="AF891" s="73"/>
      <c r="AG891" s="73"/>
      <c r="AH891" s="73"/>
      <c r="AI891" s="74"/>
    </row>
    <row r="892" spans="26:35" ht="14.25" customHeight="1" x14ac:dyDescent="0.2">
      <c r="Z892" s="72"/>
      <c r="AA892" s="73"/>
      <c r="AB892" s="73"/>
      <c r="AC892" s="73"/>
      <c r="AD892" s="73"/>
      <c r="AE892" s="73"/>
      <c r="AF892" s="73"/>
      <c r="AG892" s="73"/>
      <c r="AH892" s="73"/>
      <c r="AI892" s="74"/>
    </row>
    <row r="893" spans="26:35" ht="14.25" customHeight="1" x14ac:dyDescent="0.2">
      <c r="Z893" s="72"/>
      <c r="AA893" s="73"/>
      <c r="AB893" s="73"/>
      <c r="AC893" s="73"/>
      <c r="AD893" s="73"/>
      <c r="AE893" s="73"/>
      <c r="AF893" s="73"/>
      <c r="AG893" s="73"/>
      <c r="AH893" s="73"/>
      <c r="AI893" s="74"/>
    </row>
    <row r="894" spans="26:35" ht="14.25" customHeight="1" x14ac:dyDescent="0.2">
      <c r="Z894" s="72"/>
      <c r="AA894" s="73"/>
      <c r="AB894" s="73"/>
      <c r="AC894" s="73"/>
      <c r="AD894" s="73"/>
      <c r="AE894" s="73"/>
      <c r="AF894" s="73"/>
      <c r="AG894" s="73"/>
      <c r="AH894" s="73"/>
      <c r="AI894" s="74"/>
    </row>
    <row r="895" spans="26:35" ht="14.25" customHeight="1" x14ac:dyDescent="0.2">
      <c r="Z895" s="72"/>
      <c r="AA895" s="73"/>
      <c r="AB895" s="73"/>
      <c r="AC895" s="73"/>
      <c r="AD895" s="73"/>
      <c r="AE895" s="73"/>
      <c r="AF895" s="73"/>
      <c r="AG895" s="73"/>
      <c r="AH895" s="73"/>
      <c r="AI895" s="74"/>
    </row>
    <row r="896" spans="26:35" ht="14.25" customHeight="1" x14ac:dyDescent="0.2">
      <c r="Z896" s="72"/>
      <c r="AA896" s="73"/>
      <c r="AB896" s="73"/>
      <c r="AC896" s="73"/>
      <c r="AD896" s="73"/>
      <c r="AE896" s="73"/>
      <c r="AF896" s="73"/>
      <c r="AG896" s="73"/>
      <c r="AH896" s="73"/>
      <c r="AI896" s="74"/>
    </row>
    <row r="897" spans="26:35" ht="14.25" customHeight="1" x14ac:dyDescent="0.2">
      <c r="Z897" s="72"/>
      <c r="AA897" s="73"/>
      <c r="AB897" s="73"/>
      <c r="AC897" s="73"/>
      <c r="AD897" s="73"/>
      <c r="AE897" s="73"/>
      <c r="AF897" s="73"/>
      <c r="AG897" s="73"/>
      <c r="AH897" s="73"/>
      <c r="AI897" s="74"/>
    </row>
    <row r="898" spans="26:35" ht="14.25" customHeight="1" x14ac:dyDescent="0.2">
      <c r="Z898" s="72"/>
      <c r="AA898" s="73"/>
      <c r="AB898" s="73"/>
      <c r="AC898" s="73"/>
      <c r="AD898" s="73"/>
      <c r="AE898" s="73"/>
      <c r="AF898" s="73"/>
      <c r="AG898" s="73"/>
      <c r="AH898" s="73"/>
      <c r="AI898" s="74"/>
    </row>
    <row r="899" spans="26:35" ht="14.25" customHeight="1" x14ac:dyDescent="0.2">
      <c r="Z899" s="72"/>
      <c r="AA899" s="73"/>
      <c r="AB899" s="73"/>
      <c r="AC899" s="73"/>
      <c r="AD899" s="73"/>
      <c r="AE899" s="73"/>
      <c r="AF899" s="73"/>
      <c r="AG899" s="73"/>
      <c r="AH899" s="73"/>
      <c r="AI899" s="74"/>
    </row>
    <row r="900" spans="26:35" ht="14.25" customHeight="1" x14ac:dyDescent="0.2">
      <c r="Z900" s="72"/>
      <c r="AA900" s="73"/>
      <c r="AB900" s="73"/>
      <c r="AC900" s="73"/>
      <c r="AD900" s="73"/>
      <c r="AE900" s="73"/>
      <c r="AF900" s="73"/>
      <c r="AG900" s="73"/>
      <c r="AH900" s="73"/>
      <c r="AI900" s="74"/>
    </row>
    <row r="901" spans="26:35" ht="14.25" customHeight="1" x14ac:dyDescent="0.2">
      <c r="Z901" s="72"/>
      <c r="AA901" s="73"/>
      <c r="AB901" s="73"/>
      <c r="AC901" s="73"/>
      <c r="AD901" s="73"/>
      <c r="AE901" s="73"/>
      <c r="AF901" s="73"/>
      <c r="AG901" s="73"/>
      <c r="AH901" s="73"/>
      <c r="AI901" s="74"/>
    </row>
    <row r="902" spans="26:35" ht="14.25" customHeight="1" x14ac:dyDescent="0.2">
      <c r="Z902" s="72"/>
      <c r="AA902" s="73"/>
      <c r="AB902" s="73"/>
      <c r="AC902" s="73"/>
      <c r="AD902" s="73"/>
      <c r="AE902" s="73"/>
      <c r="AF902" s="73"/>
      <c r="AG902" s="73"/>
      <c r="AH902" s="73"/>
      <c r="AI902" s="74"/>
    </row>
    <row r="903" spans="26:35" ht="14.25" customHeight="1" x14ac:dyDescent="0.2">
      <c r="Z903" s="72"/>
      <c r="AA903" s="73"/>
      <c r="AB903" s="73"/>
      <c r="AC903" s="73"/>
      <c r="AD903" s="73"/>
      <c r="AE903" s="73"/>
      <c r="AF903" s="73"/>
      <c r="AG903" s="73"/>
      <c r="AH903" s="73"/>
      <c r="AI903" s="74"/>
    </row>
    <row r="904" spans="26:35" ht="14.25" customHeight="1" x14ac:dyDescent="0.2">
      <c r="Z904" s="72"/>
      <c r="AA904" s="73"/>
      <c r="AB904" s="73"/>
      <c r="AC904" s="73"/>
      <c r="AD904" s="73"/>
      <c r="AE904" s="73"/>
      <c r="AF904" s="73"/>
      <c r="AG904" s="73"/>
      <c r="AH904" s="73"/>
      <c r="AI904" s="74"/>
    </row>
    <row r="905" spans="26:35" ht="14.25" customHeight="1" x14ac:dyDescent="0.2">
      <c r="Z905" s="72"/>
      <c r="AA905" s="73"/>
      <c r="AB905" s="73"/>
      <c r="AC905" s="73"/>
      <c r="AD905" s="73"/>
      <c r="AE905" s="73"/>
      <c r="AF905" s="73"/>
      <c r="AG905" s="73"/>
      <c r="AH905" s="73"/>
      <c r="AI905" s="74"/>
    </row>
    <row r="906" spans="26:35" ht="14.25" customHeight="1" x14ac:dyDescent="0.2">
      <c r="Z906" s="72"/>
      <c r="AA906" s="73"/>
      <c r="AB906" s="73"/>
      <c r="AC906" s="73"/>
      <c r="AD906" s="73"/>
      <c r="AE906" s="73"/>
      <c r="AF906" s="73"/>
      <c r="AG906" s="73"/>
      <c r="AH906" s="73"/>
      <c r="AI906" s="74"/>
    </row>
    <row r="907" spans="26:35" ht="14.25" customHeight="1" x14ac:dyDescent="0.2">
      <c r="Z907" s="72"/>
      <c r="AA907" s="73"/>
      <c r="AB907" s="73"/>
      <c r="AC907" s="73"/>
      <c r="AD907" s="73"/>
      <c r="AE907" s="73"/>
      <c r="AF907" s="73"/>
      <c r="AG907" s="73"/>
      <c r="AH907" s="73"/>
      <c r="AI907" s="74"/>
    </row>
    <row r="908" spans="26:35" ht="14.25" customHeight="1" x14ac:dyDescent="0.2">
      <c r="Z908" s="72"/>
      <c r="AA908" s="73"/>
      <c r="AB908" s="73"/>
      <c r="AC908" s="73"/>
      <c r="AD908" s="73"/>
      <c r="AE908" s="73"/>
      <c r="AF908" s="73"/>
      <c r="AG908" s="73"/>
      <c r="AH908" s="73"/>
      <c r="AI908" s="74"/>
    </row>
    <row r="909" spans="26:35" ht="14.25" customHeight="1" x14ac:dyDescent="0.2">
      <c r="Z909" s="72"/>
      <c r="AA909" s="73"/>
      <c r="AB909" s="73"/>
      <c r="AC909" s="73"/>
      <c r="AD909" s="73"/>
      <c r="AE909" s="73"/>
      <c r="AF909" s="73"/>
      <c r="AG909" s="73"/>
      <c r="AH909" s="73"/>
      <c r="AI909" s="74"/>
    </row>
    <row r="910" spans="26:35" ht="14.25" customHeight="1" x14ac:dyDescent="0.2">
      <c r="Z910" s="72"/>
      <c r="AA910" s="73"/>
      <c r="AB910" s="73"/>
      <c r="AC910" s="73"/>
      <c r="AD910" s="73"/>
      <c r="AE910" s="73"/>
      <c r="AF910" s="73"/>
      <c r="AG910" s="73"/>
      <c r="AH910" s="73"/>
      <c r="AI910" s="74"/>
    </row>
    <row r="911" spans="26:35" ht="14.25" customHeight="1" x14ac:dyDescent="0.2">
      <c r="Z911" s="72"/>
      <c r="AA911" s="73"/>
      <c r="AB911" s="73"/>
      <c r="AC911" s="73"/>
      <c r="AD911" s="73"/>
      <c r="AE911" s="73"/>
      <c r="AF911" s="73"/>
      <c r="AG911" s="73"/>
      <c r="AH911" s="73"/>
      <c r="AI911" s="74"/>
    </row>
    <row r="912" spans="26:35" ht="14.25" customHeight="1" x14ac:dyDescent="0.2">
      <c r="Z912" s="72"/>
      <c r="AA912" s="73"/>
      <c r="AB912" s="73"/>
      <c r="AC912" s="73"/>
      <c r="AD912" s="73"/>
      <c r="AE912" s="73"/>
      <c r="AF912" s="73"/>
      <c r="AG912" s="73"/>
      <c r="AH912" s="73"/>
      <c r="AI912" s="74"/>
    </row>
    <row r="913" spans="26:35" ht="14.25" customHeight="1" x14ac:dyDescent="0.2">
      <c r="Z913" s="72"/>
      <c r="AA913" s="73"/>
      <c r="AB913" s="73"/>
      <c r="AC913" s="73"/>
      <c r="AD913" s="73"/>
      <c r="AE913" s="73"/>
      <c r="AF913" s="73"/>
      <c r="AG913" s="73"/>
      <c r="AH913" s="73"/>
      <c r="AI913" s="74"/>
    </row>
    <row r="914" spans="26:35" ht="14.25" customHeight="1" x14ac:dyDescent="0.2">
      <c r="Z914" s="72"/>
      <c r="AA914" s="73"/>
      <c r="AB914" s="73"/>
      <c r="AC914" s="73"/>
      <c r="AD914" s="73"/>
      <c r="AE914" s="73"/>
      <c r="AF914" s="73"/>
      <c r="AG914" s="73"/>
      <c r="AH914" s="73"/>
      <c r="AI914" s="74"/>
    </row>
    <row r="915" spans="26:35" ht="14.25" customHeight="1" x14ac:dyDescent="0.2">
      <c r="Z915" s="72"/>
      <c r="AA915" s="73"/>
      <c r="AB915" s="73"/>
      <c r="AC915" s="73"/>
      <c r="AD915" s="73"/>
      <c r="AE915" s="73"/>
      <c r="AF915" s="73"/>
      <c r="AG915" s="73"/>
      <c r="AH915" s="73"/>
      <c r="AI915" s="74"/>
    </row>
    <row r="916" spans="26:35" ht="14.25" customHeight="1" x14ac:dyDescent="0.2">
      <c r="Z916" s="72"/>
      <c r="AA916" s="73"/>
      <c r="AB916" s="73"/>
      <c r="AC916" s="73"/>
      <c r="AD916" s="73"/>
      <c r="AE916" s="73"/>
      <c r="AF916" s="73"/>
      <c r="AG916" s="73"/>
      <c r="AH916" s="73"/>
      <c r="AI916" s="74"/>
    </row>
    <row r="917" spans="26:35" ht="14.25" customHeight="1" x14ac:dyDescent="0.2">
      <c r="Z917" s="72"/>
      <c r="AA917" s="73"/>
      <c r="AB917" s="73"/>
      <c r="AC917" s="73"/>
      <c r="AD917" s="73"/>
      <c r="AE917" s="73"/>
      <c r="AF917" s="73"/>
      <c r="AG917" s="73"/>
      <c r="AH917" s="73"/>
      <c r="AI917" s="74"/>
    </row>
    <row r="918" spans="26:35" ht="14.25" customHeight="1" x14ac:dyDescent="0.2">
      <c r="Z918" s="72"/>
      <c r="AA918" s="73"/>
      <c r="AB918" s="73"/>
      <c r="AC918" s="73"/>
      <c r="AD918" s="73"/>
      <c r="AE918" s="73"/>
      <c r="AF918" s="73"/>
      <c r="AG918" s="73"/>
      <c r="AH918" s="73"/>
      <c r="AI918" s="74"/>
    </row>
    <row r="919" spans="26:35" ht="14.25" customHeight="1" x14ac:dyDescent="0.2">
      <c r="Z919" s="72"/>
      <c r="AA919" s="73"/>
      <c r="AB919" s="73"/>
      <c r="AC919" s="73"/>
      <c r="AD919" s="73"/>
      <c r="AE919" s="73"/>
      <c r="AF919" s="73"/>
      <c r="AG919" s="73"/>
      <c r="AH919" s="73"/>
      <c r="AI919" s="74"/>
    </row>
    <row r="920" spans="26:35" ht="14.25" customHeight="1" x14ac:dyDescent="0.2">
      <c r="Z920" s="72"/>
      <c r="AA920" s="73"/>
      <c r="AB920" s="73"/>
      <c r="AC920" s="73"/>
      <c r="AD920" s="73"/>
      <c r="AE920" s="73"/>
      <c r="AF920" s="73"/>
      <c r="AG920" s="73"/>
      <c r="AH920" s="73"/>
      <c r="AI920" s="74"/>
    </row>
    <row r="921" spans="26:35" ht="14.25" customHeight="1" x14ac:dyDescent="0.2">
      <c r="Z921" s="72"/>
      <c r="AA921" s="73"/>
      <c r="AB921" s="73"/>
      <c r="AC921" s="73"/>
      <c r="AD921" s="73"/>
      <c r="AE921" s="73"/>
      <c r="AF921" s="73"/>
      <c r="AG921" s="73"/>
      <c r="AH921" s="73"/>
      <c r="AI921" s="74"/>
    </row>
    <row r="922" spans="26:35" ht="14.25" customHeight="1" x14ac:dyDescent="0.2">
      <c r="Z922" s="72"/>
      <c r="AA922" s="73"/>
      <c r="AB922" s="73"/>
      <c r="AC922" s="73"/>
      <c r="AD922" s="73"/>
      <c r="AE922" s="73"/>
      <c r="AF922" s="73"/>
      <c r="AG922" s="73"/>
      <c r="AH922" s="73"/>
      <c r="AI922" s="74"/>
    </row>
    <row r="923" spans="26:35" ht="14.25" customHeight="1" x14ac:dyDescent="0.2">
      <c r="Z923" s="72"/>
      <c r="AA923" s="73"/>
      <c r="AB923" s="73"/>
      <c r="AC923" s="73"/>
      <c r="AD923" s="73"/>
      <c r="AE923" s="73"/>
      <c r="AF923" s="73"/>
      <c r="AG923" s="73"/>
      <c r="AH923" s="73"/>
      <c r="AI923" s="74"/>
    </row>
    <row r="924" spans="26:35" ht="14.25" customHeight="1" x14ac:dyDescent="0.2">
      <c r="Z924" s="72"/>
      <c r="AA924" s="73"/>
      <c r="AB924" s="73"/>
      <c r="AC924" s="73"/>
      <c r="AD924" s="73"/>
      <c r="AE924" s="73"/>
      <c r="AF924" s="73"/>
      <c r="AG924" s="73"/>
      <c r="AH924" s="73"/>
      <c r="AI924" s="74"/>
    </row>
    <row r="925" spans="26:35" ht="14.25" customHeight="1" x14ac:dyDescent="0.2">
      <c r="Z925" s="72"/>
      <c r="AA925" s="73"/>
      <c r="AB925" s="73"/>
      <c r="AC925" s="73"/>
      <c r="AD925" s="73"/>
      <c r="AE925" s="73"/>
      <c r="AF925" s="73"/>
      <c r="AG925" s="73"/>
      <c r="AH925" s="73"/>
      <c r="AI925" s="74"/>
    </row>
    <row r="926" spans="26:35" ht="14.25" customHeight="1" x14ac:dyDescent="0.2">
      <c r="Z926" s="72"/>
      <c r="AA926" s="73"/>
      <c r="AB926" s="73"/>
      <c r="AC926" s="73"/>
      <c r="AD926" s="73"/>
      <c r="AE926" s="73"/>
      <c r="AF926" s="73"/>
      <c r="AG926" s="73"/>
      <c r="AH926" s="73"/>
      <c r="AI926" s="74"/>
    </row>
    <row r="927" spans="26:35" ht="14.25" customHeight="1" x14ac:dyDescent="0.2">
      <c r="Z927" s="72"/>
      <c r="AA927" s="73"/>
      <c r="AB927" s="73"/>
      <c r="AC927" s="73"/>
      <c r="AD927" s="73"/>
      <c r="AE927" s="73"/>
      <c r="AF927" s="73"/>
      <c r="AG927" s="73"/>
      <c r="AH927" s="73"/>
      <c r="AI927" s="74"/>
    </row>
    <row r="928" spans="26:35" ht="14.25" customHeight="1" x14ac:dyDescent="0.2">
      <c r="Z928" s="72"/>
      <c r="AA928" s="73"/>
      <c r="AB928" s="73"/>
      <c r="AC928" s="73"/>
      <c r="AD928" s="73"/>
      <c r="AE928" s="73"/>
      <c r="AF928" s="73"/>
      <c r="AG928" s="73"/>
      <c r="AH928" s="73"/>
      <c r="AI928" s="74"/>
    </row>
    <row r="929" spans="26:35" ht="14.25" customHeight="1" x14ac:dyDescent="0.2">
      <c r="Z929" s="72"/>
      <c r="AA929" s="73"/>
      <c r="AB929" s="73"/>
      <c r="AC929" s="73"/>
      <c r="AD929" s="73"/>
      <c r="AE929" s="73"/>
      <c r="AF929" s="73"/>
      <c r="AG929" s="73"/>
      <c r="AH929" s="73"/>
      <c r="AI929" s="74"/>
    </row>
    <row r="930" spans="26:35" ht="14.25" customHeight="1" x14ac:dyDescent="0.2">
      <c r="Z930" s="72"/>
      <c r="AA930" s="73"/>
      <c r="AB930" s="73"/>
      <c r="AC930" s="73"/>
      <c r="AD930" s="73"/>
      <c r="AE930" s="73"/>
      <c r="AF930" s="73"/>
      <c r="AG930" s="73"/>
      <c r="AH930" s="73"/>
      <c r="AI930" s="74"/>
    </row>
    <row r="931" spans="26:35" ht="14.25" customHeight="1" x14ac:dyDescent="0.2">
      <c r="Z931" s="72"/>
      <c r="AA931" s="73"/>
      <c r="AB931" s="73"/>
      <c r="AC931" s="73"/>
      <c r="AD931" s="73"/>
      <c r="AE931" s="73"/>
      <c r="AF931" s="73"/>
      <c r="AG931" s="73"/>
      <c r="AH931" s="73"/>
      <c r="AI931" s="74"/>
    </row>
    <row r="932" spans="26:35" ht="14.25" customHeight="1" x14ac:dyDescent="0.2">
      <c r="Z932" s="72"/>
      <c r="AA932" s="73"/>
      <c r="AB932" s="73"/>
      <c r="AC932" s="73"/>
      <c r="AD932" s="73"/>
      <c r="AE932" s="73"/>
      <c r="AF932" s="73"/>
      <c r="AG932" s="73"/>
      <c r="AH932" s="73"/>
      <c r="AI932" s="74"/>
    </row>
    <row r="933" spans="26:35" ht="14.25" customHeight="1" x14ac:dyDescent="0.2">
      <c r="Z933" s="72"/>
      <c r="AA933" s="73"/>
      <c r="AB933" s="73"/>
      <c r="AC933" s="73"/>
      <c r="AD933" s="73"/>
      <c r="AE933" s="73"/>
      <c r="AF933" s="73"/>
      <c r="AG933" s="73"/>
      <c r="AH933" s="73"/>
      <c r="AI933" s="74"/>
    </row>
    <row r="934" spans="26:35" ht="14.25" customHeight="1" x14ac:dyDescent="0.2">
      <c r="Z934" s="72"/>
      <c r="AA934" s="73"/>
      <c r="AB934" s="73"/>
      <c r="AC934" s="73"/>
      <c r="AD934" s="73"/>
      <c r="AE934" s="73"/>
      <c r="AF934" s="73"/>
      <c r="AG934" s="73"/>
      <c r="AH934" s="73"/>
      <c r="AI934" s="74"/>
    </row>
    <row r="935" spans="26:35" ht="14.25" customHeight="1" x14ac:dyDescent="0.2">
      <c r="Z935" s="72"/>
      <c r="AA935" s="73"/>
      <c r="AB935" s="73"/>
      <c r="AC935" s="73"/>
      <c r="AD935" s="73"/>
      <c r="AE935" s="73"/>
      <c r="AF935" s="73"/>
      <c r="AG935" s="73"/>
      <c r="AH935" s="73"/>
      <c r="AI935" s="74"/>
    </row>
    <row r="936" spans="26:35" ht="14.25" customHeight="1" x14ac:dyDescent="0.2">
      <c r="Z936" s="72"/>
      <c r="AA936" s="73"/>
      <c r="AB936" s="73"/>
      <c r="AC936" s="73"/>
      <c r="AD936" s="73"/>
      <c r="AE936" s="73"/>
      <c r="AF936" s="73"/>
      <c r="AG936" s="73"/>
      <c r="AH936" s="73"/>
      <c r="AI936" s="74"/>
    </row>
    <row r="937" spans="26:35" ht="14.25" customHeight="1" x14ac:dyDescent="0.2">
      <c r="Z937" s="72"/>
      <c r="AA937" s="73"/>
      <c r="AB937" s="73"/>
      <c r="AC937" s="73"/>
      <c r="AD937" s="73"/>
      <c r="AE937" s="73"/>
      <c r="AF937" s="73"/>
      <c r="AG937" s="73"/>
      <c r="AH937" s="73"/>
      <c r="AI937" s="74"/>
    </row>
    <row r="938" spans="26:35" ht="14.25" customHeight="1" x14ac:dyDescent="0.2">
      <c r="Z938" s="72"/>
      <c r="AA938" s="73"/>
      <c r="AB938" s="73"/>
      <c r="AC938" s="73"/>
      <c r="AD938" s="73"/>
      <c r="AE938" s="73"/>
      <c r="AF938" s="73"/>
      <c r="AG938" s="73"/>
      <c r="AH938" s="73"/>
      <c r="AI938" s="74"/>
    </row>
    <row r="939" spans="26:35" ht="14.25" customHeight="1" x14ac:dyDescent="0.2">
      <c r="Z939" s="72"/>
      <c r="AA939" s="73"/>
      <c r="AB939" s="73"/>
      <c r="AC939" s="73"/>
      <c r="AD939" s="73"/>
      <c r="AE939" s="73"/>
      <c r="AF939" s="73"/>
      <c r="AG939" s="73"/>
      <c r="AH939" s="73"/>
      <c r="AI939" s="74"/>
    </row>
    <row r="940" spans="26:35" ht="14.25" customHeight="1" x14ac:dyDescent="0.2">
      <c r="Z940" s="72"/>
      <c r="AA940" s="73"/>
      <c r="AB940" s="73"/>
      <c r="AC940" s="73"/>
      <c r="AD940" s="73"/>
      <c r="AE940" s="73"/>
      <c r="AF940" s="73"/>
      <c r="AG940" s="73"/>
      <c r="AH940" s="73"/>
      <c r="AI940" s="74"/>
    </row>
    <row r="941" spans="26:35" ht="14.25" customHeight="1" x14ac:dyDescent="0.2">
      <c r="Z941" s="72"/>
      <c r="AA941" s="73"/>
      <c r="AB941" s="73"/>
      <c r="AC941" s="73"/>
      <c r="AD941" s="73"/>
      <c r="AE941" s="73"/>
      <c r="AF941" s="73"/>
      <c r="AG941" s="73"/>
      <c r="AH941" s="73"/>
      <c r="AI941" s="74"/>
    </row>
    <row r="942" spans="26:35" ht="14.25" customHeight="1" x14ac:dyDescent="0.2">
      <c r="Z942" s="72"/>
      <c r="AA942" s="73"/>
      <c r="AB942" s="73"/>
      <c r="AC942" s="73"/>
      <c r="AD942" s="73"/>
      <c r="AE942" s="73"/>
      <c r="AF942" s="73"/>
      <c r="AG942" s="73"/>
      <c r="AH942" s="73"/>
      <c r="AI942" s="74"/>
    </row>
    <row r="943" spans="26:35" ht="14.25" customHeight="1" x14ac:dyDescent="0.2">
      <c r="Z943" s="72"/>
      <c r="AA943" s="73"/>
      <c r="AB943" s="73"/>
      <c r="AC943" s="73"/>
      <c r="AD943" s="73"/>
      <c r="AE943" s="73"/>
      <c r="AF943" s="73"/>
      <c r="AG943" s="73"/>
      <c r="AH943" s="73"/>
      <c r="AI943" s="74"/>
    </row>
    <row r="944" spans="26:35" ht="14.25" customHeight="1" x14ac:dyDescent="0.2">
      <c r="Z944" s="72"/>
      <c r="AA944" s="73"/>
      <c r="AB944" s="73"/>
      <c r="AC944" s="73"/>
      <c r="AD944" s="73"/>
      <c r="AE944" s="73"/>
      <c r="AF944" s="73"/>
      <c r="AG944" s="73"/>
      <c r="AH944" s="73"/>
      <c r="AI944" s="74"/>
    </row>
    <row r="945" spans="26:35" ht="14.25" customHeight="1" x14ac:dyDescent="0.2">
      <c r="Z945" s="72"/>
      <c r="AA945" s="73"/>
      <c r="AB945" s="73"/>
      <c r="AC945" s="73"/>
      <c r="AD945" s="73"/>
      <c r="AE945" s="73"/>
      <c r="AF945" s="73"/>
      <c r="AG945" s="73"/>
      <c r="AH945" s="73"/>
      <c r="AI945" s="74"/>
    </row>
    <row r="946" spans="26:35" ht="14.25" customHeight="1" x14ac:dyDescent="0.2">
      <c r="Z946" s="72"/>
      <c r="AA946" s="73"/>
      <c r="AB946" s="73"/>
      <c r="AC946" s="73"/>
      <c r="AD946" s="73"/>
      <c r="AE946" s="73"/>
      <c r="AF946" s="73"/>
      <c r="AG946" s="73"/>
      <c r="AH946" s="73"/>
      <c r="AI946" s="74"/>
    </row>
    <row r="947" spans="26:35" ht="14.25" customHeight="1" x14ac:dyDescent="0.2">
      <c r="Z947" s="72"/>
      <c r="AA947" s="73"/>
      <c r="AB947" s="73"/>
      <c r="AC947" s="73"/>
      <c r="AD947" s="73"/>
      <c r="AE947" s="73"/>
      <c r="AF947" s="73"/>
      <c r="AG947" s="73"/>
      <c r="AH947" s="73"/>
      <c r="AI947" s="74"/>
    </row>
    <row r="948" spans="26:35" ht="14.25" customHeight="1" x14ac:dyDescent="0.2">
      <c r="Z948" s="72"/>
      <c r="AA948" s="73"/>
      <c r="AB948" s="73"/>
      <c r="AC948" s="73"/>
      <c r="AD948" s="73"/>
      <c r="AE948" s="73"/>
      <c r="AF948" s="73"/>
      <c r="AG948" s="73"/>
      <c r="AH948" s="73"/>
      <c r="AI948" s="74"/>
    </row>
    <row r="949" spans="26:35" ht="14.25" customHeight="1" x14ac:dyDescent="0.2">
      <c r="Z949" s="72"/>
      <c r="AA949" s="73"/>
      <c r="AB949" s="73"/>
      <c r="AC949" s="73"/>
      <c r="AD949" s="73"/>
      <c r="AE949" s="73"/>
      <c r="AF949" s="73"/>
      <c r="AG949" s="73"/>
      <c r="AH949" s="73"/>
      <c r="AI949" s="74"/>
    </row>
    <row r="950" spans="26:35" ht="14.25" customHeight="1" x14ac:dyDescent="0.2">
      <c r="Z950" s="72"/>
      <c r="AA950" s="73"/>
      <c r="AB950" s="73"/>
      <c r="AC950" s="73"/>
      <c r="AD950" s="73"/>
      <c r="AE950" s="73"/>
      <c r="AF950" s="73"/>
      <c r="AG950" s="73"/>
      <c r="AH950" s="73"/>
      <c r="AI950" s="74"/>
    </row>
    <row r="951" spans="26:35" ht="14.25" customHeight="1" x14ac:dyDescent="0.2">
      <c r="Z951" s="72"/>
      <c r="AA951" s="73"/>
      <c r="AB951" s="73"/>
      <c r="AC951" s="73"/>
      <c r="AD951" s="73"/>
      <c r="AE951" s="73"/>
      <c r="AF951" s="73"/>
      <c r="AG951" s="73"/>
      <c r="AH951" s="73"/>
      <c r="AI951" s="74"/>
    </row>
    <row r="952" spans="26:35" ht="14.25" customHeight="1" x14ac:dyDescent="0.2">
      <c r="Z952" s="72"/>
      <c r="AA952" s="73"/>
      <c r="AB952" s="73"/>
      <c r="AC952" s="73"/>
      <c r="AD952" s="73"/>
      <c r="AE952" s="73"/>
      <c r="AF952" s="73"/>
      <c r="AG952" s="73"/>
      <c r="AH952" s="73"/>
      <c r="AI952" s="74"/>
    </row>
    <row r="953" spans="26:35" ht="14.25" customHeight="1" x14ac:dyDescent="0.2">
      <c r="Z953" s="72"/>
      <c r="AA953" s="73"/>
      <c r="AB953" s="73"/>
      <c r="AC953" s="73"/>
      <c r="AD953" s="73"/>
      <c r="AE953" s="73"/>
      <c r="AF953" s="73"/>
      <c r="AG953" s="73"/>
      <c r="AH953" s="73"/>
      <c r="AI953" s="74"/>
    </row>
    <row r="954" spans="26:35" ht="14.25" customHeight="1" x14ac:dyDescent="0.2">
      <c r="Z954" s="72"/>
      <c r="AA954" s="73"/>
      <c r="AB954" s="73"/>
      <c r="AC954" s="73"/>
      <c r="AD954" s="73"/>
      <c r="AE954" s="73"/>
      <c r="AF954" s="73"/>
      <c r="AG954" s="73"/>
      <c r="AH954" s="73"/>
      <c r="AI954" s="74"/>
    </row>
    <row r="955" spans="26:35" ht="14.25" customHeight="1" x14ac:dyDescent="0.2">
      <c r="Z955" s="72"/>
      <c r="AA955" s="73"/>
      <c r="AB955" s="73"/>
      <c r="AC955" s="73"/>
      <c r="AD955" s="73"/>
      <c r="AE955" s="73"/>
      <c r="AF955" s="73"/>
      <c r="AG955" s="73"/>
      <c r="AH955" s="73"/>
      <c r="AI955" s="74"/>
    </row>
    <row r="956" spans="26:35" ht="14.25" customHeight="1" x14ac:dyDescent="0.2">
      <c r="Z956" s="72"/>
      <c r="AA956" s="73"/>
      <c r="AB956" s="73"/>
      <c r="AC956" s="73"/>
      <c r="AD956" s="73"/>
      <c r="AE956" s="73"/>
      <c r="AF956" s="73"/>
      <c r="AG956" s="73"/>
      <c r="AH956" s="73"/>
      <c r="AI956" s="74"/>
    </row>
    <row r="957" spans="26:35" ht="14.25" customHeight="1" x14ac:dyDescent="0.2">
      <c r="Z957" s="72"/>
      <c r="AA957" s="73"/>
      <c r="AB957" s="73"/>
      <c r="AC957" s="73"/>
      <c r="AD957" s="73"/>
      <c r="AE957" s="73"/>
      <c r="AF957" s="73"/>
      <c r="AG957" s="73"/>
      <c r="AH957" s="73"/>
      <c r="AI957" s="74"/>
    </row>
    <row r="958" spans="26:35" ht="14.25" customHeight="1" x14ac:dyDescent="0.2">
      <c r="Z958" s="72"/>
      <c r="AA958" s="73"/>
      <c r="AB958" s="73"/>
      <c r="AC958" s="73"/>
      <c r="AD958" s="73"/>
      <c r="AE958" s="73"/>
      <c r="AF958" s="73"/>
      <c r="AG958" s="73"/>
      <c r="AH958" s="73"/>
      <c r="AI958" s="74"/>
    </row>
    <row r="959" spans="26:35" ht="14.25" customHeight="1" x14ac:dyDescent="0.2">
      <c r="Z959" s="72"/>
      <c r="AA959" s="73"/>
      <c r="AB959" s="73"/>
      <c r="AC959" s="73"/>
      <c r="AD959" s="73"/>
      <c r="AE959" s="73"/>
      <c r="AF959" s="73"/>
      <c r="AG959" s="73"/>
      <c r="AH959" s="73"/>
      <c r="AI959" s="74"/>
    </row>
    <row r="960" spans="26:35" ht="14.25" customHeight="1" x14ac:dyDescent="0.2">
      <c r="Z960" s="72"/>
      <c r="AA960" s="73"/>
      <c r="AB960" s="73"/>
      <c r="AC960" s="73"/>
      <c r="AD960" s="73"/>
      <c r="AE960" s="73"/>
      <c r="AF960" s="73"/>
      <c r="AG960" s="73"/>
      <c r="AH960" s="73"/>
      <c r="AI960" s="74"/>
    </row>
    <row r="961" spans="26:35" ht="14.25" customHeight="1" x14ac:dyDescent="0.2">
      <c r="Z961" s="72"/>
      <c r="AA961" s="73"/>
      <c r="AB961" s="73"/>
      <c r="AC961" s="73"/>
      <c r="AD961" s="73"/>
      <c r="AE961" s="73"/>
      <c r="AF961" s="73"/>
      <c r="AG961" s="73"/>
      <c r="AH961" s="73"/>
      <c r="AI961" s="74"/>
    </row>
    <row r="962" spans="26:35" ht="14.25" customHeight="1" x14ac:dyDescent="0.2">
      <c r="Z962" s="72"/>
      <c r="AA962" s="73"/>
      <c r="AB962" s="73"/>
      <c r="AC962" s="73"/>
      <c r="AD962" s="73"/>
      <c r="AE962" s="73"/>
      <c r="AF962" s="73"/>
      <c r="AG962" s="73"/>
      <c r="AH962" s="73"/>
      <c r="AI962" s="74"/>
    </row>
    <row r="963" spans="26:35" ht="14.25" customHeight="1" x14ac:dyDescent="0.2">
      <c r="Z963" s="72"/>
      <c r="AA963" s="73"/>
      <c r="AB963" s="73"/>
      <c r="AC963" s="73"/>
      <c r="AD963" s="73"/>
      <c r="AE963" s="73"/>
      <c r="AF963" s="73"/>
      <c r="AG963" s="73"/>
      <c r="AH963" s="73"/>
      <c r="AI963" s="74"/>
    </row>
    <row r="964" spans="26:35" ht="14.25" customHeight="1" x14ac:dyDescent="0.2">
      <c r="Z964" s="72"/>
      <c r="AA964" s="73"/>
      <c r="AB964" s="73"/>
      <c r="AC964" s="73"/>
      <c r="AD964" s="73"/>
      <c r="AE964" s="73"/>
      <c r="AF964" s="73"/>
      <c r="AG964" s="73"/>
      <c r="AH964" s="73"/>
      <c r="AI964" s="74"/>
    </row>
    <row r="965" spans="26:35" ht="14.25" customHeight="1" x14ac:dyDescent="0.2">
      <c r="Z965" s="72"/>
      <c r="AA965" s="73"/>
      <c r="AB965" s="73"/>
      <c r="AC965" s="73"/>
      <c r="AD965" s="73"/>
      <c r="AE965" s="73"/>
      <c r="AF965" s="73"/>
      <c r="AG965" s="73"/>
      <c r="AH965" s="73"/>
      <c r="AI965" s="74"/>
    </row>
    <row r="966" spans="26:35" ht="14.25" customHeight="1" x14ac:dyDescent="0.2">
      <c r="Z966" s="72"/>
      <c r="AA966" s="73"/>
      <c r="AB966" s="73"/>
      <c r="AC966" s="73"/>
      <c r="AD966" s="73"/>
      <c r="AE966" s="73"/>
      <c r="AF966" s="73"/>
      <c r="AG966" s="73"/>
      <c r="AH966" s="73"/>
      <c r="AI966" s="74"/>
    </row>
    <row r="967" spans="26:35" ht="14.25" customHeight="1" x14ac:dyDescent="0.2">
      <c r="Z967" s="72"/>
      <c r="AA967" s="73"/>
      <c r="AB967" s="73"/>
      <c r="AC967" s="73"/>
      <c r="AD967" s="73"/>
      <c r="AE967" s="73"/>
      <c r="AF967" s="73"/>
      <c r="AG967" s="73"/>
      <c r="AH967" s="73"/>
      <c r="AI967" s="74"/>
    </row>
    <row r="968" spans="26:35" ht="14.25" customHeight="1" x14ac:dyDescent="0.2">
      <c r="Z968" s="72"/>
      <c r="AA968" s="73"/>
      <c r="AB968" s="73"/>
      <c r="AC968" s="73"/>
      <c r="AD968" s="73"/>
      <c r="AE968" s="73"/>
      <c r="AF968" s="73"/>
      <c r="AG968" s="73"/>
      <c r="AH968" s="73"/>
      <c r="AI968" s="74"/>
    </row>
    <row r="969" spans="26:35" ht="14.25" customHeight="1" x14ac:dyDescent="0.2">
      <c r="Z969" s="72"/>
      <c r="AA969" s="73"/>
      <c r="AB969" s="73"/>
      <c r="AC969" s="73"/>
      <c r="AD969" s="73"/>
      <c r="AE969" s="73"/>
      <c r="AF969" s="73"/>
      <c r="AG969" s="73"/>
      <c r="AH969" s="73"/>
      <c r="AI969" s="74"/>
    </row>
    <row r="970" spans="26:35" ht="14.25" customHeight="1" x14ac:dyDescent="0.2">
      <c r="Z970" s="72"/>
      <c r="AA970" s="73"/>
      <c r="AB970" s="73"/>
      <c r="AC970" s="73"/>
      <c r="AD970" s="73"/>
      <c r="AE970" s="73"/>
      <c r="AF970" s="73"/>
      <c r="AG970" s="73"/>
      <c r="AH970" s="73"/>
      <c r="AI970" s="74"/>
    </row>
    <row r="971" spans="26:35" ht="14.25" customHeight="1" x14ac:dyDescent="0.2">
      <c r="Z971" s="72"/>
      <c r="AA971" s="73"/>
      <c r="AB971" s="73"/>
      <c r="AC971" s="73"/>
      <c r="AD971" s="73"/>
      <c r="AE971" s="73"/>
      <c r="AF971" s="73"/>
      <c r="AG971" s="73"/>
      <c r="AH971" s="73"/>
      <c r="AI971" s="74"/>
    </row>
    <row r="972" spans="26:35" ht="14.25" customHeight="1" x14ac:dyDescent="0.2">
      <c r="Z972" s="72"/>
      <c r="AA972" s="73"/>
      <c r="AB972" s="73"/>
      <c r="AC972" s="73"/>
      <c r="AD972" s="73"/>
      <c r="AE972" s="73"/>
      <c r="AF972" s="73"/>
      <c r="AG972" s="73"/>
      <c r="AH972" s="73"/>
      <c r="AI972" s="74"/>
    </row>
    <row r="973" spans="26:35" ht="14.25" customHeight="1" x14ac:dyDescent="0.2">
      <c r="Z973" s="72"/>
      <c r="AA973" s="73"/>
      <c r="AB973" s="73"/>
      <c r="AC973" s="73"/>
      <c r="AD973" s="73"/>
      <c r="AE973" s="73"/>
      <c r="AF973" s="73"/>
      <c r="AG973" s="73"/>
      <c r="AH973" s="73"/>
      <c r="AI973" s="74"/>
    </row>
    <row r="974" spans="26:35" ht="14.25" customHeight="1" x14ac:dyDescent="0.2">
      <c r="Z974" s="72"/>
      <c r="AA974" s="73"/>
      <c r="AB974" s="73"/>
      <c r="AC974" s="73"/>
      <c r="AD974" s="73"/>
      <c r="AE974" s="73"/>
      <c r="AF974" s="73"/>
      <c r="AG974" s="73"/>
      <c r="AH974" s="73"/>
      <c r="AI974" s="74"/>
    </row>
    <row r="975" spans="26:35" ht="14.25" customHeight="1" x14ac:dyDescent="0.2">
      <c r="Z975" s="72"/>
      <c r="AA975" s="73"/>
      <c r="AB975" s="73"/>
      <c r="AC975" s="73"/>
      <c r="AD975" s="73"/>
      <c r="AE975" s="73"/>
      <c r="AF975" s="73"/>
      <c r="AG975" s="73"/>
      <c r="AH975" s="73"/>
      <c r="AI975" s="74"/>
    </row>
    <row r="976" spans="26:35" ht="14.25" customHeight="1" x14ac:dyDescent="0.2">
      <c r="Z976" s="72"/>
      <c r="AA976" s="73"/>
      <c r="AB976" s="73"/>
      <c r="AC976" s="73"/>
      <c r="AD976" s="73"/>
      <c r="AE976" s="73"/>
      <c r="AF976" s="73"/>
      <c r="AG976" s="73"/>
      <c r="AH976" s="73"/>
      <c r="AI976" s="74"/>
    </row>
    <row r="977" spans="26:35" ht="14.25" customHeight="1" x14ac:dyDescent="0.2">
      <c r="Z977" s="72"/>
      <c r="AA977" s="73"/>
      <c r="AB977" s="73"/>
      <c r="AC977" s="73"/>
      <c r="AD977" s="73"/>
      <c r="AE977" s="73"/>
      <c r="AF977" s="73"/>
      <c r="AG977" s="73"/>
      <c r="AH977" s="73"/>
      <c r="AI977" s="74"/>
    </row>
    <row r="978" spans="26:35" ht="14.25" customHeight="1" x14ac:dyDescent="0.2">
      <c r="Z978" s="72"/>
      <c r="AA978" s="73"/>
      <c r="AB978" s="73"/>
      <c r="AC978" s="73"/>
      <c r="AD978" s="73"/>
      <c r="AE978" s="73"/>
      <c r="AF978" s="73"/>
      <c r="AG978" s="73"/>
      <c r="AH978" s="73"/>
      <c r="AI978" s="74"/>
    </row>
    <row r="979" spans="26:35" ht="14.25" customHeight="1" x14ac:dyDescent="0.2">
      <c r="Z979" s="72"/>
      <c r="AA979" s="73"/>
      <c r="AB979" s="73"/>
      <c r="AC979" s="73"/>
      <c r="AD979" s="73"/>
      <c r="AE979" s="73"/>
      <c r="AF979" s="73"/>
      <c r="AG979" s="73"/>
      <c r="AH979" s="73"/>
      <c r="AI979" s="74"/>
    </row>
    <row r="980" spans="26:35" ht="14.25" customHeight="1" x14ac:dyDescent="0.2">
      <c r="Z980" s="72"/>
      <c r="AA980" s="73"/>
      <c r="AB980" s="73"/>
      <c r="AC980" s="73"/>
      <c r="AD980" s="73"/>
      <c r="AE980" s="73"/>
      <c r="AF980" s="73"/>
      <c r="AG980" s="73"/>
      <c r="AH980" s="73"/>
      <c r="AI980" s="74"/>
    </row>
    <row r="981" spans="26:35" ht="14.25" customHeight="1" x14ac:dyDescent="0.2">
      <c r="Z981" s="72"/>
      <c r="AA981" s="73"/>
      <c r="AB981" s="73"/>
      <c r="AC981" s="73"/>
      <c r="AD981" s="73"/>
      <c r="AE981" s="73"/>
      <c r="AF981" s="73"/>
      <c r="AG981" s="73"/>
      <c r="AH981" s="73"/>
      <c r="AI981" s="74"/>
    </row>
    <row r="982" spans="26:35" ht="14.25" customHeight="1" x14ac:dyDescent="0.2">
      <c r="Z982" s="72"/>
      <c r="AA982" s="73"/>
      <c r="AB982" s="73"/>
      <c r="AC982" s="73"/>
      <c r="AD982" s="73"/>
      <c r="AE982" s="73"/>
      <c r="AF982" s="73"/>
      <c r="AG982" s="73"/>
      <c r="AH982" s="73"/>
      <c r="AI982" s="74"/>
    </row>
    <row r="983" spans="26:35" ht="14.25" customHeight="1" x14ac:dyDescent="0.2">
      <c r="Z983" s="72"/>
      <c r="AA983" s="73"/>
      <c r="AB983" s="73"/>
      <c r="AC983" s="73"/>
      <c r="AD983" s="73"/>
      <c r="AE983" s="73"/>
      <c r="AF983" s="73"/>
      <c r="AG983" s="73"/>
      <c r="AH983" s="73"/>
      <c r="AI983" s="74"/>
    </row>
    <row r="984" spans="26:35" ht="14.25" customHeight="1" x14ac:dyDescent="0.2">
      <c r="Z984" s="72"/>
      <c r="AA984" s="73"/>
      <c r="AB984" s="73"/>
      <c r="AC984" s="73"/>
      <c r="AD984" s="73"/>
      <c r="AE984" s="73"/>
      <c r="AF984" s="73"/>
      <c r="AG984" s="73"/>
      <c r="AH984" s="73"/>
      <c r="AI984" s="74"/>
    </row>
    <row r="985" spans="26:35" ht="14.25" customHeight="1" x14ac:dyDescent="0.2">
      <c r="Z985" s="72"/>
      <c r="AA985" s="73"/>
      <c r="AB985" s="73"/>
      <c r="AC985" s="73"/>
      <c r="AD985" s="73"/>
      <c r="AE985" s="73"/>
      <c r="AF985" s="73"/>
      <c r="AG985" s="73"/>
      <c r="AH985" s="73"/>
      <c r="AI985" s="74"/>
    </row>
    <row r="986" spans="26:35" ht="14.25" customHeight="1" x14ac:dyDescent="0.2">
      <c r="Z986" s="72"/>
      <c r="AA986" s="73"/>
      <c r="AB986" s="73"/>
      <c r="AC986" s="73"/>
      <c r="AD986" s="73"/>
      <c r="AE986" s="73"/>
      <c r="AF986" s="73"/>
      <c r="AG986" s="73"/>
      <c r="AH986" s="73"/>
      <c r="AI986" s="74"/>
    </row>
    <row r="987" spans="26:35" ht="14.25" customHeight="1" x14ac:dyDescent="0.2">
      <c r="Z987" s="72"/>
      <c r="AA987" s="73"/>
      <c r="AB987" s="73"/>
      <c r="AC987" s="73"/>
      <c r="AD987" s="73"/>
      <c r="AE987" s="73"/>
      <c r="AF987" s="73"/>
      <c r="AG987" s="73"/>
      <c r="AH987" s="73"/>
      <c r="AI987" s="74"/>
    </row>
    <row r="988" spans="26:35" ht="14.25" customHeight="1" x14ac:dyDescent="0.2">
      <c r="Z988" s="72"/>
      <c r="AA988" s="73"/>
      <c r="AB988" s="73"/>
      <c r="AC988" s="73"/>
      <c r="AD988" s="73"/>
      <c r="AE988" s="73"/>
      <c r="AF988" s="73"/>
      <c r="AG988" s="73"/>
      <c r="AH988" s="73"/>
      <c r="AI988" s="74"/>
    </row>
    <row r="989" spans="26:35" ht="14.25" customHeight="1" x14ac:dyDescent="0.2">
      <c r="Z989" s="72"/>
      <c r="AA989" s="73"/>
      <c r="AB989" s="73"/>
      <c r="AC989" s="73"/>
      <c r="AD989" s="73"/>
      <c r="AE989" s="73"/>
      <c r="AF989" s="73"/>
      <c r="AG989" s="73"/>
      <c r="AH989" s="73"/>
      <c r="AI989" s="74"/>
    </row>
    <row r="990" spans="26:35" ht="14.25" customHeight="1" x14ac:dyDescent="0.2">
      <c r="Z990" s="72"/>
      <c r="AA990" s="73"/>
      <c r="AB990" s="73"/>
      <c r="AC990" s="73"/>
      <c r="AD990" s="73"/>
      <c r="AE990" s="73"/>
      <c r="AF990" s="73"/>
      <c r="AG990" s="73"/>
      <c r="AH990" s="73"/>
      <c r="AI990" s="74"/>
    </row>
    <row r="991" spans="26:35" ht="14.25" customHeight="1" x14ac:dyDescent="0.2">
      <c r="Z991" s="72"/>
      <c r="AA991" s="73"/>
      <c r="AB991" s="73"/>
      <c r="AC991" s="73"/>
      <c r="AD991" s="73"/>
      <c r="AE991" s="73"/>
      <c r="AF991" s="73"/>
      <c r="AG991" s="73"/>
      <c r="AH991" s="73"/>
      <c r="AI991" s="74"/>
    </row>
    <row r="992" spans="26:35" ht="14.25" customHeight="1" x14ac:dyDescent="0.2">
      <c r="Z992" s="72"/>
      <c r="AA992" s="73"/>
      <c r="AB992" s="73"/>
      <c r="AC992" s="73"/>
      <c r="AD992" s="73"/>
      <c r="AE992" s="73"/>
      <c r="AF992" s="73"/>
      <c r="AG992" s="73"/>
      <c r="AH992" s="73"/>
      <c r="AI992" s="74"/>
    </row>
    <row r="993" spans="26:35" ht="14.25" customHeight="1" x14ac:dyDescent="0.2">
      <c r="Z993" s="72"/>
      <c r="AA993" s="73"/>
      <c r="AB993" s="73"/>
      <c r="AC993" s="73"/>
      <c r="AD993" s="73"/>
      <c r="AE993" s="73"/>
      <c r="AF993" s="73"/>
      <c r="AG993" s="73"/>
      <c r="AH993" s="73"/>
      <c r="AI993" s="74"/>
    </row>
    <row r="994" spans="26:35" ht="14.25" customHeight="1" x14ac:dyDescent="0.2">
      <c r="Z994" s="72"/>
      <c r="AA994" s="73"/>
      <c r="AB994" s="73"/>
      <c r="AC994" s="73"/>
      <c r="AD994" s="73"/>
      <c r="AE994" s="73"/>
      <c r="AF994" s="73"/>
      <c r="AG994" s="73"/>
      <c r="AH994" s="73"/>
      <c r="AI994" s="74"/>
    </row>
    <row r="995" spans="26:35" ht="14.25" customHeight="1" x14ac:dyDescent="0.2">
      <c r="Z995" s="72"/>
      <c r="AA995" s="73"/>
      <c r="AB995" s="73"/>
      <c r="AC995" s="73"/>
      <c r="AD995" s="73"/>
      <c r="AE995" s="73"/>
      <c r="AF995" s="73"/>
      <c r="AG995" s="73"/>
      <c r="AH995" s="73"/>
      <c r="AI995" s="74"/>
    </row>
    <row r="996" spans="26:35" ht="14.25" customHeight="1" x14ac:dyDescent="0.2">
      <c r="Z996" s="72"/>
      <c r="AA996" s="73"/>
      <c r="AB996" s="73"/>
      <c r="AC996" s="73"/>
      <c r="AD996" s="73"/>
      <c r="AE996" s="73"/>
      <c r="AF996" s="73"/>
      <c r="AG996" s="73"/>
      <c r="AH996" s="73"/>
      <c r="AI996" s="74"/>
    </row>
    <row r="997" spans="26:35" ht="14.25" customHeight="1" x14ac:dyDescent="0.2">
      <c r="Z997" s="72"/>
      <c r="AA997" s="73"/>
      <c r="AB997" s="73"/>
      <c r="AC997" s="73"/>
      <c r="AD997" s="73"/>
      <c r="AE997" s="73"/>
      <c r="AF997" s="73"/>
      <c r="AG997" s="73"/>
      <c r="AH997" s="73"/>
      <c r="AI997" s="74"/>
    </row>
    <row r="998" spans="26:35" ht="14.25" customHeight="1" x14ac:dyDescent="0.2">
      <c r="Z998" s="72"/>
      <c r="AA998" s="73"/>
      <c r="AB998" s="73"/>
      <c r="AC998" s="73"/>
      <c r="AD998" s="73"/>
      <c r="AE998" s="73"/>
      <c r="AF998" s="73"/>
      <c r="AG998" s="73"/>
      <c r="AH998" s="73"/>
      <c r="AI998" s="74"/>
    </row>
    <row r="999" spans="26:35" ht="14.25" customHeight="1" x14ac:dyDescent="0.2">
      <c r="Z999" s="72"/>
      <c r="AA999" s="73"/>
      <c r="AB999" s="73"/>
      <c r="AC999" s="73"/>
      <c r="AD999" s="73"/>
      <c r="AE999" s="73"/>
      <c r="AF999" s="73"/>
      <c r="AG999" s="73"/>
      <c r="AH999" s="73"/>
      <c r="AI999" s="74"/>
    </row>
    <row r="1000" spans="26:35" ht="14.25" customHeight="1" x14ac:dyDescent="0.2">
      <c r="Z1000" s="72"/>
      <c r="AA1000" s="73"/>
      <c r="AB1000" s="73"/>
      <c r="AC1000" s="73"/>
      <c r="AD1000" s="73"/>
      <c r="AE1000" s="73"/>
      <c r="AF1000" s="73"/>
      <c r="AG1000" s="73"/>
      <c r="AH1000" s="73"/>
      <c r="AI1000" s="74"/>
    </row>
    <row r="1001" spans="26:35" ht="14.25" customHeight="1" x14ac:dyDescent="0.2">
      <c r="Z1001" s="72"/>
      <c r="AA1001" s="73"/>
      <c r="AB1001" s="73"/>
      <c r="AC1001" s="73"/>
      <c r="AD1001" s="73"/>
      <c r="AE1001" s="73"/>
      <c r="AF1001" s="73"/>
      <c r="AG1001" s="73"/>
      <c r="AH1001" s="73"/>
      <c r="AI1001" s="74"/>
    </row>
    <row r="1002" spans="26:35" ht="14.25" customHeight="1" x14ac:dyDescent="0.2">
      <c r="Z1002" s="72"/>
      <c r="AA1002" s="73"/>
      <c r="AB1002" s="73"/>
      <c r="AC1002" s="73"/>
      <c r="AD1002" s="73"/>
      <c r="AE1002" s="73"/>
      <c r="AF1002" s="73"/>
      <c r="AG1002" s="73"/>
      <c r="AH1002" s="73"/>
      <c r="AI1002" s="74"/>
    </row>
    <row r="1003" spans="26:35" ht="14.25" customHeight="1" x14ac:dyDescent="0.2">
      <c r="Z1003" s="72"/>
      <c r="AA1003" s="73"/>
      <c r="AB1003" s="73"/>
      <c r="AC1003" s="73"/>
      <c r="AD1003" s="73"/>
      <c r="AE1003" s="73"/>
      <c r="AF1003" s="73"/>
      <c r="AG1003" s="73"/>
      <c r="AH1003" s="73"/>
      <c r="AI1003" s="74"/>
    </row>
    <row r="1004" spans="26:35" ht="14.25" customHeight="1" x14ac:dyDescent="0.2">
      <c r="Z1004" s="72"/>
      <c r="AA1004" s="73"/>
      <c r="AB1004" s="73"/>
      <c r="AC1004" s="73"/>
      <c r="AD1004" s="73"/>
      <c r="AE1004" s="73"/>
      <c r="AF1004" s="73"/>
      <c r="AG1004" s="73"/>
      <c r="AH1004" s="73"/>
      <c r="AI1004" s="74"/>
    </row>
    <row r="1005" spans="26:35" ht="14.25" customHeight="1" x14ac:dyDescent="0.2">
      <c r="Z1005" s="72"/>
      <c r="AA1005" s="73"/>
      <c r="AB1005" s="73"/>
      <c r="AC1005" s="73"/>
      <c r="AD1005" s="73"/>
      <c r="AE1005" s="73"/>
      <c r="AF1005" s="73"/>
      <c r="AG1005" s="73"/>
      <c r="AH1005" s="73"/>
      <c r="AI1005" s="74"/>
    </row>
    <row r="1006" spans="26:35" ht="14.25" customHeight="1" x14ac:dyDescent="0.2">
      <c r="Z1006" s="72"/>
      <c r="AA1006" s="73"/>
      <c r="AB1006" s="73"/>
      <c r="AC1006" s="73"/>
      <c r="AD1006" s="73"/>
      <c r="AE1006" s="73"/>
      <c r="AF1006" s="73"/>
      <c r="AG1006" s="73"/>
      <c r="AH1006" s="73"/>
      <c r="AI1006" s="74"/>
    </row>
    <row r="1007" spans="26:35" ht="14.25" customHeight="1" x14ac:dyDescent="0.2">
      <c r="Z1007" s="72"/>
      <c r="AA1007" s="73"/>
      <c r="AB1007" s="73"/>
      <c r="AC1007" s="73"/>
      <c r="AD1007" s="73"/>
      <c r="AE1007" s="73"/>
      <c r="AF1007" s="73"/>
      <c r="AG1007" s="73"/>
      <c r="AH1007" s="73"/>
      <c r="AI1007" s="74"/>
    </row>
    <row r="1008" spans="26:35" ht="14.25" customHeight="1" x14ac:dyDescent="0.2">
      <c r="Z1008" s="72"/>
      <c r="AA1008" s="73"/>
      <c r="AB1008" s="73"/>
      <c r="AC1008" s="73"/>
      <c r="AD1008" s="73"/>
      <c r="AE1008" s="73"/>
      <c r="AF1008" s="73"/>
      <c r="AG1008" s="73"/>
      <c r="AH1008" s="73"/>
      <c r="AI1008" s="74"/>
    </row>
    <row r="1009" spans="26:35" ht="14.25" customHeight="1" x14ac:dyDescent="0.2">
      <c r="Z1009" s="72"/>
      <c r="AA1009" s="73"/>
      <c r="AB1009" s="73"/>
      <c r="AC1009" s="73"/>
      <c r="AD1009" s="73"/>
      <c r="AE1009" s="73"/>
      <c r="AF1009" s="73"/>
      <c r="AG1009" s="73"/>
      <c r="AH1009" s="73"/>
      <c r="AI1009" s="74"/>
    </row>
    <row r="1010" spans="26:35" ht="14.25" customHeight="1" x14ac:dyDescent="0.2">
      <c r="Z1010" s="72"/>
      <c r="AA1010" s="73"/>
      <c r="AB1010" s="73"/>
      <c r="AC1010" s="73"/>
      <c r="AD1010" s="73"/>
      <c r="AE1010" s="73"/>
      <c r="AF1010" s="73"/>
      <c r="AG1010" s="73"/>
      <c r="AH1010" s="73"/>
      <c r="AI1010" s="74"/>
    </row>
    <row r="1011" spans="26:35" ht="14.25" customHeight="1" x14ac:dyDescent="0.2">
      <c r="Z1011" s="72"/>
      <c r="AA1011" s="73"/>
      <c r="AB1011" s="73"/>
      <c r="AC1011" s="73"/>
      <c r="AD1011" s="73"/>
      <c r="AE1011" s="73"/>
      <c r="AF1011" s="73"/>
      <c r="AG1011" s="73"/>
      <c r="AH1011" s="73"/>
      <c r="AI1011" s="74"/>
    </row>
    <row r="1012" spans="26:35" ht="14.25" customHeight="1" x14ac:dyDescent="0.2">
      <c r="Z1012" s="72"/>
      <c r="AA1012" s="73"/>
      <c r="AB1012" s="73"/>
      <c r="AC1012" s="73"/>
      <c r="AD1012" s="73"/>
      <c r="AE1012" s="73"/>
      <c r="AF1012" s="73"/>
      <c r="AG1012" s="73"/>
      <c r="AH1012" s="73"/>
      <c r="AI1012" s="74"/>
    </row>
    <row r="1013" spans="26:35" ht="14.25" customHeight="1" x14ac:dyDescent="0.2">
      <c r="Z1013" s="72"/>
      <c r="AA1013" s="73"/>
      <c r="AB1013" s="73"/>
      <c r="AC1013" s="73"/>
      <c r="AD1013" s="73"/>
      <c r="AE1013" s="73"/>
      <c r="AF1013" s="73"/>
      <c r="AG1013" s="73"/>
      <c r="AH1013" s="73"/>
      <c r="AI1013" s="74"/>
    </row>
    <row r="1014" spans="26:35" ht="14.25" customHeight="1" x14ac:dyDescent="0.2">
      <c r="Z1014" s="72"/>
      <c r="AA1014" s="73"/>
      <c r="AB1014" s="73"/>
      <c r="AC1014" s="73"/>
      <c r="AD1014" s="73"/>
      <c r="AE1014" s="73"/>
      <c r="AF1014" s="73"/>
      <c r="AG1014" s="73"/>
      <c r="AH1014" s="73"/>
      <c r="AI1014" s="74"/>
    </row>
    <row r="1015" spans="26:35" ht="14.25" customHeight="1" x14ac:dyDescent="0.2">
      <c r="Z1015" s="72"/>
      <c r="AA1015" s="73"/>
      <c r="AB1015" s="73"/>
      <c r="AC1015" s="73"/>
      <c r="AD1015" s="73"/>
      <c r="AE1015" s="73"/>
      <c r="AF1015" s="73"/>
      <c r="AG1015" s="73"/>
      <c r="AH1015" s="73"/>
      <c r="AI1015" s="74"/>
    </row>
    <row r="1016" spans="26:35" ht="14.25" customHeight="1" x14ac:dyDescent="0.2">
      <c r="Z1016" s="72"/>
      <c r="AA1016" s="73"/>
      <c r="AB1016" s="73"/>
      <c r="AC1016" s="73"/>
      <c r="AD1016" s="73"/>
      <c r="AE1016" s="73"/>
      <c r="AF1016" s="73"/>
      <c r="AG1016" s="73"/>
      <c r="AH1016" s="73"/>
      <c r="AI1016" s="74"/>
    </row>
    <row r="1017" spans="26:35" ht="14.25" customHeight="1" x14ac:dyDescent="0.2">
      <c r="Z1017" s="72"/>
      <c r="AA1017" s="73"/>
      <c r="AB1017" s="73"/>
      <c r="AC1017" s="73"/>
      <c r="AD1017" s="73"/>
      <c r="AE1017" s="73"/>
      <c r="AF1017" s="73"/>
      <c r="AG1017" s="73"/>
      <c r="AH1017" s="73"/>
      <c r="AI1017" s="74"/>
    </row>
    <row r="1018" spans="26:35" ht="14.25" customHeight="1" x14ac:dyDescent="0.2">
      <c r="Z1018" s="72"/>
      <c r="AA1018" s="73"/>
      <c r="AB1018" s="73"/>
      <c r="AC1018" s="73"/>
      <c r="AD1018" s="73"/>
      <c r="AE1018" s="73"/>
      <c r="AF1018" s="73"/>
      <c r="AG1018" s="73"/>
      <c r="AH1018" s="73"/>
      <c r="AI1018" s="74"/>
    </row>
    <row r="1019" spans="26:35" ht="14.25" customHeight="1" x14ac:dyDescent="0.2">
      <c r="Z1019" s="72"/>
      <c r="AA1019" s="73"/>
      <c r="AB1019" s="73"/>
      <c r="AC1019" s="73"/>
      <c r="AD1019" s="73"/>
      <c r="AE1019" s="73"/>
      <c r="AF1019" s="73"/>
      <c r="AG1019" s="73"/>
      <c r="AH1019" s="73"/>
      <c r="AI1019" s="74"/>
    </row>
    <row r="1020" spans="26:35" ht="14.25" customHeight="1" x14ac:dyDescent="0.2">
      <c r="Z1020" s="72"/>
      <c r="AA1020" s="73"/>
      <c r="AB1020" s="73"/>
      <c r="AC1020" s="73"/>
      <c r="AD1020" s="73"/>
      <c r="AE1020" s="73"/>
      <c r="AF1020" s="73"/>
      <c r="AG1020" s="73"/>
      <c r="AH1020" s="73"/>
      <c r="AI1020" s="74"/>
    </row>
    <row r="1021" spans="26:35" ht="14.25" customHeight="1" x14ac:dyDescent="0.2">
      <c r="Z1021" s="72"/>
      <c r="AA1021" s="73"/>
      <c r="AB1021" s="73"/>
      <c r="AC1021" s="73"/>
      <c r="AD1021" s="73"/>
      <c r="AE1021" s="73"/>
      <c r="AF1021" s="73"/>
      <c r="AG1021" s="73"/>
      <c r="AH1021" s="73"/>
      <c r="AI1021" s="74"/>
    </row>
    <row r="1022" spans="26:35" ht="14.25" customHeight="1" x14ac:dyDescent="0.2">
      <c r="Z1022" s="72"/>
      <c r="AA1022" s="73"/>
      <c r="AB1022" s="73"/>
      <c r="AC1022" s="73"/>
      <c r="AD1022" s="73"/>
      <c r="AE1022" s="73"/>
      <c r="AF1022" s="73"/>
      <c r="AG1022" s="73"/>
      <c r="AH1022" s="73"/>
      <c r="AI1022" s="74"/>
    </row>
    <row r="1023" spans="26:35" ht="14.25" customHeight="1" x14ac:dyDescent="0.2">
      <c r="Z1023" s="72"/>
      <c r="AA1023" s="73"/>
      <c r="AB1023" s="73"/>
      <c r="AC1023" s="73"/>
      <c r="AD1023" s="73"/>
      <c r="AE1023" s="73"/>
      <c r="AF1023" s="73"/>
      <c r="AG1023" s="73"/>
      <c r="AH1023" s="73"/>
      <c r="AI1023" s="74"/>
    </row>
    <row r="1024" spans="26:35" ht="14.25" customHeight="1" x14ac:dyDescent="0.2">
      <c r="Z1024" s="72"/>
      <c r="AA1024" s="73"/>
      <c r="AB1024" s="73"/>
      <c r="AC1024" s="73"/>
      <c r="AD1024" s="73"/>
      <c r="AE1024" s="73"/>
      <c r="AF1024" s="73"/>
      <c r="AG1024" s="73"/>
      <c r="AH1024" s="73"/>
      <c r="AI1024" s="74"/>
    </row>
    <row r="1025" spans="26:35" ht="14.25" customHeight="1" x14ac:dyDescent="0.2">
      <c r="Z1025" s="72"/>
      <c r="AA1025" s="73"/>
      <c r="AB1025" s="73"/>
      <c r="AC1025" s="73"/>
      <c r="AD1025" s="73"/>
      <c r="AE1025" s="73"/>
      <c r="AF1025" s="73"/>
      <c r="AG1025" s="73"/>
      <c r="AH1025" s="73"/>
      <c r="AI1025" s="74"/>
    </row>
    <row r="1026" spans="26:35" ht="14.25" customHeight="1" x14ac:dyDescent="0.2">
      <c r="Z1026" s="72"/>
      <c r="AA1026" s="73"/>
      <c r="AB1026" s="73"/>
      <c r="AC1026" s="73"/>
      <c r="AD1026" s="73"/>
      <c r="AE1026" s="73"/>
      <c r="AF1026" s="73"/>
      <c r="AG1026" s="73"/>
      <c r="AH1026" s="73"/>
      <c r="AI1026" s="74"/>
    </row>
    <row r="1027" spans="26:35" ht="14.25" customHeight="1" x14ac:dyDescent="0.2">
      <c r="Z1027" s="72"/>
      <c r="AA1027" s="73"/>
      <c r="AB1027" s="73"/>
      <c r="AC1027" s="73"/>
      <c r="AD1027" s="73"/>
      <c r="AE1027" s="73"/>
      <c r="AF1027" s="73"/>
      <c r="AG1027" s="73"/>
      <c r="AH1027" s="73"/>
      <c r="AI1027" s="74"/>
    </row>
    <row r="1028" spans="26:35" ht="14.25" customHeight="1" x14ac:dyDescent="0.2">
      <c r="Z1028" s="72"/>
      <c r="AA1028" s="73"/>
      <c r="AB1028" s="73"/>
      <c r="AC1028" s="73"/>
      <c r="AD1028" s="73"/>
      <c r="AE1028" s="73"/>
      <c r="AF1028" s="73"/>
      <c r="AG1028" s="73"/>
      <c r="AH1028" s="73"/>
      <c r="AI1028" s="74"/>
    </row>
    <row r="1029" spans="26:35" ht="14.25" customHeight="1" x14ac:dyDescent="0.2">
      <c r="Z1029" s="72"/>
      <c r="AA1029" s="73"/>
      <c r="AB1029" s="73"/>
      <c r="AC1029" s="73"/>
      <c r="AD1029" s="73"/>
      <c r="AE1029" s="73"/>
      <c r="AF1029" s="73"/>
      <c r="AG1029" s="73"/>
      <c r="AH1029" s="73"/>
      <c r="AI1029" s="74"/>
    </row>
    <row r="1030" spans="26:35" ht="14.25" customHeight="1" x14ac:dyDescent="0.2">
      <c r="Z1030" s="72"/>
      <c r="AA1030" s="73"/>
      <c r="AB1030" s="73"/>
      <c r="AC1030" s="73"/>
      <c r="AD1030" s="73"/>
      <c r="AE1030" s="73"/>
      <c r="AF1030" s="73"/>
      <c r="AG1030" s="73"/>
      <c r="AH1030" s="73"/>
      <c r="AI1030" s="74"/>
    </row>
    <row r="1031" spans="26:35" ht="14.25" customHeight="1" x14ac:dyDescent="0.2">
      <c r="Z1031" s="72"/>
      <c r="AA1031" s="73"/>
      <c r="AB1031" s="73"/>
      <c r="AC1031" s="73"/>
      <c r="AD1031" s="73"/>
      <c r="AE1031" s="73"/>
      <c r="AF1031" s="73"/>
      <c r="AG1031" s="73"/>
      <c r="AH1031" s="73"/>
      <c r="AI1031" s="74"/>
    </row>
    <row r="1032" spans="26:35" ht="14.25" customHeight="1" x14ac:dyDescent="0.2">
      <c r="Z1032" s="72"/>
      <c r="AA1032" s="73"/>
      <c r="AB1032" s="73"/>
      <c r="AC1032" s="73"/>
      <c r="AD1032" s="73"/>
      <c r="AE1032" s="73"/>
      <c r="AF1032" s="73"/>
      <c r="AG1032" s="73"/>
      <c r="AH1032" s="73"/>
      <c r="AI1032" s="74"/>
    </row>
    <row r="1033" spans="26:35" ht="14.25" customHeight="1" x14ac:dyDescent="0.2">
      <c r="Z1033" s="72"/>
      <c r="AA1033" s="73"/>
      <c r="AB1033" s="73"/>
      <c r="AC1033" s="73"/>
      <c r="AD1033" s="73"/>
      <c r="AE1033" s="73"/>
      <c r="AF1033" s="73"/>
      <c r="AG1033" s="73"/>
      <c r="AH1033" s="73"/>
      <c r="AI1033" s="74"/>
    </row>
    <row r="1034" spans="26:35" ht="14.25" customHeight="1" x14ac:dyDescent="0.2">
      <c r="Z1034" s="72"/>
      <c r="AA1034" s="73"/>
      <c r="AB1034" s="73"/>
      <c r="AC1034" s="73"/>
      <c r="AD1034" s="73"/>
      <c r="AE1034" s="73"/>
      <c r="AF1034" s="73"/>
      <c r="AG1034" s="73"/>
      <c r="AH1034" s="73"/>
      <c r="AI1034" s="74"/>
    </row>
    <row r="1035" spans="26:35" ht="14.25" customHeight="1" x14ac:dyDescent="0.2">
      <c r="Z1035" s="72"/>
      <c r="AA1035" s="73"/>
      <c r="AB1035" s="73"/>
      <c r="AC1035" s="73"/>
      <c r="AD1035" s="73"/>
      <c r="AE1035" s="73"/>
      <c r="AF1035" s="73"/>
      <c r="AG1035" s="73"/>
      <c r="AH1035" s="73"/>
      <c r="AI1035" s="74"/>
    </row>
    <row r="1036" spans="26:35" ht="14.25" customHeight="1" x14ac:dyDescent="0.2">
      <c r="Z1036" s="72"/>
      <c r="AA1036" s="73"/>
      <c r="AB1036" s="73"/>
      <c r="AC1036" s="73"/>
      <c r="AD1036" s="73"/>
      <c r="AE1036" s="73"/>
      <c r="AF1036" s="73"/>
      <c r="AG1036" s="73"/>
      <c r="AH1036" s="73"/>
      <c r="AI1036" s="74"/>
    </row>
    <row r="1037" spans="26:35" ht="14.25" customHeight="1" x14ac:dyDescent="0.2">
      <c r="Z1037" s="72"/>
      <c r="AA1037" s="73"/>
      <c r="AB1037" s="73"/>
      <c r="AC1037" s="73"/>
      <c r="AD1037" s="73"/>
      <c r="AE1037" s="73"/>
      <c r="AF1037" s="73"/>
      <c r="AG1037" s="73"/>
      <c r="AH1037" s="73"/>
      <c r="AI1037" s="74"/>
    </row>
    <row r="1038" spans="26:35" ht="14.25" customHeight="1" x14ac:dyDescent="0.2">
      <c r="Z1038" s="72"/>
      <c r="AA1038" s="73"/>
      <c r="AB1038" s="73"/>
      <c r="AC1038" s="73"/>
      <c r="AD1038" s="73"/>
      <c r="AE1038" s="73"/>
      <c r="AF1038" s="73"/>
      <c r="AG1038" s="73"/>
      <c r="AH1038" s="73"/>
      <c r="AI1038" s="74"/>
    </row>
    <row r="1039" spans="26:35" ht="14.25" customHeight="1" x14ac:dyDescent="0.2">
      <c r="Z1039" s="72"/>
      <c r="AA1039" s="73"/>
      <c r="AB1039" s="73"/>
      <c r="AC1039" s="73"/>
      <c r="AD1039" s="73"/>
      <c r="AE1039" s="73"/>
      <c r="AF1039" s="73"/>
      <c r="AG1039" s="73"/>
      <c r="AH1039" s="73"/>
      <c r="AI1039" s="74"/>
    </row>
    <row r="1040" spans="26:35" ht="14.25" customHeight="1" x14ac:dyDescent="0.2">
      <c r="Z1040" s="72"/>
      <c r="AA1040" s="73"/>
      <c r="AB1040" s="73"/>
      <c r="AC1040" s="73"/>
      <c r="AD1040" s="73"/>
      <c r="AE1040" s="73"/>
      <c r="AF1040" s="73"/>
      <c r="AG1040" s="73"/>
      <c r="AH1040" s="73"/>
      <c r="AI1040" s="74"/>
    </row>
    <row r="1041" spans="26:35" ht="14.25" customHeight="1" x14ac:dyDescent="0.2">
      <c r="Z1041" s="72"/>
      <c r="AA1041" s="73"/>
      <c r="AB1041" s="73"/>
      <c r="AC1041" s="73"/>
      <c r="AD1041" s="73"/>
      <c r="AE1041" s="73"/>
      <c r="AF1041" s="73"/>
      <c r="AG1041" s="73"/>
      <c r="AH1041" s="73"/>
      <c r="AI1041" s="74"/>
    </row>
    <row r="1042" spans="26:35" ht="14.25" customHeight="1" x14ac:dyDescent="0.2">
      <c r="Z1042" s="72"/>
      <c r="AA1042" s="73"/>
      <c r="AB1042" s="73"/>
      <c r="AC1042" s="73"/>
      <c r="AD1042" s="73"/>
      <c r="AE1042" s="73"/>
      <c r="AF1042" s="73"/>
      <c r="AG1042" s="73"/>
      <c r="AH1042" s="73"/>
      <c r="AI1042" s="74"/>
    </row>
    <row r="1043" spans="26:35" ht="14.25" customHeight="1" x14ac:dyDescent="0.2">
      <c r="Z1043" s="72"/>
      <c r="AA1043" s="73"/>
      <c r="AB1043" s="73"/>
      <c r="AC1043" s="73"/>
      <c r="AD1043" s="73"/>
      <c r="AE1043" s="73"/>
      <c r="AF1043" s="73"/>
      <c r="AG1043" s="73"/>
      <c r="AH1043" s="73"/>
      <c r="AI1043" s="74"/>
    </row>
    <row r="1044" spans="26:35" ht="14.25" customHeight="1" x14ac:dyDescent="0.2">
      <c r="Z1044" s="72"/>
      <c r="AA1044" s="73"/>
      <c r="AB1044" s="73"/>
      <c r="AC1044" s="73"/>
      <c r="AD1044" s="73"/>
      <c r="AE1044" s="73"/>
      <c r="AF1044" s="73"/>
      <c r="AG1044" s="73"/>
      <c r="AH1044" s="73"/>
      <c r="AI1044" s="74"/>
    </row>
    <row r="1045" spans="26:35" ht="14.25" customHeight="1" x14ac:dyDescent="0.2">
      <c r="Z1045" s="72"/>
      <c r="AA1045" s="73"/>
      <c r="AB1045" s="73"/>
      <c r="AC1045" s="73"/>
      <c r="AD1045" s="73"/>
      <c r="AE1045" s="73"/>
      <c r="AF1045" s="73"/>
      <c r="AG1045" s="73"/>
      <c r="AH1045" s="73"/>
      <c r="AI1045" s="74"/>
    </row>
    <row r="1046" spans="26:35" ht="14.25" customHeight="1" x14ac:dyDescent="0.2">
      <c r="Z1046" s="72"/>
      <c r="AA1046" s="73"/>
      <c r="AB1046" s="73"/>
      <c r="AC1046" s="73"/>
      <c r="AD1046" s="73"/>
      <c r="AE1046" s="73"/>
      <c r="AF1046" s="73"/>
      <c r="AG1046" s="73"/>
      <c r="AH1046" s="73"/>
      <c r="AI1046" s="74"/>
    </row>
    <row r="1047" spans="26:35" ht="14.25" customHeight="1" x14ac:dyDescent="0.2">
      <c r="Z1047" s="72"/>
      <c r="AA1047" s="73"/>
      <c r="AB1047" s="73"/>
      <c r="AC1047" s="73"/>
      <c r="AD1047" s="73"/>
      <c r="AE1047" s="73"/>
      <c r="AF1047" s="73"/>
      <c r="AG1047" s="73"/>
      <c r="AH1047" s="73"/>
      <c r="AI1047" s="74"/>
    </row>
    <row r="1048" spans="26:35" ht="14.25" customHeight="1" x14ac:dyDescent="0.2">
      <c r="Z1048" s="72"/>
      <c r="AA1048" s="73"/>
      <c r="AB1048" s="73"/>
      <c r="AC1048" s="73"/>
      <c r="AD1048" s="73"/>
      <c r="AE1048" s="73"/>
      <c r="AF1048" s="73"/>
      <c r="AG1048" s="73"/>
      <c r="AH1048" s="73"/>
      <c r="AI1048" s="74"/>
    </row>
    <row r="1049" spans="26:35" ht="14.25" customHeight="1" x14ac:dyDescent="0.2">
      <c r="Z1049" s="72"/>
      <c r="AA1049" s="73"/>
      <c r="AB1049" s="73"/>
      <c r="AC1049" s="73"/>
      <c r="AD1049" s="73"/>
      <c r="AE1049" s="73"/>
      <c r="AF1049" s="73"/>
      <c r="AG1049" s="73"/>
      <c r="AH1049" s="73"/>
      <c r="AI1049" s="74"/>
    </row>
    <row r="1050" spans="26:35" ht="14.25" customHeight="1" x14ac:dyDescent="0.2">
      <c r="Z1050" s="72"/>
      <c r="AA1050" s="73"/>
      <c r="AB1050" s="73"/>
      <c r="AC1050" s="73"/>
      <c r="AD1050" s="73"/>
      <c r="AE1050" s="73"/>
      <c r="AF1050" s="73"/>
      <c r="AG1050" s="73"/>
      <c r="AH1050" s="73"/>
      <c r="AI1050" s="74"/>
    </row>
    <row r="1051" spans="26:35" ht="14.25" customHeight="1" x14ac:dyDescent="0.2">
      <c r="Z1051" s="72"/>
      <c r="AA1051" s="73"/>
      <c r="AB1051" s="73"/>
      <c r="AC1051" s="73"/>
      <c r="AD1051" s="73"/>
      <c r="AE1051" s="73"/>
      <c r="AF1051" s="73"/>
      <c r="AG1051" s="73"/>
      <c r="AH1051" s="73"/>
      <c r="AI1051" s="74"/>
    </row>
    <row r="1052" spans="26:35" ht="14.25" customHeight="1" x14ac:dyDescent="0.2">
      <c r="Z1052" s="72"/>
      <c r="AA1052" s="73"/>
      <c r="AB1052" s="73"/>
      <c r="AC1052" s="73"/>
      <c r="AD1052" s="73"/>
      <c r="AE1052" s="73"/>
      <c r="AF1052" s="73"/>
      <c r="AG1052" s="73"/>
      <c r="AH1052" s="73"/>
      <c r="AI1052" s="74"/>
    </row>
    <row r="1053" spans="26:35" ht="14.25" customHeight="1" x14ac:dyDescent="0.2">
      <c r="Z1053" s="72"/>
      <c r="AA1053" s="73"/>
      <c r="AB1053" s="73"/>
      <c r="AC1053" s="73"/>
      <c r="AD1053" s="73"/>
      <c r="AE1053" s="73"/>
      <c r="AF1053" s="73"/>
      <c r="AG1053" s="73"/>
      <c r="AH1053" s="73"/>
      <c r="AI1053" s="74"/>
    </row>
    <row r="1054" spans="26:35" ht="14.25" customHeight="1" x14ac:dyDescent="0.2">
      <c r="Z1054" s="72"/>
      <c r="AA1054" s="73"/>
      <c r="AB1054" s="73"/>
      <c r="AC1054" s="73"/>
      <c r="AD1054" s="73"/>
      <c r="AE1054" s="73"/>
      <c r="AF1054" s="73"/>
      <c r="AG1054" s="73"/>
      <c r="AH1054" s="73"/>
      <c r="AI1054" s="74"/>
    </row>
    <row r="1055" spans="26:35" ht="14.25" customHeight="1" x14ac:dyDescent="0.2">
      <c r="Z1055" s="72"/>
      <c r="AA1055" s="73"/>
      <c r="AB1055" s="73"/>
      <c r="AC1055" s="73"/>
      <c r="AD1055" s="73"/>
      <c r="AE1055" s="73"/>
      <c r="AF1055" s="73"/>
      <c r="AG1055" s="73"/>
      <c r="AH1055" s="73"/>
      <c r="AI1055" s="74"/>
    </row>
    <row r="1056" spans="26:35" ht="14.25" customHeight="1" x14ac:dyDescent="0.2">
      <c r="Z1056" s="72"/>
      <c r="AA1056" s="73"/>
      <c r="AB1056" s="73"/>
      <c r="AC1056" s="73"/>
      <c r="AD1056" s="73"/>
      <c r="AE1056" s="73"/>
      <c r="AF1056" s="73"/>
      <c r="AG1056" s="73"/>
      <c r="AH1056" s="73"/>
      <c r="AI1056" s="74"/>
    </row>
    <row r="1057" spans="26:35" ht="14.25" customHeight="1" x14ac:dyDescent="0.2">
      <c r="Z1057" s="72"/>
      <c r="AA1057" s="73"/>
      <c r="AB1057" s="73"/>
      <c r="AC1057" s="73"/>
      <c r="AD1057" s="73"/>
      <c r="AE1057" s="73"/>
      <c r="AF1057" s="73"/>
      <c r="AG1057" s="73"/>
      <c r="AH1057" s="73"/>
      <c r="AI1057" s="74"/>
    </row>
    <row r="1058" spans="26:35" ht="14.25" customHeight="1" x14ac:dyDescent="0.2">
      <c r="Z1058" s="72"/>
      <c r="AA1058" s="73"/>
      <c r="AB1058" s="73"/>
      <c r="AC1058" s="73"/>
      <c r="AD1058" s="73"/>
      <c r="AE1058" s="73"/>
      <c r="AF1058" s="73"/>
      <c r="AG1058" s="73"/>
      <c r="AH1058" s="73"/>
      <c r="AI1058" s="74"/>
    </row>
    <row r="1059" spans="26:35" ht="14.25" customHeight="1" x14ac:dyDescent="0.2">
      <c r="Z1059" s="72"/>
      <c r="AA1059" s="73"/>
      <c r="AB1059" s="73"/>
      <c r="AC1059" s="73"/>
      <c r="AD1059" s="73"/>
      <c r="AE1059" s="73"/>
      <c r="AF1059" s="73"/>
      <c r="AG1059" s="73"/>
      <c r="AH1059" s="73"/>
      <c r="AI1059" s="74"/>
    </row>
    <row r="1060" spans="26:35" ht="14.25" customHeight="1" x14ac:dyDescent="0.2">
      <c r="Z1060" s="72"/>
      <c r="AA1060" s="73"/>
      <c r="AB1060" s="73"/>
      <c r="AC1060" s="73"/>
      <c r="AD1060" s="73"/>
      <c r="AE1060" s="73"/>
      <c r="AF1060" s="73"/>
      <c r="AG1060" s="73"/>
      <c r="AH1060" s="73"/>
      <c r="AI1060" s="74"/>
    </row>
    <row r="1061" spans="26:35" ht="14.25" customHeight="1" x14ac:dyDescent="0.2">
      <c r="Z1061" s="72"/>
      <c r="AA1061" s="73"/>
      <c r="AB1061" s="73"/>
      <c r="AC1061" s="73"/>
      <c r="AD1061" s="73"/>
      <c r="AE1061" s="73"/>
      <c r="AF1061" s="73"/>
      <c r="AG1061" s="73"/>
      <c r="AH1061" s="73"/>
      <c r="AI1061" s="74"/>
    </row>
    <row r="1062" spans="26:35" ht="14.25" customHeight="1" x14ac:dyDescent="0.2">
      <c r="Z1062" s="72"/>
      <c r="AA1062" s="73"/>
      <c r="AB1062" s="73"/>
      <c r="AC1062" s="73"/>
      <c r="AD1062" s="73"/>
      <c r="AE1062" s="73"/>
      <c r="AF1062" s="73"/>
      <c r="AG1062" s="73"/>
      <c r="AH1062" s="73"/>
      <c r="AI1062" s="74"/>
    </row>
    <row r="1063" spans="26:35" ht="14.25" customHeight="1" x14ac:dyDescent="0.2">
      <c r="Z1063" s="72"/>
      <c r="AA1063" s="73"/>
      <c r="AB1063" s="73"/>
      <c r="AC1063" s="73"/>
      <c r="AD1063" s="73"/>
      <c r="AE1063" s="73"/>
      <c r="AF1063" s="73"/>
      <c r="AG1063" s="73"/>
      <c r="AH1063" s="73"/>
      <c r="AI1063" s="74"/>
    </row>
    <row r="1064" spans="26:35" ht="14.25" customHeight="1" x14ac:dyDescent="0.2">
      <c r="Z1064" s="72"/>
      <c r="AA1064" s="73"/>
      <c r="AB1064" s="73"/>
      <c r="AC1064" s="73"/>
      <c r="AD1064" s="73"/>
      <c r="AE1064" s="73"/>
      <c r="AF1064" s="73"/>
      <c r="AG1064" s="73"/>
      <c r="AH1064" s="73"/>
      <c r="AI1064" s="74"/>
    </row>
    <row r="1065" spans="26:35" ht="14.25" customHeight="1" x14ac:dyDescent="0.2">
      <c r="Z1065" s="72"/>
      <c r="AA1065" s="73"/>
      <c r="AB1065" s="73"/>
      <c r="AC1065" s="73"/>
      <c r="AD1065" s="73"/>
      <c r="AE1065" s="73"/>
      <c r="AF1065" s="73"/>
      <c r="AG1065" s="73"/>
      <c r="AH1065" s="73"/>
      <c r="AI1065" s="74"/>
    </row>
    <row r="1066" spans="26:35" ht="14.25" customHeight="1" x14ac:dyDescent="0.2">
      <c r="Z1066" s="72"/>
      <c r="AA1066" s="73"/>
      <c r="AB1066" s="73"/>
      <c r="AC1066" s="73"/>
      <c r="AD1066" s="73"/>
      <c r="AE1066" s="73"/>
      <c r="AF1066" s="73"/>
      <c r="AG1066" s="73"/>
      <c r="AH1066" s="73"/>
      <c r="AI1066" s="74"/>
    </row>
    <row r="1067" spans="26:35" ht="14.25" customHeight="1" x14ac:dyDescent="0.2">
      <c r="Z1067" s="72"/>
      <c r="AA1067" s="73"/>
      <c r="AB1067" s="73"/>
      <c r="AC1067" s="73"/>
      <c r="AD1067" s="73"/>
      <c r="AE1067" s="73"/>
      <c r="AF1067" s="73"/>
      <c r="AG1067" s="73"/>
      <c r="AH1067" s="73"/>
      <c r="AI1067" s="74"/>
    </row>
    <row r="1068" spans="26:35" ht="14.25" customHeight="1" x14ac:dyDescent="0.2">
      <c r="Z1068" s="72"/>
      <c r="AA1068" s="73"/>
      <c r="AB1068" s="73"/>
      <c r="AC1068" s="73"/>
      <c r="AD1068" s="73"/>
      <c r="AE1068" s="73"/>
      <c r="AF1068" s="73"/>
      <c r="AG1068" s="73"/>
      <c r="AH1068" s="73"/>
      <c r="AI1068" s="74"/>
    </row>
    <row r="1069" spans="26:35" ht="14.25" customHeight="1" x14ac:dyDescent="0.2">
      <c r="Z1069" s="72"/>
      <c r="AA1069" s="73"/>
      <c r="AB1069" s="73"/>
      <c r="AC1069" s="73"/>
      <c r="AD1069" s="73"/>
      <c r="AE1069" s="73"/>
      <c r="AF1069" s="73"/>
      <c r="AG1069" s="73"/>
      <c r="AH1069" s="73"/>
      <c r="AI1069" s="74"/>
    </row>
    <row r="1070" spans="26:35" ht="14.25" customHeight="1" x14ac:dyDescent="0.2">
      <c r="Z1070" s="72"/>
      <c r="AA1070" s="73"/>
      <c r="AB1070" s="73"/>
      <c r="AC1070" s="73"/>
      <c r="AD1070" s="73"/>
      <c r="AE1070" s="73"/>
      <c r="AF1070" s="73"/>
      <c r="AG1070" s="73"/>
      <c r="AH1070" s="73"/>
      <c r="AI1070" s="74"/>
    </row>
    <row r="1071" spans="26:35" ht="14.25" customHeight="1" x14ac:dyDescent="0.2">
      <c r="Z1071" s="72"/>
      <c r="AA1071" s="73"/>
      <c r="AB1071" s="73"/>
      <c r="AC1071" s="73"/>
      <c r="AD1071" s="73"/>
      <c r="AE1071" s="73"/>
      <c r="AF1071" s="73"/>
      <c r="AG1071" s="73"/>
      <c r="AH1071" s="73"/>
      <c r="AI1071" s="74"/>
    </row>
    <row r="1072" spans="26:35" ht="14.25" customHeight="1" x14ac:dyDescent="0.2">
      <c r="Z1072" s="72"/>
      <c r="AA1072" s="73"/>
      <c r="AB1072" s="73"/>
      <c r="AC1072" s="73"/>
      <c r="AD1072" s="73"/>
      <c r="AE1072" s="73"/>
      <c r="AF1072" s="73"/>
      <c r="AG1072" s="73"/>
      <c r="AH1072" s="73"/>
      <c r="AI1072" s="74"/>
    </row>
    <row r="1073" spans="26:35" ht="14.25" customHeight="1" x14ac:dyDescent="0.2">
      <c r="Z1073" s="72"/>
      <c r="AA1073" s="73"/>
      <c r="AB1073" s="73"/>
      <c r="AC1073" s="73"/>
      <c r="AD1073" s="73"/>
      <c r="AE1073" s="73"/>
      <c r="AF1073" s="73"/>
      <c r="AG1073" s="73"/>
      <c r="AH1073" s="73"/>
      <c r="AI1073" s="74"/>
    </row>
    <row r="1074" spans="26:35" ht="14.25" customHeight="1" x14ac:dyDescent="0.2">
      <c r="Z1074" s="72"/>
      <c r="AA1074" s="73"/>
      <c r="AB1074" s="73"/>
      <c r="AC1074" s="73"/>
      <c r="AD1074" s="73"/>
      <c r="AE1074" s="73"/>
      <c r="AF1074" s="73"/>
      <c r="AG1074" s="73"/>
      <c r="AH1074" s="73"/>
      <c r="AI1074" s="74"/>
    </row>
    <row r="1075" spans="26:35" ht="14.25" customHeight="1" x14ac:dyDescent="0.2">
      <c r="Z1075" s="72"/>
      <c r="AA1075" s="73"/>
      <c r="AB1075" s="73"/>
      <c r="AC1075" s="73"/>
      <c r="AD1075" s="73"/>
      <c r="AE1075" s="73"/>
      <c r="AF1075" s="73"/>
      <c r="AG1075" s="73"/>
      <c r="AH1075" s="73"/>
      <c r="AI1075" s="74"/>
    </row>
    <row r="1076" spans="26:35" ht="14.25" customHeight="1" x14ac:dyDescent="0.2">
      <c r="Z1076" s="72"/>
      <c r="AA1076" s="73"/>
      <c r="AB1076" s="73"/>
      <c r="AC1076" s="73"/>
      <c r="AD1076" s="73"/>
      <c r="AE1076" s="73"/>
      <c r="AF1076" s="73"/>
      <c r="AG1076" s="73"/>
      <c r="AH1076" s="73"/>
      <c r="AI1076" s="74"/>
    </row>
    <row r="1077" spans="26:35" ht="14.25" customHeight="1" x14ac:dyDescent="0.2">
      <c r="Z1077" s="72"/>
      <c r="AA1077" s="73"/>
      <c r="AB1077" s="73"/>
      <c r="AC1077" s="73"/>
      <c r="AD1077" s="73"/>
      <c r="AE1077" s="73"/>
      <c r="AF1077" s="73"/>
      <c r="AG1077" s="73"/>
      <c r="AH1077" s="73"/>
      <c r="AI1077" s="74"/>
    </row>
    <row r="1078" spans="26:35" ht="14.25" customHeight="1" x14ac:dyDescent="0.2">
      <c r="Z1078" s="72"/>
      <c r="AA1078" s="73"/>
      <c r="AB1078" s="73"/>
      <c r="AC1078" s="73"/>
      <c r="AD1078" s="73"/>
      <c r="AE1078" s="73"/>
      <c r="AF1078" s="73"/>
      <c r="AG1078" s="73"/>
      <c r="AH1078" s="73"/>
      <c r="AI1078" s="74"/>
    </row>
    <row r="1079" spans="26:35" ht="14.25" customHeight="1" x14ac:dyDescent="0.2">
      <c r="Z1079" s="72"/>
      <c r="AA1079" s="73"/>
      <c r="AB1079" s="73"/>
      <c r="AC1079" s="73"/>
      <c r="AD1079" s="73"/>
      <c r="AE1079" s="73"/>
      <c r="AF1079" s="73"/>
      <c r="AG1079" s="73"/>
      <c r="AH1079" s="73"/>
      <c r="AI1079" s="74"/>
    </row>
    <row r="1080" spans="26:35" ht="14.25" customHeight="1" x14ac:dyDescent="0.2">
      <c r="Z1080" s="72"/>
      <c r="AA1080" s="73"/>
      <c r="AB1080" s="73"/>
      <c r="AC1080" s="73"/>
      <c r="AD1080" s="73"/>
      <c r="AE1080" s="73"/>
      <c r="AF1080" s="73"/>
      <c r="AG1080" s="73"/>
      <c r="AH1080" s="73"/>
      <c r="AI1080" s="74"/>
    </row>
    <row r="1081" spans="26:35" ht="14.25" customHeight="1" x14ac:dyDescent="0.2">
      <c r="Z1081" s="72"/>
      <c r="AA1081" s="73"/>
      <c r="AB1081" s="73"/>
      <c r="AC1081" s="73"/>
      <c r="AD1081" s="73"/>
      <c r="AE1081" s="73"/>
      <c r="AF1081" s="73"/>
      <c r="AG1081" s="73"/>
      <c r="AH1081" s="73"/>
      <c r="AI1081" s="74"/>
    </row>
    <row r="1082" spans="26:35" ht="14.25" customHeight="1" x14ac:dyDescent="0.2">
      <c r="Z1082" s="72"/>
      <c r="AA1082" s="73"/>
      <c r="AB1082" s="73"/>
      <c r="AC1082" s="73"/>
      <c r="AD1082" s="73"/>
      <c r="AE1082" s="73"/>
      <c r="AF1082" s="73"/>
      <c r="AG1082" s="73"/>
      <c r="AH1082" s="73"/>
      <c r="AI1082" s="74"/>
    </row>
    <row r="1083" spans="26:35" ht="14.25" customHeight="1" x14ac:dyDescent="0.2">
      <c r="Z1083" s="72"/>
      <c r="AA1083" s="73"/>
      <c r="AB1083" s="73"/>
      <c r="AC1083" s="73"/>
      <c r="AD1083" s="73"/>
      <c r="AE1083" s="73"/>
      <c r="AF1083" s="73"/>
      <c r="AG1083" s="73"/>
      <c r="AH1083" s="73"/>
      <c r="AI1083" s="74"/>
    </row>
    <row r="1084" spans="26:35" ht="14.25" customHeight="1" x14ac:dyDescent="0.2">
      <c r="Z1084" s="72"/>
      <c r="AA1084" s="73"/>
      <c r="AB1084" s="73"/>
      <c r="AC1084" s="73"/>
      <c r="AD1084" s="73"/>
      <c r="AE1084" s="73"/>
      <c r="AF1084" s="73"/>
      <c r="AG1084" s="73"/>
      <c r="AH1084" s="73"/>
      <c r="AI1084" s="74"/>
    </row>
    <row r="1085" spans="26:35" ht="14.25" customHeight="1" x14ac:dyDescent="0.2">
      <c r="Z1085" s="72"/>
      <c r="AA1085" s="73"/>
      <c r="AB1085" s="73"/>
      <c r="AC1085" s="73"/>
      <c r="AD1085" s="73"/>
      <c r="AE1085" s="73"/>
      <c r="AF1085" s="73"/>
      <c r="AG1085" s="73"/>
      <c r="AH1085" s="73"/>
      <c r="AI1085" s="74"/>
    </row>
    <row r="1086" spans="26:35" ht="14.25" customHeight="1" x14ac:dyDescent="0.2">
      <c r="Z1086" s="72"/>
      <c r="AA1086" s="73"/>
      <c r="AB1086" s="73"/>
      <c r="AC1086" s="73"/>
      <c r="AD1086" s="73"/>
      <c r="AE1086" s="73"/>
      <c r="AF1086" s="73"/>
      <c r="AG1086" s="73"/>
      <c r="AH1086" s="73"/>
      <c r="AI1086" s="74"/>
    </row>
    <row r="1087" spans="26:35" ht="14.25" customHeight="1" x14ac:dyDescent="0.2">
      <c r="Z1087" s="72"/>
      <c r="AA1087" s="73"/>
      <c r="AB1087" s="73"/>
      <c r="AC1087" s="73"/>
      <c r="AD1087" s="73"/>
      <c r="AE1087" s="73"/>
      <c r="AF1087" s="73"/>
      <c r="AG1087" s="73"/>
      <c r="AH1087" s="73"/>
      <c r="AI1087" s="74"/>
    </row>
    <row r="1088" spans="26:35" ht="14.25" customHeight="1" x14ac:dyDescent="0.2">
      <c r="Z1088" s="72"/>
      <c r="AA1088" s="73"/>
      <c r="AB1088" s="73"/>
      <c r="AC1088" s="73"/>
      <c r="AD1088" s="73"/>
      <c r="AE1088" s="73"/>
      <c r="AF1088" s="73"/>
      <c r="AG1088" s="73"/>
      <c r="AH1088" s="73"/>
      <c r="AI1088" s="74"/>
    </row>
    <row r="1089" spans="26:35" ht="14.25" customHeight="1" x14ac:dyDescent="0.2">
      <c r="Z1089" s="72"/>
      <c r="AA1089" s="73"/>
      <c r="AB1089" s="73"/>
      <c r="AC1089" s="73"/>
      <c r="AD1089" s="73"/>
      <c r="AE1089" s="73"/>
      <c r="AF1089" s="73"/>
      <c r="AG1089" s="73"/>
      <c r="AH1089" s="73"/>
      <c r="AI1089" s="74"/>
    </row>
    <row r="1090" spans="26:35" ht="14.25" customHeight="1" x14ac:dyDescent="0.2">
      <c r="Z1090" s="72"/>
      <c r="AA1090" s="73"/>
      <c r="AB1090" s="73"/>
      <c r="AC1090" s="73"/>
      <c r="AD1090" s="73"/>
      <c r="AE1090" s="73"/>
      <c r="AF1090" s="73"/>
      <c r="AG1090" s="73"/>
      <c r="AH1090" s="73"/>
      <c r="AI1090" s="74"/>
    </row>
    <row r="1091" spans="26:35" ht="14.25" customHeight="1" x14ac:dyDescent="0.2">
      <c r="Z1091" s="72"/>
      <c r="AA1091" s="73"/>
      <c r="AB1091" s="73"/>
      <c r="AC1091" s="73"/>
      <c r="AD1091" s="73"/>
      <c r="AE1091" s="73"/>
      <c r="AF1091" s="73"/>
      <c r="AG1091" s="73"/>
      <c r="AH1091" s="73"/>
      <c r="AI1091" s="74"/>
    </row>
    <row r="1092" spans="26:35" ht="14.25" customHeight="1" x14ac:dyDescent="0.2">
      <c r="Z1092" s="72"/>
      <c r="AA1092" s="73"/>
      <c r="AB1092" s="73"/>
      <c r="AC1092" s="73"/>
      <c r="AD1092" s="73"/>
      <c r="AE1092" s="73"/>
      <c r="AF1092" s="73"/>
      <c r="AG1092" s="73"/>
      <c r="AH1092" s="73"/>
      <c r="AI1092" s="74"/>
    </row>
    <row r="1093" spans="26:35" ht="14.25" customHeight="1" x14ac:dyDescent="0.2">
      <c r="Z1093" s="72"/>
      <c r="AA1093" s="73"/>
      <c r="AB1093" s="73"/>
      <c r="AC1093" s="73"/>
      <c r="AD1093" s="73"/>
      <c r="AE1093" s="73"/>
      <c r="AF1093" s="73"/>
      <c r="AG1093" s="73"/>
      <c r="AH1093" s="73"/>
      <c r="AI1093" s="74"/>
    </row>
    <row r="1094" spans="26:35" ht="14.25" customHeight="1" x14ac:dyDescent="0.2">
      <c r="Z1094" s="72"/>
      <c r="AA1094" s="73"/>
      <c r="AB1094" s="73"/>
      <c r="AC1094" s="73"/>
      <c r="AD1094" s="73"/>
      <c r="AE1094" s="73"/>
      <c r="AF1094" s="73"/>
      <c r="AG1094" s="73"/>
      <c r="AH1094" s="73"/>
      <c r="AI1094" s="74"/>
    </row>
    <row r="1095" spans="26:35" ht="14.25" customHeight="1" x14ac:dyDescent="0.2">
      <c r="Z1095" s="72"/>
      <c r="AA1095" s="73"/>
      <c r="AB1095" s="73"/>
      <c r="AC1095" s="73"/>
      <c r="AD1095" s="73"/>
      <c r="AE1095" s="73"/>
      <c r="AF1095" s="73"/>
      <c r="AG1095" s="73"/>
      <c r="AH1095" s="73"/>
      <c r="AI1095" s="74"/>
    </row>
    <row r="1096" spans="26:35" ht="14.25" customHeight="1" x14ac:dyDescent="0.2">
      <c r="Z1096" s="72"/>
      <c r="AA1096" s="73"/>
      <c r="AB1096" s="73"/>
      <c r="AC1096" s="73"/>
      <c r="AD1096" s="73"/>
      <c r="AE1096" s="73"/>
      <c r="AF1096" s="73"/>
      <c r="AG1096" s="73"/>
      <c r="AH1096" s="73"/>
      <c r="AI1096" s="74"/>
    </row>
    <row r="1097" spans="26:35" ht="14.25" customHeight="1" x14ac:dyDescent="0.2">
      <c r="Z1097" s="72"/>
      <c r="AA1097" s="73"/>
      <c r="AB1097" s="73"/>
      <c r="AC1097" s="73"/>
      <c r="AD1097" s="73"/>
      <c r="AE1097" s="73"/>
      <c r="AF1097" s="73"/>
      <c r="AG1097" s="73"/>
      <c r="AH1097" s="73"/>
      <c r="AI1097" s="74"/>
    </row>
    <row r="1098" spans="26:35" ht="14.25" customHeight="1" x14ac:dyDescent="0.2">
      <c r="Z1098" s="72"/>
      <c r="AA1098" s="73"/>
      <c r="AB1098" s="73"/>
      <c r="AC1098" s="73"/>
      <c r="AD1098" s="73"/>
      <c r="AE1098" s="73"/>
      <c r="AF1098" s="73"/>
      <c r="AG1098" s="73"/>
      <c r="AH1098" s="73"/>
      <c r="AI1098" s="74"/>
    </row>
    <row r="1099" spans="26:35" ht="14.25" customHeight="1" x14ac:dyDescent="0.2">
      <c r="Z1099" s="72"/>
      <c r="AA1099" s="73"/>
      <c r="AB1099" s="73"/>
      <c r="AC1099" s="73"/>
      <c r="AD1099" s="73"/>
      <c r="AE1099" s="73"/>
      <c r="AF1099" s="73"/>
      <c r="AG1099" s="73"/>
      <c r="AH1099" s="73"/>
      <c r="AI1099" s="74"/>
    </row>
    <row r="1100" spans="26:35" ht="14.25" customHeight="1" x14ac:dyDescent="0.2">
      <c r="Z1100" s="72"/>
      <c r="AA1100" s="73"/>
      <c r="AB1100" s="73"/>
      <c r="AC1100" s="73"/>
      <c r="AD1100" s="73"/>
      <c r="AE1100" s="73"/>
      <c r="AF1100" s="73"/>
      <c r="AG1100" s="73"/>
      <c r="AH1100" s="73"/>
      <c r="AI1100" s="74"/>
    </row>
    <row r="1101" spans="26:35" ht="14.25" customHeight="1" x14ac:dyDescent="0.2">
      <c r="Z1101" s="72"/>
      <c r="AA1101" s="73"/>
      <c r="AB1101" s="73"/>
      <c r="AC1101" s="73"/>
      <c r="AD1101" s="73"/>
      <c r="AE1101" s="73"/>
      <c r="AF1101" s="73"/>
      <c r="AG1101" s="73"/>
      <c r="AH1101" s="73"/>
      <c r="AI1101" s="74"/>
    </row>
    <row r="1102" spans="26:35" ht="14.25" customHeight="1" x14ac:dyDescent="0.2">
      <c r="Z1102" s="72"/>
      <c r="AA1102" s="73"/>
      <c r="AB1102" s="73"/>
      <c r="AC1102" s="73"/>
      <c r="AD1102" s="73"/>
      <c r="AE1102" s="73"/>
      <c r="AF1102" s="73"/>
      <c r="AG1102" s="73"/>
      <c r="AH1102" s="73"/>
      <c r="AI1102" s="74"/>
    </row>
    <row r="1103" spans="26:35" ht="14.25" customHeight="1" x14ac:dyDescent="0.2">
      <c r="Z1103" s="72"/>
      <c r="AA1103" s="73"/>
      <c r="AB1103" s="73"/>
      <c r="AC1103" s="73"/>
      <c r="AD1103" s="73"/>
      <c r="AE1103" s="73"/>
      <c r="AF1103" s="73"/>
      <c r="AG1103" s="73"/>
      <c r="AH1103" s="73"/>
      <c r="AI1103" s="74"/>
    </row>
    <row r="1104" spans="26:35" ht="14.25" customHeight="1" x14ac:dyDescent="0.2">
      <c r="Z1104" s="72"/>
      <c r="AA1104" s="73"/>
      <c r="AB1104" s="73"/>
      <c r="AC1104" s="73"/>
      <c r="AD1104" s="73"/>
      <c r="AE1104" s="73"/>
      <c r="AF1104" s="73"/>
      <c r="AG1104" s="73"/>
      <c r="AH1104" s="73"/>
      <c r="AI1104" s="74"/>
    </row>
    <row r="1105" spans="26:35" ht="14.25" customHeight="1" x14ac:dyDescent="0.2">
      <c r="Z1105" s="72"/>
      <c r="AA1105" s="73"/>
      <c r="AB1105" s="73"/>
      <c r="AC1105" s="73"/>
      <c r="AD1105" s="73"/>
      <c r="AE1105" s="73"/>
      <c r="AF1105" s="73"/>
      <c r="AG1105" s="73"/>
      <c r="AH1105" s="73"/>
      <c r="AI1105" s="74"/>
    </row>
    <row r="1106" spans="26:35" ht="14.25" customHeight="1" x14ac:dyDescent="0.2">
      <c r="Z1106" s="72"/>
      <c r="AA1106" s="73"/>
      <c r="AB1106" s="73"/>
      <c r="AC1106" s="73"/>
      <c r="AD1106" s="73"/>
      <c r="AE1106" s="73"/>
      <c r="AF1106" s="73"/>
      <c r="AG1106" s="73"/>
      <c r="AH1106" s="73"/>
      <c r="AI1106" s="74"/>
    </row>
    <row r="1107" spans="26:35" ht="14.25" customHeight="1" x14ac:dyDescent="0.2">
      <c r="Z1107" s="72"/>
      <c r="AA1107" s="73"/>
      <c r="AB1107" s="73"/>
      <c r="AC1107" s="73"/>
      <c r="AD1107" s="73"/>
      <c r="AE1107" s="73"/>
      <c r="AF1107" s="73"/>
      <c r="AG1107" s="73"/>
      <c r="AH1107" s="73"/>
      <c r="AI1107" s="74"/>
    </row>
    <row r="1108" spans="26:35" ht="14.25" customHeight="1" x14ac:dyDescent="0.2">
      <c r="Z1108" s="72"/>
      <c r="AA1108" s="73"/>
      <c r="AB1108" s="73"/>
      <c r="AC1108" s="73"/>
      <c r="AD1108" s="73"/>
      <c r="AE1108" s="73"/>
      <c r="AF1108" s="73"/>
      <c r="AG1108" s="73"/>
      <c r="AH1108" s="73"/>
      <c r="AI1108" s="74"/>
    </row>
    <row r="1109" spans="26:35" ht="14.25" customHeight="1" x14ac:dyDescent="0.2">
      <c r="Z1109" s="72"/>
      <c r="AA1109" s="73"/>
      <c r="AB1109" s="73"/>
      <c r="AC1109" s="73"/>
      <c r="AD1109" s="73"/>
      <c r="AE1109" s="73"/>
      <c r="AF1109" s="73"/>
      <c r="AG1109" s="73"/>
      <c r="AH1109" s="73"/>
      <c r="AI1109" s="74"/>
    </row>
    <row r="1110" spans="26:35" ht="14.25" customHeight="1" x14ac:dyDescent="0.2">
      <c r="Z1110" s="72"/>
      <c r="AA1110" s="73"/>
      <c r="AB1110" s="73"/>
      <c r="AC1110" s="73"/>
      <c r="AD1110" s="73"/>
      <c r="AE1110" s="73"/>
      <c r="AF1110" s="73"/>
      <c r="AG1110" s="73"/>
      <c r="AH1110" s="73"/>
      <c r="AI1110" s="74"/>
    </row>
    <row r="1111" spans="26:35" ht="14.25" customHeight="1" x14ac:dyDescent="0.2">
      <c r="Z1111" s="72"/>
      <c r="AA1111" s="73"/>
      <c r="AB1111" s="73"/>
      <c r="AC1111" s="73"/>
      <c r="AD1111" s="73"/>
      <c r="AE1111" s="73"/>
      <c r="AF1111" s="73"/>
      <c r="AG1111" s="73"/>
      <c r="AH1111" s="73"/>
      <c r="AI1111" s="74"/>
    </row>
    <row r="1112" spans="26:35" ht="14.25" customHeight="1" x14ac:dyDescent="0.2">
      <c r="Z1112" s="72"/>
      <c r="AA1112" s="73"/>
      <c r="AB1112" s="73"/>
      <c r="AC1112" s="73"/>
      <c r="AD1112" s="73"/>
      <c r="AE1112" s="73"/>
      <c r="AF1112" s="73"/>
      <c r="AG1112" s="73"/>
      <c r="AH1112" s="73"/>
      <c r="AI1112" s="74"/>
    </row>
    <row r="1113" spans="26:35" ht="14.25" customHeight="1" x14ac:dyDescent="0.2">
      <c r="Z1113" s="72"/>
      <c r="AA1113" s="73"/>
      <c r="AB1113" s="73"/>
      <c r="AC1113" s="73"/>
      <c r="AD1113" s="73"/>
      <c r="AE1113" s="73"/>
      <c r="AF1113" s="73"/>
      <c r="AG1113" s="73"/>
      <c r="AH1113" s="73"/>
      <c r="AI1113" s="74"/>
    </row>
    <row r="1114" spans="26:35" ht="14.25" customHeight="1" x14ac:dyDescent="0.2">
      <c r="Z1114" s="72"/>
      <c r="AA1114" s="73"/>
      <c r="AB1114" s="73"/>
      <c r="AC1114" s="73"/>
      <c r="AD1114" s="73"/>
      <c r="AE1114" s="73"/>
      <c r="AF1114" s="73"/>
      <c r="AG1114" s="73"/>
      <c r="AH1114" s="73"/>
      <c r="AI1114" s="74"/>
    </row>
    <row r="1115" spans="26:35" ht="14.25" customHeight="1" x14ac:dyDescent="0.2">
      <c r="Z1115" s="72"/>
      <c r="AA1115" s="73"/>
      <c r="AB1115" s="73"/>
      <c r="AC1115" s="73"/>
      <c r="AD1115" s="73"/>
      <c r="AE1115" s="73"/>
      <c r="AF1115" s="73"/>
      <c r="AG1115" s="73"/>
      <c r="AH1115" s="73"/>
      <c r="AI1115" s="74"/>
    </row>
    <row r="1116" spans="26:35" ht="14.25" customHeight="1" x14ac:dyDescent="0.2">
      <c r="Z1116" s="72"/>
      <c r="AA1116" s="73"/>
      <c r="AB1116" s="73"/>
      <c r="AC1116" s="73"/>
      <c r="AD1116" s="73"/>
      <c r="AE1116" s="73"/>
      <c r="AF1116" s="73"/>
      <c r="AG1116" s="73"/>
      <c r="AH1116" s="73"/>
      <c r="AI1116" s="74"/>
    </row>
    <row r="1117" spans="26:35" ht="14.25" customHeight="1" x14ac:dyDescent="0.2">
      <c r="Z1117" s="72"/>
      <c r="AA1117" s="73"/>
      <c r="AB1117" s="73"/>
      <c r="AC1117" s="73"/>
      <c r="AD1117" s="73"/>
      <c r="AE1117" s="73"/>
      <c r="AF1117" s="73"/>
      <c r="AG1117" s="73"/>
      <c r="AH1117" s="73"/>
      <c r="AI1117" s="74"/>
    </row>
    <row r="1118" spans="26:35" ht="14.25" customHeight="1" x14ac:dyDescent="0.2">
      <c r="Z1118" s="72"/>
      <c r="AA1118" s="73"/>
      <c r="AB1118" s="73"/>
      <c r="AC1118" s="73"/>
      <c r="AD1118" s="73"/>
      <c r="AE1118" s="73"/>
      <c r="AF1118" s="73"/>
      <c r="AG1118" s="73"/>
      <c r="AH1118" s="73"/>
      <c r="AI1118" s="74"/>
    </row>
    <row r="1119" spans="26:35" ht="14.25" customHeight="1" x14ac:dyDescent="0.2">
      <c r="Z1119" s="72"/>
      <c r="AA1119" s="73"/>
      <c r="AB1119" s="73"/>
      <c r="AC1119" s="73"/>
      <c r="AD1119" s="73"/>
      <c r="AE1119" s="73"/>
      <c r="AF1119" s="73"/>
      <c r="AG1119" s="73"/>
      <c r="AH1119" s="73"/>
      <c r="AI1119" s="74"/>
    </row>
    <row r="1120" spans="26:35" ht="14.25" customHeight="1" x14ac:dyDescent="0.2">
      <c r="Z1120" s="72"/>
      <c r="AA1120" s="73"/>
      <c r="AB1120" s="73"/>
      <c r="AC1120" s="73"/>
      <c r="AD1120" s="73"/>
      <c r="AE1120" s="73"/>
      <c r="AF1120" s="73"/>
      <c r="AG1120" s="73"/>
      <c r="AH1120" s="73"/>
      <c r="AI1120" s="74"/>
    </row>
    <row r="1121" spans="26:35" ht="14.25" customHeight="1" x14ac:dyDescent="0.2">
      <c r="Z1121" s="72"/>
      <c r="AA1121" s="73"/>
      <c r="AB1121" s="73"/>
      <c r="AC1121" s="73"/>
      <c r="AD1121" s="73"/>
      <c r="AE1121" s="73"/>
      <c r="AF1121" s="73"/>
      <c r="AG1121" s="73"/>
      <c r="AH1121" s="73"/>
      <c r="AI1121" s="74"/>
    </row>
    <row r="1122" spans="26:35" ht="14.25" customHeight="1" x14ac:dyDescent="0.2">
      <c r="Z1122" s="72"/>
      <c r="AA1122" s="73"/>
      <c r="AB1122" s="73"/>
      <c r="AC1122" s="73"/>
      <c r="AD1122" s="73"/>
      <c r="AE1122" s="73"/>
      <c r="AF1122" s="73"/>
      <c r="AG1122" s="73"/>
      <c r="AH1122" s="73"/>
      <c r="AI1122" s="74"/>
    </row>
    <row r="1123" spans="26:35" ht="14.25" customHeight="1" x14ac:dyDescent="0.2">
      <c r="Z1123" s="72"/>
      <c r="AA1123" s="73"/>
      <c r="AB1123" s="73"/>
      <c r="AC1123" s="73"/>
      <c r="AD1123" s="73"/>
      <c r="AE1123" s="73"/>
      <c r="AF1123" s="73"/>
      <c r="AG1123" s="73"/>
      <c r="AH1123" s="73"/>
      <c r="AI1123" s="74"/>
    </row>
    <row r="1124" spans="26:35" ht="14.25" customHeight="1" x14ac:dyDescent="0.2">
      <c r="Z1124" s="72"/>
      <c r="AA1124" s="73"/>
      <c r="AB1124" s="73"/>
      <c r="AC1124" s="73"/>
      <c r="AD1124" s="73"/>
      <c r="AE1124" s="73"/>
      <c r="AF1124" s="73"/>
      <c r="AG1124" s="73"/>
      <c r="AH1124" s="73"/>
      <c r="AI1124" s="74"/>
    </row>
    <row r="1125" spans="26:35" ht="14.25" customHeight="1" x14ac:dyDescent="0.2">
      <c r="Z1125" s="72"/>
      <c r="AA1125" s="73"/>
      <c r="AB1125" s="73"/>
      <c r="AC1125" s="73"/>
      <c r="AD1125" s="73"/>
      <c r="AE1125" s="73"/>
      <c r="AF1125" s="73"/>
      <c r="AG1125" s="73"/>
      <c r="AH1125" s="73"/>
      <c r="AI1125" s="74"/>
    </row>
    <row r="1126" spans="26:35" ht="14.25" customHeight="1" x14ac:dyDescent="0.2">
      <c r="Z1126" s="72"/>
      <c r="AA1126" s="73"/>
      <c r="AB1126" s="73"/>
      <c r="AC1126" s="73"/>
      <c r="AD1126" s="73"/>
      <c r="AE1126" s="73"/>
      <c r="AF1126" s="73"/>
      <c r="AG1126" s="73"/>
      <c r="AH1126" s="73"/>
      <c r="AI1126" s="74"/>
    </row>
    <row r="1127" spans="26:35" ht="14.25" customHeight="1" x14ac:dyDescent="0.2">
      <c r="Z1127" s="72"/>
      <c r="AA1127" s="73"/>
      <c r="AB1127" s="73"/>
      <c r="AC1127" s="73"/>
      <c r="AD1127" s="73"/>
      <c r="AE1127" s="73"/>
      <c r="AF1127" s="73"/>
      <c r="AG1127" s="73"/>
      <c r="AH1127" s="73"/>
      <c r="AI1127" s="74"/>
    </row>
    <row r="1128" spans="26:35" ht="14.25" customHeight="1" x14ac:dyDescent="0.2">
      <c r="Z1128" s="72"/>
      <c r="AA1128" s="73"/>
      <c r="AB1128" s="73"/>
      <c r="AC1128" s="73"/>
      <c r="AD1128" s="73"/>
      <c r="AE1128" s="73"/>
      <c r="AF1128" s="73"/>
      <c r="AG1128" s="73"/>
      <c r="AH1128" s="73"/>
      <c r="AI1128" s="74"/>
    </row>
    <row r="1129" spans="26:35" ht="14.25" customHeight="1" x14ac:dyDescent="0.2">
      <c r="Z1129" s="72"/>
      <c r="AA1129" s="73"/>
      <c r="AB1129" s="73"/>
      <c r="AC1129" s="73"/>
      <c r="AD1129" s="73"/>
      <c r="AE1129" s="73"/>
      <c r="AF1129" s="73"/>
      <c r="AG1129" s="73"/>
      <c r="AH1129" s="73"/>
      <c r="AI1129" s="74"/>
    </row>
    <row r="1130" spans="26:35" ht="14.25" customHeight="1" x14ac:dyDescent="0.2">
      <c r="Z1130" s="72"/>
      <c r="AA1130" s="73"/>
      <c r="AB1130" s="73"/>
      <c r="AC1130" s="73"/>
      <c r="AD1130" s="73"/>
      <c r="AE1130" s="73"/>
      <c r="AF1130" s="73"/>
      <c r="AG1130" s="73"/>
      <c r="AH1130" s="73"/>
      <c r="AI1130" s="74"/>
    </row>
    <row r="1131" spans="26:35" ht="14.25" customHeight="1" x14ac:dyDescent="0.2">
      <c r="Z1131" s="72"/>
      <c r="AA1131" s="73"/>
      <c r="AB1131" s="73"/>
      <c r="AC1131" s="73"/>
      <c r="AD1131" s="73"/>
      <c r="AE1131" s="73"/>
      <c r="AF1131" s="73"/>
      <c r="AG1131" s="73"/>
      <c r="AH1131" s="73"/>
      <c r="AI1131" s="74"/>
    </row>
    <row r="1132" spans="26:35" ht="14.25" customHeight="1" x14ac:dyDescent="0.2">
      <c r="Z1132" s="72"/>
      <c r="AA1132" s="73"/>
      <c r="AB1132" s="73"/>
      <c r="AC1132" s="73"/>
      <c r="AD1132" s="73"/>
      <c r="AE1132" s="73"/>
      <c r="AF1132" s="73"/>
      <c r="AG1132" s="73"/>
      <c r="AH1132" s="73"/>
      <c r="AI1132" s="74"/>
    </row>
    <row r="1133" spans="26:35" ht="14.25" customHeight="1" x14ac:dyDescent="0.2">
      <c r="Z1133" s="72"/>
      <c r="AA1133" s="73"/>
      <c r="AB1133" s="73"/>
      <c r="AC1133" s="73"/>
      <c r="AD1133" s="73"/>
      <c r="AE1133" s="73"/>
      <c r="AF1133" s="73"/>
      <c r="AG1133" s="73"/>
      <c r="AH1133" s="73"/>
      <c r="AI1133" s="74"/>
    </row>
    <row r="1134" spans="26:35" ht="14.25" customHeight="1" x14ac:dyDescent="0.2">
      <c r="Z1134" s="72"/>
      <c r="AA1134" s="73"/>
      <c r="AB1134" s="73"/>
      <c r="AC1134" s="73"/>
      <c r="AD1134" s="73"/>
      <c r="AE1134" s="73"/>
      <c r="AF1134" s="73"/>
      <c r="AG1134" s="73"/>
      <c r="AH1134" s="73"/>
      <c r="AI1134" s="74"/>
    </row>
    <row r="1135" spans="26:35" ht="14.25" customHeight="1" x14ac:dyDescent="0.2">
      <c r="Z1135" s="72"/>
      <c r="AA1135" s="73"/>
      <c r="AB1135" s="73"/>
      <c r="AC1135" s="73"/>
      <c r="AD1135" s="73"/>
      <c r="AE1135" s="73"/>
      <c r="AF1135" s="73"/>
      <c r="AG1135" s="73"/>
      <c r="AH1135" s="73"/>
      <c r="AI1135" s="74"/>
    </row>
    <row r="1136" spans="26:35" ht="14.25" customHeight="1" x14ac:dyDescent="0.2">
      <c r="Z1136" s="72"/>
      <c r="AA1136" s="73"/>
      <c r="AB1136" s="73"/>
      <c r="AC1136" s="73"/>
      <c r="AD1136" s="73"/>
      <c r="AE1136" s="73"/>
      <c r="AF1136" s="73"/>
      <c r="AG1136" s="73"/>
      <c r="AH1136" s="73"/>
      <c r="AI1136" s="74"/>
    </row>
    <row r="1137" spans="26:35" ht="14.25" customHeight="1" x14ac:dyDescent="0.2">
      <c r="Z1137" s="72"/>
      <c r="AA1137" s="73"/>
      <c r="AB1137" s="73"/>
      <c r="AC1137" s="73"/>
      <c r="AD1137" s="73"/>
      <c r="AE1137" s="73"/>
      <c r="AF1137" s="73"/>
      <c r="AG1137" s="73"/>
      <c r="AH1137" s="73"/>
      <c r="AI1137" s="74"/>
    </row>
    <row r="1138" spans="26:35" ht="14.25" customHeight="1" x14ac:dyDescent="0.2">
      <c r="Z1138" s="72"/>
      <c r="AA1138" s="73"/>
      <c r="AB1138" s="73"/>
      <c r="AC1138" s="73"/>
      <c r="AD1138" s="73"/>
      <c r="AE1138" s="73"/>
      <c r="AF1138" s="73"/>
      <c r="AG1138" s="73"/>
      <c r="AH1138" s="73"/>
      <c r="AI1138" s="74"/>
    </row>
    <row r="1139" spans="26:35" ht="14.25" customHeight="1" x14ac:dyDescent="0.2">
      <c r="Z1139" s="72"/>
      <c r="AA1139" s="73"/>
      <c r="AB1139" s="73"/>
      <c r="AC1139" s="73"/>
      <c r="AD1139" s="73"/>
      <c r="AE1139" s="73"/>
      <c r="AF1139" s="73"/>
      <c r="AG1139" s="73"/>
      <c r="AH1139" s="73"/>
      <c r="AI1139" s="74"/>
    </row>
    <row r="1140" spans="26:35" ht="14.25" customHeight="1" x14ac:dyDescent="0.2">
      <c r="Z1140" s="72"/>
      <c r="AA1140" s="73"/>
      <c r="AB1140" s="73"/>
      <c r="AC1140" s="73"/>
      <c r="AD1140" s="73"/>
      <c r="AE1140" s="73"/>
      <c r="AF1140" s="73"/>
      <c r="AG1140" s="73"/>
      <c r="AH1140" s="73"/>
      <c r="AI1140" s="74"/>
    </row>
    <row r="1141" spans="26:35" ht="14.25" customHeight="1" x14ac:dyDescent="0.2">
      <c r="Z1141" s="72"/>
      <c r="AA1141" s="73"/>
      <c r="AB1141" s="73"/>
      <c r="AC1141" s="73"/>
      <c r="AD1141" s="73"/>
      <c r="AE1141" s="73"/>
      <c r="AF1141" s="73"/>
      <c r="AG1141" s="73"/>
      <c r="AH1141" s="73"/>
      <c r="AI1141" s="74"/>
    </row>
    <row r="1142" spans="26:35" ht="14.25" customHeight="1" x14ac:dyDescent="0.2">
      <c r="Z1142" s="72"/>
      <c r="AA1142" s="73"/>
      <c r="AB1142" s="73"/>
      <c r="AC1142" s="73"/>
      <c r="AD1142" s="73"/>
      <c r="AE1142" s="73"/>
      <c r="AF1142" s="73"/>
      <c r="AG1142" s="73"/>
      <c r="AH1142" s="73"/>
      <c r="AI1142" s="74"/>
    </row>
    <row r="1143" spans="26:35" ht="14.25" customHeight="1" x14ac:dyDescent="0.2">
      <c r="Z1143" s="72"/>
      <c r="AA1143" s="73"/>
      <c r="AB1143" s="73"/>
      <c r="AC1143" s="73"/>
      <c r="AD1143" s="73"/>
      <c r="AE1143" s="73"/>
      <c r="AF1143" s="73"/>
      <c r="AG1143" s="73"/>
      <c r="AH1143" s="73"/>
      <c r="AI1143" s="74"/>
    </row>
    <row r="1144" spans="26:35" ht="14.25" customHeight="1" x14ac:dyDescent="0.2">
      <c r="Z1144" s="72"/>
      <c r="AA1144" s="73"/>
      <c r="AB1144" s="73"/>
      <c r="AC1144" s="73"/>
      <c r="AD1144" s="73"/>
      <c r="AE1144" s="73"/>
      <c r="AF1144" s="73"/>
      <c r="AG1144" s="73"/>
      <c r="AH1144" s="73"/>
      <c r="AI1144" s="74"/>
    </row>
    <row r="1145" spans="26:35" ht="14.25" customHeight="1" x14ac:dyDescent="0.2">
      <c r="Z1145" s="72"/>
      <c r="AA1145" s="73"/>
      <c r="AB1145" s="73"/>
      <c r="AC1145" s="73"/>
      <c r="AD1145" s="73"/>
      <c r="AE1145" s="73"/>
      <c r="AF1145" s="73"/>
      <c r="AG1145" s="73"/>
      <c r="AH1145" s="73"/>
      <c r="AI1145" s="74"/>
    </row>
    <row r="1146" spans="26:35" ht="14.25" customHeight="1" x14ac:dyDescent="0.2">
      <c r="Z1146" s="72"/>
      <c r="AA1146" s="73"/>
      <c r="AB1146" s="73"/>
      <c r="AC1146" s="73"/>
      <c r="AD1146" s="73"/>
      <c r="AE1146" s="73"/>
      <c r="AF1146" s="73"/>
      <c r="AG1146" s="73"/>
      <c r="AH1146" s="73"/>
      <c r="AI1146" s="74"/>
    </row>
    <row r="1147" spans="26:35" ht="14.25" customHeight="1" x14ac:dyDescent="0.2">
      <c r="Z1147" s="72"/>
      <c r="AA1147" s="73"/>
      <c r="AB1147" s="73"/>
      <c r="AC1147" s="73"/>
      <c r="AD1147" s="73"/>
      <c r="AE1147" s="73"/>
      <c r="AF1147" s="73"/>
      <c r="AG1147" s="73"/>
      <c r="AH1147" s="73"/>
      <c r="AI1147" s="74"/>
    </row>
    <row r="1148" spans="26:35" ht="14.25" customHeight="1" x14ac:dyDescent="0.2">
      <c r="Z1148" s="72"/>
      <c r="AA1148" s="73"/>
      <c r="AB1148" s="73"/>
      <c r="AC1148" s="73"/>
      <c r="AD1148" s="73"/>
      <c r="AE1148" s="73"/>
      <c r="AF1148" s="73"/>
      <c r="AG1148" s="73"/>
      <c r="AH1148" s="73"/>
      <c r="AI1148" s="74"/>
    </row>
    <row r="1149" spans="26:35" ht="14.25" customHeight="1" x14ac:dyDescent="0.2">
      <c r="Z1149" s="72"/>
      <c r="AA1149" s="73"/>
      <c r="AB1149" s="73"/>
      <c r="AC1149" s="73"/>
      <c r="AD1149" s="73"/>
      <c r="AE1149" s="73"/>
      <c r="AF1149" s="73"/>
      <c r="AG1149" s="73"/>
      <c r="AH1149" s="73"/>
      <c r="AI1149" s="74"/>
    </row>
    <row r="1150" spans="26:35" ht="14.25" customHeight="1" x14ac:dyDescent="0.2">
      <c r="Z1150" s="72"/>
      <c r="AA1150" s="73"/>
      <c r="AB1150" s="73"/>
      <c r="AC1150" s="73"/>
      <c r="AD1150" s="73"/>
      <c r="AE1150" s="73"/>
      <c r="AF1150" s="73"/>
      <c r="AG1150" s="73"/>
      <c r="AH1150" s="73"/>
      <c r="AI1150" s="74"/>
    </row>
    <row r="1151" spans="26:35" ht="14.25" customHeight="1" x14ac:dyDescent="0.2">
      <c r="Z1151" s="72"/>
      <c r="AA1151" s="73"/>
      <c r="AB1151" s="73"/>
      <c r="AC1151" s="73"/>
      <c r="AD1151" s="73"/>
      <c r="AE1151" s="73"/>
      <c r="AF1151" s="73"/>
      <c r="AG1151" s="73"/>
      <c r="AH1151" s="73"/>
      <c r="AI1151" s="74"/>
    </row>
    <row r="1152" spans="26:35" ht="14.25" customHeight="1" x14ac:dyDescent="0.2">
      <c r="Z1152" s="72"/>
      <c r="AA1152" s="73"/>
      <c r="AB1152" s="73"/>
      <c r="AC1152" s="73"/>
      <c r="AD1152" s="73"/>
      <c r="AE1152" s="73"/>
      <c r="AF1152" s="73"/>
      <c r="AG1152" s="73"/>
      <c r="AH1152" s="73"/>
      <c r="AI1152" s="74"/>
    </row>
    <row r="1153" spans="26:35" ht="14.25" customHeight="1" x14ac:dyDescent="0.2">
      <c r="Z1153" s="72"/>
      <c r="AA1153" s="73"/>
      <c r="AB1153" s="73"/>
      <c r="AC1153" s="73"/>
      <c r="AD1153" s="73"/>
      <c r="AE1153" s="73"/>
      <c r="AF1153" s="73"/>
      <c r="AG1153" s="73"/>
      <c r="AH1153" s="73"/>
      <c r="AI1153" s="74"/>
    </row>
    <row r="1154" spans="26:35" ht="14.25" customHeight="1" x14ac:dyDescent="0.2">
      <c r="Z1154" s="72"/>
      <c r="AA1154" s="73"/>
      <c r="AB1154" s="73"/>
      <c r="AC1154" s="73"/>
      <c r="AD1154" s="73"/>
      <c r="AE1154" s="73"/>
      <c r="AF1154" s="73"/>
      <c r="AG1154" s="73"/>
      <c r="AH1154" s="73"/>
      <c r="AI1154" s="74"/>
    </row>
    <row r="1155" spans="26:35" ht="14.25" customHeight="1" x14ac:dyDescent="0.2">
      <c r="Z1155" s="72"/>
      <c r="AA1155" s="73"/>
      <c r="AB1155" s="73"/>
      <c r="AC1155" s="73"/>
      <c r="AD1155" s="73"/>
      <c r="AE1155" s="73"/>
      <c r="AF1155" s="73"/>
      <c r="AG1155" s="73"/>
      <c r="AH1155" s="73"/>
      <c r="AI1155" s="74"/>
    </row>
    <row r="1156" spans="26:35" ht="14.25" customHeight="1" x14ac:dyDescent="0.2">
      <c r="Z1156" s="72"/>
      <c r="AA1156" s="73"/>
      <c r="AB1156" s="73"/>
      <c r="AC1156" s="73"/>
      <c r="AD1156" s="73"/>
      <c r="AE1156" s="73"/>
      <c r="AF1156" s="73"/>
      <c r="AG1156" s="73"/>
      <c r="AH1156" s="73"/>
      <c r="AI1156" s="74"/>
    </row>
    <row r="1157" spans="26:35" ht="14.25" customHeight="1" x14ac:dyDescent="0.2">
      <c r="Z1157" s="72"/>
      <c r="AA1157" s="73"/>
      <c r="AB1157" s="73"/>
      <c r="AC1157" s="73"/>
      <c r="AD1157" s="73"/>
      <c r="AE1157" s="73"/>
      <c r="AF1157" s="73"/>
      <c r="AG1157" s="73"/>
      <c r="AH1157" s="73"/>
      <c r="AI1157" s="74"/>
    </row>
    <row r="1158" spans="26:35" ht="14.25" customHeight="1" x14ac:dyDescent="0.2">
      <c r="Z1158" s="72"/>
      <c r="AA1158" s="73"/>
      <c r="AB1158" s="73"/>
      <c r="AC1158" s="73"/>
      <c r="AD1158" s="73"/>
      <c r="AE1158" s="73"/>
      <c r="AF1158" s="73"/>
      <c r="AG1158" s="73"/>
      <c r="AH1158" s="73"/>
      <c r="AI1158" s="74"/>
    </row>
    <row r="1159" spans="26:35" ht="14.25" customHeight="1" x14ac:dyDescent="0.2">
      <c r="Z1159" s="72"/>
      <c r="AA1159" s="73"/>
      <c r="AB1159" s="73"/>
      <c r="AC1159" s="73"/>
      <c r="AD1159" s="73"/>
      <c r="AE1159" s="73"/>
      <c r="AF1159" s="73"/>
      <c r="AG1159" s="73"/>
      <c r="AH1159" s="73"/>
      <c r="AI1159" s="74"/>
    </row>
    <row r="1160" spans="26:35" ht="14.25" customHeight="1" x14ac:dyDescent="0.2">
      <c r="Z1160" s="72"/>
      <c r="AA1160" s="73"/>
      <c r="AB1160" s="73"/>
      <c r="AC1160" s="73"/>
      <c r="AD1160" s="73"/>
      <c r="AE1160" s="73"/>
      <c r="AF1160" s="73"/>
      <c r="AG1160" s="73"/>
      <c r="AH1160" s="73"/>
      <c r="AI1160" s="74"/>
    </row>
    <row r="1161" spans="26:35" ht="14.25" customHeight="1" x14ac:dyDescent="0.2">
      <c r="Z1161" s="72"/>
      <c r="AA1161" s="73"/>
      <c r="AB1161" s="73"/>
      <c r="AC1161" s="73"/>
      <c r="AD1161" s="73"/>
      <c r="AE1161" s="73"/>
      <c r="AF1161" s="73"/>
      <c r="AG1161" s="73"/>
      <c r="AH1161" s="73"/>
      <c r="AI1161" s="74"/>
    </row>
    <row r="1162" spans="26:35" ht="14.25" customHeight="1" x14ac:dyDescent="0.2">
      <c r="Z1162" s="72"/>
      <c r="AA1162" s="73"/>
      <c r="AB1162" s="73"/>
      <c r="AC1162" s="73"/>
      <c r="AD1162" s="73"/>
      <c r="AE1162" s="73"/>
      <c r="AF1162" s="73"/>
      <c r="AG1162" s="73"/>
      <c r="AH1162" s="73"/>
      <c r="AI1162" s="74"/>
    </row>
    <row r="1163" spans="26:35" ht="14.25" customHeight="1" x14ac:dyDescent="0.2">
      <c r="Z1163" s="72"/>
      <c r="AA1163" s="73"/>
      <c r="AB1163" s="73"/>
      <c r="AC1163" s="73"/>
      <c r="AD1163" s="73"/>
      <c r="AE1163" s="73"/>
      <c r="AF1163" s="73"/>
      <c r="AG1163" s="73"/>
      <c r="AH1163" s="73"/>
      <c r="AI1163" s="74"/>
    </row>
    <row r="1164" spans="26:35" ht="14.25" customHeight="1" x14ac:dyDescent="0.2">
      <c r="Z1164" s="72"/>
      <c r="AA1164" s="73"/>
      <c r="AB1164" s="73"/>
      <c r="AC1164" s="73"/>
      <c r="AD1164" s="73"/>
      <c r="AE1164" s="73"/>
      <c r="AF1164" s="73"/>
      <c r="AG1164" s="73"/>
      <c r="AH1164" s="73"/>
      <c r="AI1164" s="74"/>
    </row>
    <row r="1165" spans="26:35" ht="14.25" customHeight="1" x14ac:dyDescent="0.2">
      <c r="Z1165" s="72"/>
      <c r="AA1165" s="73"/>
      <c r="AB1165" s="73"/>
      <c r="AC1165" s="73"/>
      <c r="AD1165" s="73"/>
      <c r="AE1165" s="73"/>
      <c r="AF1165" s="73"/>
      <c r="AG1165" s="73"/>
      <c r="AH1165" s="73"/>
      <c r="AI1165" s="74"/>
    </row>
    <row r="1166" spans="26:35" ht="14.25" customHeight="1" x14ac:dyDescent="0.2">
      <c r="Z1166" s="72"/>
      <c r="AA1166" s="73"/>
      <c r="AB1166" s="73"/>
      <c r="AC1166" s="73"/>
      <c r="AD1166" s="73"/>
      <c r="AE1166" s="73"/>
      <c r="AF1166" s="73"/>
      <c r="AG1166" s="73"/>
      <c r="AH1166" s="73"/>
      <c r="AI1166" s="74"/>
    </row>
    <row r="1167" spans="26:35" ht="14.25" customHeight="1" x14ac:dyDescent="0.2">
      <c r="Z1167" s="72"/>
      <c r="AA1167" s="73"/>
      <c r="AB1167" s="73"/>
      <c r="AC1167" s="73"/>
      <c r="AD1167" s="73"/>
      <c r="AE1167" s="73"/>
      <c r="AF1167" s="73"/>
      <c r="AG1167" s="73"/>
      <c r="AH1167" s="73"/>
      <c r="AI1167" s="74"/>
    </row>
    <row r="1168" spans="26:35" ht="14.25" customHeight="1" x14ac:dyDescent="0.2">
      <c r="Z1168" s="72"/>
      <c r="AA1168" s="73"/>
      <c r="AB1168" s="73"/>
      <c r="AC1168" s="73"/>
      <c r="AD1168" s="73"/>
      <c r="AE1168" s="73"/>
      <c r="AF1168" s="73"/>
      <c r="AG1168" s="73"/>
      <c r="AH1168" s="73"/>
      <c r="AI1168" s="74"/>
    </row>
    <row r="1169" spans="26:35" ht="14.25" customHeight="1" x14ac:dyDescent="0.2">
      <c r="Z1169" s="72"/>
      <c r="AA1169" s="73"/>
      <c r="AB1169" s="73"/>
      <c r="AC1169" s="73"/>
      <c r="AD1169" s="73"/>
      <c r="AE1169" s="73"/>
      <c r="AF1169" s="73"/>
      <c r="AG1169" s="73"/>
      <c r="AH1169" s="73"/>
      <c r="AI1169" s="74"/>
    </row>
    <row r="1170" spans="26:35" ht="14.25" customHeight="1" x14ac:dyDescent="0.2">
      <c r="Z1170" s="72"/>
      <c r="AA1170" s="73"/>
      <c r="AB1170" s="73"/>
      <c r="AC1170" s="73"/>
      <c r="AD1170" s="73"/>
      <c r="AE1170" s="73"/>
      <c r="AF1170" s="73"/>
      <c r="AG1170" s="73"/>
      <c r="AH1170" s="73"/>
      <c r="AI1170" s="74"/>
    </row>
    <row r="1171" spans="26:35" ht="14.25" customHeight="1" x14ac:dyDescent="0.2">
      <c r="Z1171" s="72"/>
      <c r="AA1171" s="73"/>
      <c r="AB1171" s="73"/>
      <c r="AC1171" s="73"/>
      <c r="AD1171" s="73"/>
      <c r="AE1171" s="73"/>
      <c r="AF1171" s="73"/>
      <c r="AG1171" s="73"/>
      <c r="AH1171" s="73"/>
      <c r="AI1171" s="74"/>
    </row>
    <row r="1172" spans="26:35" ht="14.25" customHeight="1" x14ac:dyDescent="0.2">
      <c r="Z1172" s="72"/>
      <c r="AA1172" s="73"/>
      <c r="AB1172" s="73"/>
      <c r="AC1172" s="73"/>
      <c r="AD1172" s="73"/>
      <c r="AE1172" s="73"/>
      <c r="AF1172" s="73"/>
      <c r="AG1172" s="73"/>
      <c r="AH1172" s="73"/>
      <c r="AI1172" s="74"/>
    </row>
    <row r="1173" spans="26:35" ht="14.25" customHeight="1" x14ac:dyDescent="0.2">
      <c r="Z1173" s="72"/>
      <c r="AA1173" s="73"/>
      <c r="AB1173" s="73"/>
      <c r="AC1173" s="73"/>
      <c r="AD1173" s="73"/>
      <c r="AE1173" s="73"/>
      <c r="AF1173" s="73"/>
      <c r="AG1173" s="73"/>
      <c r="AH1173" s="73"/>
      <c r="AI1173" s="74"/>
    </row>
    <row r="1174" spans="26:35" ht="14.25" customHeight="1" x14ac:dyDescent="0.2">
      <c r="Z1174" s="72"/>
      <c r="AA1174" s="73"/>
      <c r="AB1174" s="73"/>
      <c r="AC1174" s="73"/>
      <c r="AD1174" s="73"/>
      <c r="AE1174" s="73"/>
      <c r="AF1174" s="73"/>
      <c r="AG1174" s="73"/>
      <c r="AH1174" s="73"/>
      <c r="AI1174" s="74"/>
    </row>
    <row r="1175" spans="26:35" ht="14.25" customHeight="1" x14ac:dyDescent="0.2">
      <c r="Z1175" s="72"/>
      <c r="AA1175" s="73"/>
      <c r="AB1175" s="73"/>
      <c r="AC1175" s="73"/>
      <c r="AD1175" s="73"/>
      <c r="AE1175" s="73"/>
      <c r="AF1175" s="73"/>
      <c r="AG1175" s="73"/>
      <c r="AH1175" s="73"/>
      <c r="AI1175" s="74"/>
    </row>
    <row r="1176" spans="26:35" ht="14.25" customHeight="1" x14ac:dyDescent="0.2">
      <c r="Z1176" s="72"/>
      <c r="AA1176" s="73"/>
      <c r="AB1176" s="73"/>
      <c r="AC1176" s="73"/>
      <c r="AD1176" s="73"/>
      <c r="AE1176" s="73"/>
      <c r="AF1176" s="73"/>
      <c r="AG1176" s="73"/>
      <c r="AH1176" s="73"/>
      <c r="AI1176" s="74"/>
    </row>
    <row r="1177" spans="26:35" ht="14.25" customHeight="1" x14ac:dyDescent="0.2">
      <c r="Z1177" s="72"/>
      <c r="AA1177" s="73"/>
      <c r="AB1177" s="73"/>
      <c r="AC1177" s="73"/>
      <c r="AD1177" s="73"/>
      <c r="AE1177" s="73"/>
      <c r="AF1177" s="73"/>
      <c r="AG1177" s="73"/>
      <c r="AH1177" s="73"/>
      <c r="AI1177" s="74"/>
    </row>
    <row r="1178" spans="26:35" ht="14.25" customHeight="1" x14ac:dyDescent="0.2">
      <c r="Z1178" s="72"/>
      <c r="AA1178" s="73"/>
      <c r="AB1178" s="73"/>
      <c r="AC1178" s="73"/>
      <c r="AD1178" s="73"/>
      <c r="AE1178" s="73"/>
      <c r="AF1178" s="73"/>
      <c r="AG1178" s="73"/>
      <c r="AH1178" s="73"/>
      <c r="AI1178" s="74"/>
    </row>
    <row r="1179" spans="26:35" ht="14.25" customHeight="1" x14ac:dyDescent="0.2">
      <c r="Z1179" s="72"/>
      <c r="AA1179" s="73"/>
      <c r="AB1179" s="73"/>
      <c r="AC1179" s="73"/>
      <c r="AD1179" s="73"/>
      <c r="AE1179" s="73"/>
      <c r="AF1179" s="73"/>
      <c r="AG1179" s="73"/>
      <c r="AH1179" s="73"/>
      <c r="AI1179" s="74"/>
    </row>
    <row r="1180" spans="26:35" ht="14.25" customHeight="1" x14ac:dyDescent="0.2">
      <c r="Z1180" s="72"/>
      <c r="AA1180" s="73"/>
      <c r="AB1180" s="73"/>
      <c r="AC1180" s="73"/>
      <c r="AD1180" s="73"/>
      <c r="AE1180" s="73"/>
      <c r="AF1180" s="73"/>
      <c r="AG1180" s="73"/>
      <c r="AH1180" s="73"/>
      <c r="AI1180" s="74"/>
    </row>
    <row r="1181" spans="26:35" ht="14.25" customHeight="1" x14ac:dyDescent="0.2">
      <c r="Z1181" s="72"/>
      <c r="AA1181" s="73"/>
      <c r="AB1181" s="73"/>
      <c r="AC1181" s="73"/>
      <c r="AD1181" s="73"/>
      <c r="AE1181" s="73"/>
      <c r="AF1181" s="73"/>
      <c r="AG1181" s="73"/>
      <c r="AH1181" s="73"/>
      <c r="AI1181" s="74"/>
    </row>
    <row r="1182" spans="26:35" ht="14.25" customHeight="1" x14ac:dyDescent="0.2">
      <c r="Z1182" s="72"/>
      <c r="AA1182" s="73"/>
      <c r="AB1182" s="73"/>
      <c r="AC1182" s="73"/>
      <c r="AD1182" s="73"/>
      <c r="AE1182" s="73"/>
      <c r="AF1182" s="73"/>
      <c r="AG1182" s="73"/>
      <c r="AH1182" s="73"/>
      <c r="AI1182" s="74"/>
    </row>
    <row r="1183" spans="26:35" ht="14.25" customHeight="1" x14ac:dyDescent="0.2">
      <c r="Z1183" s="72"/>
      <c r="AA1183" s="73"/>
      <c r="AB1183" s="73"/>
      <c r="AC1183" s="73"/>
      <c r="AD1183" s="73"/>
      <c r="AE1183" s="73"/>
      <c r="AF1183" s="73"/>
      <c r="AG1183" s="73"/>
      <c r="AH1183" s="73"/>
      <c r="AI1183" s="74"/>
    </row>
    <row r="1184" spans="26:35" ht="14.25" customHeight="1" x14ac:dyDescent="0.2">
      <c r="Z1184" s="72"/>
      <c r="AA1184" s="73"/>
      <c r="AB1184" s="73"/>
      <c r="AC1184" s="73"/>
      <c r="AD1184" s="73"/>
      <c r="AE1184" s="73"/>
      <c r="AF1184" s="73"/>
      <c r="AG1184" s="73"/>
      <c r="AH1184" s="73"/>
      <c r="AI1184" s="74"/>
    </row>
    <row r="1185" spans="26:35" ht="14.25" customHeight="1" x14ac:dyDescent="0.2">
      <c r="Z1185" s="72"/>
      <c r="AA1185" s="73"/>
      <c r="AB1185" s="73"/>
      <c r="AC1185" s="73"/>
      <c r="AD1185" s="73"/>
      <c r="AE1185" s="73"/>
      <c r="AF1185" s="73"/>
      <c r="AG1185" s="73"/>
      <c r="AH1185" s="73"/>
      <c r="AI1185" s="74"/>
    </row>
    <row r="1186" spans="26:35" ht="14.25" customHeight="1" x14ac:dyDescent="0.2">
      <c r="Z1186" s="72"/>
      <c r="AA1186" s="73"/>
      <c r="AB1186" s="73"/>
      <c r="AC1186" s="73"/>
      <c r="AD1186" s="73"/>
      <c r="AE1186" s="73"/>
      <c r="AF1186" s="73"/>
      <c r="AG1186" s="73"/>
      <c r="AH1186" s="73"/>
      <c r="AI1186" s="74"/>
    </row>
    <row r="1187" spans="26:35" ht="14.25" customHeight="1" x14ac:dyDescent="0.2">
      <c r="Z1187" s="72"/>
      <c r="AA1187" s="73"/>
      <c r="AB1187" s="73"/>
      <c r="AC1187" s="73"/>
      <c r="AD1187" s="73"/>
      <c r="AE1187" s="73"/>
      <c r="AF1187" s="73"/>
      <c r="AG1187" s="73"/>
      <c r="AH1187" s="73"/>
      <c r="AI1187" s="74"/>
    </row>
    <row r="1188" spans="26:35" ht="14.25" customHeight="1" x14ac:dyDescent="0.2">
      <c r="Z1188" s="72"/>
      <c r="AA1188" s="73"/>
      <c r="AB1188" s="73"/>
      <c r="AC1188" s="73"/>
      <c r="AD1188" s="73"/>
      <c r="AE1188" s="73"/>
      <c r="AF1188" s="73"/>
      <c r="AG1188" s="73"/>
      <c r="AH1188" s="73"/>
      <c r="AI1188" s="74"/>
    </row>
    <row r="1189" spans="26:35" ht="14.25" customHeight="1" x14ac:dyDescent="0.2">
      <c r="Z1189" s="72"/>
      <c r="AA1189" s="73"/>
      <c r="AB1189" s="73"/>
      <c r="AC1189" s="73"/>
      <c r="AD1189" s="73"/>
      <c r="AE1189" s="73"/>
      <c r="AF1189" s="73"/>
      <c r="AG1189" s="73"/>
      <c r="AH1189" s="73"/>
      <c r="AI1189" s="74"/>
    </row>
    <row r="1190" spans="26:35" ht="14.25" customHeight="1" x14ac:dyDescent="0.2">
      <c r="Z1190" s="72"/>
      <c r="AA1190" s="73"/>
      <c r="AB1190" s="73"/>
      <c r="AC1190" s="73"/>
      <c r="AD1190" s="73"/>
      <c r="AE1190" s="73"/>
      <c r="AF1190" s="73"/>
      <c r="AG1190" s="73"/>
      <c r="AH1190" s="73"/>
      <c r="AI1190" s="74"/>
    </row>
    <row r="1191" spans="26:35" ht="14.25" customHeight="1" x14ac:dyDescent="0.2">
      <c r="Z1191" s="72"/>
      <c r="AA1191" s="73"/>
      <c r="AB1191" s="73"/>
      <c r="AC1191" s="73"/>
      <c r="AD1191" s="73"/>
      <c r="AE1191" s="73"/>
      <c r="AF1191" s="73"/>
      <c r="AG1191" s="73"/>
      <c r="AH1191" s="73"/>
      <c r="AI1191" s="74"/>
    </row>
    <row r="1192" spans="26:35" ht="14.25" customHeight="1" x14ac:dyDescent="0.2">
      <c r="Z1192" s="72"/>
      <c r="AA1192" s="73"/>
      <c r="AB1192" s="73"/>
      <c r="AC1192" s="73"/>
      <c r="AD1192" s="73"/>
      <c r="AE1192" s="73"/>
      <c r="AF1192" s="73"/>
      <c r="AG1192" s="73"/>
      <c r="AH1192" s="73"/>
      <c r="AI1192" s="74"/>
    </row>
    <row r="1193" spans="26:35" ht="14.25" customHeight="1" x14ac:dyDescent="0.2">
      <c r="Z1193" s="72"/>
      <c r="AA1193" s="73"/>
      <c r="AB1193" s="73"/>
      <c r="AC1193" s="73"/>
      <c r="AD1193" s="73"/>
      <c r="AE1193" s="73"/>
      <c r="AF1193" s="73"/>
      <c r="AG1193" s="73"/>
      <c r="AH1193" s="73"/>
      <c r="AI1193" s="74"/>
    </row>
    <row r="1194" spans="26:35" ht="14.25" customHeight="1" x14ac:dyDescent="0.2">
      <c r="Z1194" s="72"/>
      <c r="AA1194" s="73"/>
      <c r="AB1194" s="73"/>
      <c r="AC1194" s="73"/>
      <c r="AD1194" s="73"/>
      <c r="AE1194" s="73"/>
      <c r="AF1194" s="73"/>
      <c r="AG1194" s="73"/>
      <c r="AH1194" s="73"/>
      <c r="AI1194" s="74"/>
    </row>
    <row r="1195" spans="26:35" ht="14.25" customHeight="1" x14ac:dyDescent="0.2">
      <c r="Z1195" s="72"/>
      <c r="AA1195" s="73"/>
      <c r="AB1195" s="73"/>
      <c r="AC1195" s="73"/>
      <c r="AD1195" s="73"/>
      <c r="AE1195" s="73"/>
      <c r="AF1195" s="73"/>
      <c r="AG1195" s="73"/>
      <c r="AH1195" s="73"/>
      <c r="AI1195" s="74"/>
    </row>
    <row r="1196" spans="26:35" ht="14.25" customHeight="1" x14ac:dyDescent="0.2">
      <c r="Z1196" s="72"/>
      <c r="AA1196" s="73"/>
      <c r="AB1196" s="73"/>
      <c r="AC1196" s="73"/>
      <c r="AD1196" s="73"/>
      <c r="AE1196" s="73"/>
      <c r="AF1196" s="73"/>
      <c r="AG1196" s="73"/>
      <c r="AH1196" s="73"/>
      <c r="AI1196" s="74"/>
    </row>
    <row r="1197" spans="26:35" ht="14.25" customHeight="1" x14ac:dyDescent="0.2">
      <c r="Z1197" s="72"/>
      <c r="AA1197" s="73"/>
      <c r="AB1197" s="73"/>
      <c r="AC1197" s="73"/>
      <c r="AD1197" s="73"/>
      <c r="AE1197" s="73"/>
      <c r="AF1197" s="73"/>
      <c r="AG1197" s="73"/>
      <c r="AH1197" s="73"/>
      <c r="AI1197" s="74"/>
    </row>
    <row r="1198" spans="26:35" ht="14.25" customHeight="1" x14ac:dyDescent="0.2">
      <c r="Z1198" s="72"/>
      <c r="AA1198" s="73"/>
      <c r="AB1198" s="73"/>
      <c r="AC1198" s="73"/>
      <c r="AD1198" s="73"/>
      <c r="AE1198" s="73"/>
      <c r="AF1198" s="73"/>
      <c r="AG1198" s="73"/>
      <c r="AH1198" s="73"/>
      <c r="AI1198" s="74"/>
    </row>
    <row r="1199" spans="26:35" ht="14.25" customHeight="1" x14ac:dyDescent="0.2">
      <c r="Z1199" s="72"/>
      <c r="AA1199" s="73"/>
      <c r="AB1199" s="73"/>
      <c r="AC1199" s="73"/>
      <c r="AD1199" s="73"/>
      <c r="AE1199" s="73"/>
      <c r="AF1199" s="73"/>
      <c r="AG1199" s="73"/>
      <c r="AH1199" s="73"/>
      <c r="AI1199" s="74"/>
    </row>
    <row r="1200" spans="26:35" ht="14.25" customHeight="1" x14ac:dyDescent="0.2">
      <c r="Z1200" s="72"/>
      <c r="AA1200" s="73"/>
      <c r="AB1200" s="73"/>
      <c r="AC1200" s="73"/>
      <c r="AD1200" s="73"/>
      <c r="AE1200" s="73"/>
      <c r="AF1200" s="73"/>
      <c r="AG1200" s="73"/>
      <c r="AH1200" s="73"/>
      <c r="AI1200" s="74"/>
    </row>
    <row r="1201" spans="26:35" ht="14.25" customHeight="1" x14ac:dyDescent="0.2">
      <c r="Z1201" s="72"/>
      <c r="AA1201" s="73"/>
      <c r="AB1201" s="73"/>
      <c r="AC1201" s="73"/>
      <c r="AD1201" s="73"/>
      <c r="AE1201" s="73"/>
      <c r="AF1201" s="73"/>
      <c r="AG1201" s="73"/>
      <c r="AH1201" s="73"/>
      <c r="AI1201" s="74"/>
    </row>
    <row r="1202" spans="26:35" ht="14.25" customHeight="1" x14ac:dyDescent="0.2">
      <c r="Z1202" s="72"/>
      <c r="AA1202" s="73"/>
      <c r="AB1202" s="73"/>
      <c r="AC1202" s="73"/>
      <c r="AD1202" s="73"/>
      <c r="AE1202" s="73"/>
      <c r="AF1202" s="73"/>
      <c r="AG1202" s="73"/>
      <c r="AH1202" s="73"/>
      <c r="AI1202" s="74"/>
    </row>
    <row r="1203" spans="26:35" ht="14.25" customHeight="1" x14ac:dyDescent="0.2">
      <c r="Z1203" s="72"/>
      <c r="AA1203" s="73"/>
      <c r="AB1203" s="73"/>
      <c r="AC1203" s="73"/>
      <c r="AD1203" s="73"/>
      <c r="AE1203" s="73"/>
      <c r="AF1203" s="73"/>
      <c r="AG1203" s="73"/>
      <c r="AH1203" s="73"/>
      <c r="AI1203" s="74"/>
    </row>
    <row r="1204" spans="26:35" ht="14.25" customHeight="1" x14ac:dyDescent="0.2">
      <c r="Z1204" s="72"/>
      <c r="AA1204" s="73"/>
      <c r="AB1204" s="73"/>
      <c r="AC1204" s="73"/>
      <c r="AD1204" s="73"/>
      <c r="AE1204" s="73"/>
      <c r="AF1204" s="73"/>
      <c r="AG1204" s="73"/>
      <c r="AH1204" s="73"/>
      <c r="AI1204" s="74"/>
    </row>
    <row r="1205" spans="26:35" ht="14.25" customHeight="1" x14ac:dyDescent="0.2">
      <c r="Z1205" s="72"/>
      <c r="AA1205" s="73"/>
      <c r="AB1205" s="73"/>
      <c r="AC1205" s="73"/>
      <c r="AD1205" s="73"/>
      <c r="AE1205" s="73"/>
      <c r="AF1205" s="73"/>
      <c r="AG1205" s="73"/>
      <c r="AH1205" s="73"/>
      <c r="AI1205" s="74"/>
    </row>
    <row r="1206" spans="26:35" ht="14.25" customHeight="1" x14ac:dyDescent="0.2">
      <c r="Z1206" s="72"/>
      <c r="AA1206" s="73"/>
      <c r="AB1206" s="73"/>
      <c r="AC1206" s="73"/>
      <c r="AD1206" s="73"/>
      <c r="AE1206" s="73"/>
      <c r="AF1206" s="73"/>
      <c r="AG1206" s="73"/>
      <c r="AH1206" s="73"/>
      <c r="AI1206" s="74"/>
    </row>
    <row r="1207" spans="26:35" ht="14.25" customHeight="1" x14ac:dyDescent="0.2">
      <c r="Z1207" s="72"/>
      <c r="AA1207" s="73"/>
      <c r="AB1207" s="73"/>
      <c r="AC1207" s="73"/>
      <c r="AD1207" s="73"/>
      <c r="AE1207" s="73"/>
      <c r="AF1207" s="73"/>
      <c r="AG1207" s="73"/>
      <c r="AH1207" s="73"/>
      <c r="AI1207" s="74"/>
    </row>
    <row r="1208" spans="26:35" ht="14.25" customHeight="1" x14ac:dyDescent="0.2">
      <c r="Z1208" s="72"/>
      <c r="AA1208" s="73"/>
      <c r="AB1208" s="73"/>
      <c r="AC1208" s="73"/>
      <c r="AD1208" s="73"/>
      <c r="AE1208" s="73"/>
      <c r="AF1208" s="73"/>
      <c r="AG1208" s="73"/>
      <c r="AH1208" s="73"/>
      <c r="AI1208" s="74"/>
    </row>
    <row r="1209" spans="26:35" ht="14.25" customHeight="1" x14ac:dyDescent="0.2">
      <c r="Z1209" s="72"/>
      <c r="AA1209" s="73"/>
      <c r="AB1209" s="73"/>
      <c r="AC1209" s="73"/>
      <c r="AD1209" s="73"/>
      <c r="AE1209" s="73"/>
      <c r="AF1209" s="73"/>
      <c r="AG1209" s="73"/>
      <c r="AH1209" s="73"/>
      <c r="AI1209" s="74"/>
    </row>
    <row r="1210" spans="26:35" ht="14.25" customHeight="1" x14ac:dyDescent="0.2">
      <c r="Z1210" s="72"/>
      <c r="AA1210" s="73"/>
      <c r="AB1210" s="73"/>
      <c r="AC1210" s="73"/>
      <c r="AD1210" s="73"/>
      <c r="AE1210" s="73"/>
      <c r="AF1210" s="73"/>
      <c r="AG1210" s="73"/>
      <c r="AH1210" s="73"/>
      <c r="AI1210" s="74"/>
    </row>
    <row r="1211" spans="26:35" ht="14.25" customHeight="1" x14ac:dyDescent="0.2">
      <c r="Z1211" s="72"/>
      <c r="AA1211" s="73"/>
      <c r="AB1211" s="73"/>
      <c r="AC1211" s="73"/>
      <c r="AD1211" s="73"/>
      <c r="AE1211" s="73"/>
      <c r="AF1211" s="73"/>
      <c r="AG1211" s="73"/>
      <c r="AH1211" s="73"/>
      <c r="AI1211" s="74"/>
    </row>
    <row r="1212" spans="26:35" ht="14.25" customHeight="1" x14ac:dyDescent="0.2">
      <c r="Z1212" s="72"/>
      <c r="AA1212" s="73"/>
      <c r="AB1212" s="73"/>
      <c r="AC1212" s="73"/>
      <c r="AD1212" s="73"/>
      <c r="AE1212" s="73"/>
      <c r="AF1212" s="73"/>
      <c r="AG1212" s="73"/>
      <c r="AH1212" s="73"/>
      <c r="AI1212" s="74"/>
    </row>
    <row r="1213" spans="26:35" ht="14.25" customHeight="1" x14ac:dyDescent="0.2">
      <c r="Z1213" s="72"/>
      <c r="AA1213" s="73"/>
      <c r="AB1213" s="73"/>
      <c r="AC1213" s="73"/>
      <c r="AD1213" s="73"/>
      <c r="AE1213" s="73"/>
      <c r="AF1213" s="73"/>
      <c r="AG1213" s="73"/>
      <c r="AH1213" s="73"/>
      <c r="AI1213" s="74"/>
    </row>
    <row r="1214" spans="26:35" ht="14.25" customHeight="1" x14ac:dyDescent="0.2">
      <c r="Z1214" s="72"/>
      <c r="AA1214" s="73"/>
      <c r="AB1214" s="73"/>
      <c r="AC1214" s="73"/>
      <c r="AD1214" s="73"/>
      <c r="AE1214" s="73"/>
      <c r="AF1214" s="73"/>
      <c r="AG1214" s="73"/>
      <c r="AH1214" s="73"/>
      <c r="AI1214" s="74"/>
    </row>
    <row r="1215" spans="26:35" ht="14.25" customHeight="1" x14ac:dyDescent="0.2">
      <c r="Z1215" s="72"/>
      <c r="AA1215" s="73"/>
      <c r="AB1215" s="73"/>
      <c r="AC1215" s="73"/>
      <c r="AD1215" s="73"/>
      <c r="AE1215" s="73"/>
      <c r="AF1215" s="73"/>
      <c r="AG1215" s="73"/>
      <c r="AH1215" s="73"/>
      <c r="AI1215" s="74"/>
    </row>
    <row r="1216" spans="26:35" ht="14.25" customHeight="1" x14ac:dyDescent="0.2">
      <c r="Z1216" s="72"/>
      <c r="AA1216" s="73"/>
      <c r="AB1216" s="73"/>
      <c r="AC1216" s="73"/>
      <c r="AD1216" s="73"/>
      <c r="AE1216" s="73"/>
      <c r="AF1216" s="73"/>
      <c r="AG1216" s="73"/>
      <c r="AH1216" s="73"/>
      <c r="AI1216" s="74"/>
    </row>
    <row r="1217" spans="26:35" ht="14.25" customHeight="1" x14ac:dyDescent="0.2">
      <c r="Z1217" s="72"/>
      <c r="AA1217" s="73"/>
      <c r="AB1217" s="73"/>
      <c r="AC1217" s="73"/>
      <c r="AD1217" s="73"/>
      <c r="AE1217" s="73"/>
      <c r="AF1217" s="73"/>
      <c r="AG1217" s="73"/>
      <c r="AH1217" s="73"/>
      <c r="AI1217" s="74"/>
    </row>
    <row r="1218" spans="26:35" ht="14.25" customHeight="1" x14ac:dyDescent="0.2">
      <c r="Z1218" s="72"/>
      <c r="AA1218" s="73"/>
      <c r="AB1218" s="73"/>
      <c r="AC1218" s="73"/>
      <c r="AD1218" s="73"/>
      <c r="AE1218" s="73"/>
      <c r="AF1218" s="73"/>
      <c r="AG1218" s="73"/>
      <c r="AH1218" s="73"/>
      <c r="AI1218" s="74"/>
    </row>
    <row r="1219" spans="26:35" ht="14.25" customHeight="1" x14ac:dyDescent="0.2">
      <c r="Z1219" s="72"/>
      <c r="AA1219" s="73"/>
      <c r="AB1219" s="73"/>
      <c r="AC1219" s="73"/>
      <c r="AD1219" s="73"/>
      <c r="AE1219" s="73"/>
      <c r="AF1219" s="73"/>
      <c r="AG1219" s="73"/>
      <c r="AH1219" s="73"/>
      <c r="AI1219" s="74"/>
    </row>
    <row r="1220" spans="26:35" ht="14.25" customHeight="1" x14ac:dyDescent="0.2">
      <c r="Z1220" s="72"/>
      <c r="AA1220" s="73"/>
      <c r="AB1220" s="73"/>
      <c r="AC1220" s="73"/>
      <c r="AD1220" s="73"/>
      <c r="AE1220" s="73"/>
      <c r="AF1220" s="73"/>
      <c r="AG1220" s="73"/>
      <c r="AH1220" s="73"/>
      <c r="AI1220" s="74"/>
    </row>
    <row r="1221" spans="26:35" ht="14.25" customHeight="1" x14ac:dyDescent="0.2">
      <c r="Z1221" s="72"/>
      <c r="AA1221" s="73"/>
      <c r="AB1221" s="73"/>
      <c r="AC1221" s="73"/>
      <c r="AD1221" s="73"/>
      <c r="AE1221" s="73"/>
      <c r="AF1221" s="73"/>
      <c r="AG1221" s="73"/>
      <c r="AH1221" s="73"/>
      <c r="AI1221" s="74"/>
    </row>
    <row r="1222" spans="26:35" ht="14.25" customHeight="1" x14ac:dyDescent="0.2">
      <c r="Z1222" s="72"/>
      <c r="AA1222" s="73"/>
      <c r="AB1222" s="73"/>
      <c r="AC1222" s="73"/>
      <c r="AD1222" s="73"/>
      <c r="AE1222" s="73"/>
      <c r="AF1222" s="73"/>
      <c r="AG1222" s="73"/>
      <c r="AH1222" s="73"/>
      <c r="AI1222" s="74"/>
    </row>
    <row r="1223" spans="26:35" ht="14.25" customHeight="1" x14ac:dyDescent="0.2">
      <c r="Z1223" s="72"/>
      <c r="AA1223" s="73"/>
      <c r="AB1223" s="73"/>
      <c r="AC1223" s="73"/>
      <c r="AD1223" s="73"/>
      <c r="AE1223" s="73"/>
      <c r="AF1223" s="73"/>
      <c r="AG1223" s="73"/>
      <c r="AH1223" s="73"/>
      <c r="AI1223" s="74"/>
    </row>
    <row r="1224" spans="26:35" ht="14.25" customHeight="1" x14ac:dyDescent="0.2">
      <c r="Z1224" s="72"/>
      <c r="AA1224" s="73"/>
      <c r="AB1224" s="73"/>
      <c r="AC1224" s="73"/>
      <c r="AD1224" s="73"/>
      <c r="AE1224" s="73"/>
      <c r="AF1224" s="73"/>
      <c r="AG1224" s="73"/>
      <c r="AH1224" s="73"/>
      <c r="AI1224" s="74"/>
    </row>
    <row r="1225" spans="26:35" ht="14.25" customHeight="1" x14ac:dyDescent="0.2">
      <c r="Z1225" s="72"/>
      <c r="AA1225" s="73"/>
      <c r="AB1225" s="73"/>
      <c r="AC1225" s="73"/>
      <c r="AD1225" s="73"/>
      <c r="AE1225" s="73"/>
      <c r="AF1225" s="73"/>
      <c r="AG1225" s="73"/>
      <c r="AH1225" s="73"/>
      <c r="AI1225" s="74"/>
    </row>
    <row r="1226" spans="26:35" ht="14.25" customHeight="1" x14ac:dyDescent="0.2">
      <c r="Z1226" s="72"/>
      <c r="AA1226" s="73"/>
      <c r="AB1226" s="73"/>
      <c r="AC1226" s="73"/>
      <c r="AD1226" s="73"/>
      <c r="AE1226" s="73"/>
      <c r="AF1226" s="73"/>
      <c r="AG1226" s="73"/>
      <c r="AH1226" s="73"/>
      <c r="AI1226" s="74"/>
    </row>
    <row r="1227" spans="26:35" ht="14.25" customHeight="1" x14ac:dyDescent="0.2">
      <c r="Z1227" s="72"/>
      <c r="AA1227" s="73"/>
      <c r="AB1227" s="73"/>
      <c r="AC1227" s="73"/>
      <c r="AD1227" s="73"/>
      <c r="AE1227" s="73"/>
      <c r="AF1227" s="73"/>
      <c r="AG1227" s="73"/>
      <c r="AH1227" s="73"/>
      <c r="AI1227" s="74"/>
    </row>
    <row r="1228" spans="26:35" ht="14.25" customHeight="1" x14ac:dyDescent="0.2">
      <c r="Z1228" s="72"/>
      <c r="AA1228" s="73"/>
      <c r="AB1228" s="73"/>
      <c r="AC1228" s="73"/>
      <c r="AD1228" s="73"/>
      <c r="AE1228" s="73"/>
      <c r="AF1228" s="73"/>
      <c r="AG1228" s="73"/>
      <c r="AH1228" s="73"/>
      <c r="AI1228" s="74"/>
    </row>
    <row r="1229" spans="26:35" ht="14.25" customHeight="1" x14ac:dyDescent="0.2">
      <c r="Z1229" s="72"/>
      <c r="AA1229" s="73"/>
      <c r="AB1229" s="73"/>
      <c r="AC1229" s="73"/>
      <c r="AD1229" s="73"/>
      <c r="AE1229" s="73"/>
      <c r="AF1229" s="73"/>
      <c r="AG1229" s="73"/>
      <c r="AH1229" s="73"/>
      <c r="AI1229" s="74"/>
    </row>
    <row r="1230" spans="26:35" ht="14.25" customHeight="1" x14ac:dyDescent="0.2">
      <c r="Z1230" s="72"/>
      <c r="AA1230" s="73"/>
      <c r="AB1230" s="73"/>
      <c r="AC1230" s="73"/>
      <c r="AD1230" s="73"/>
      <c r="AE1230" s="73"/>
      <c r="AF1230" s="73"/>
      <c r="AG1230" s="73"/>
      <c r="AH1230" s="73"/>
      <c r="AI1230" s="74"/>
    </row>
    <row r="1231" spans="26:35" ht="14.25" customHeight="1" x14ac:dyDescent="0.2">
      <c r="Z1231" s="72"/>
      <c r="AA1231" s="73"/>
      <c r="AB1231" s="73"/>
      <c r="AC1231" s="73"/>
      <c r="AD1231" s="73"/>
      <c r="AE1231" s="73"/>
      <c r="AF1231" s="73"/>
      <c r="AG1231" s="73"/>
      <c r="AH1231" s="73"/>
      <c r="AI1231" s="74"/>
    </row>
    <row r="1232" spans="26:35" ht="14.25" customHeight="1" x14ac:dyDescent="0.2">
      <c r="Z1232" s="72"/>
      <c r="AA1232" s="73"/>
      <c r="AB1232" s="73"/>
      <c r="AC1232" s="73"/>
      <c r="AD1232" s="73"/>
      <c r="AE1232" s="73"/>
      <c r="AF1232" s="73"/>
      <c r="AG1232" s="73"/>
      <c r="AH1232" s="73"/>
      <c r="AI1232" s="74"/>
    </row>
    <row r="1233" spans="26:35" ht="14.25" customHeight="1" x14ac:dyDescent="0.2">
      <c r="Z1233" s="72"/>
      <c r="AA1233" s="73"/>
      <c r="AB1233" s="73"/>
      <c r="AC1233" s="73"/>
      <c r="AD1233" s="73"/>
      <c r="AE1233" s="73"/>
      <c r="AF1233" s="73"/>
      <c r="AG1233" s="73"/>
      <c r="AH1233" s="73"/>
      <c r="AI1233" s="74"/>
    </row>
    <row r="1234" spans="26:35" ht="14.25" customHeight="1" x14ac:dyDescent="0.2">
      <c r="Z1234" s="72"/>
      <c r="AA1234" s="73"/>
      <c r="AB1234" s="73"/>
      <c r="AC1234" s="73"/>
      <c r="AD1234" s="73"/>
      <c r="AE1234" s="73"/>
      <c r="AF1234" s="73"/>
      <c r="AG1234" s="73"/>
      <c r="AH1234" s="73"/>
      <c r="AI1234" s="74"/>
    </row>
    <row r="1235" spans="26:35" ht="14.25" customHeight="1" x14ac:dyDescent="0.2">
      <c r="Z1235" s="72"/>
      <c r="AA1235" s="73"/>
      <c r="AB1235" s="73"/>
      <c r="AC1235" s="73"/>
      <c r="AD1235" s="73"/>
      <c r="AE1235" s="73"/>
      <c r="AF1235" s="73"/>
      <c r="AG1235" s="73"/>
      <c r="AH1235" s="73"/>
      <c r="AI1235" s="74"/>
    </row>
    <row r="1236" spans="26:35" ht="14.25" customHeight="1" x14ac:dyDescent="0.2">
      <c r="Z1236" s="72"/>
      <c r="AA1236" s="73"/>
      <c r="AB1236" s="73"/>
      <c r="AC1236" s="73"/>
      <c r="AD1236" s="73"/>
      <c r="AE1236" s="73"/>
      <c r="AF1236" s="73"/>
      <c r="AG1236" s="73"/>
      <c r="AH1236" s="73"/>
      <c r="AI1236" s="74"/>
    </row>
    <row r="1237" spans="26:35" ht="14.25" customHeight="1" x14ac:dyDescent="0.2">
      <c r="Z1237" s="72"/>
      <c r="AA1237" s="73"/>
      <c r="AB1237" s="73"/>
      <c r="AC1237" s="73"/>
      <c r="AD1237" s="73"/>
      <c r="AE1237" s="73"/>
      <c r="AF1237" s="73"/>
      <c r="AG1237" s="73"/>
      <c r="AH1237" s="73"/>
      <c r="AI1237" s="74"/>
    </row>
    <row r="1238" spans="26:35" ht="14.25" customHeight="1" x14ac:dyDescent="0.2">
      <c r="Z1238" s="72"/>
      <c r="AA1238" s="73"/>
      <c r="AB1238" s="73"/>
      <c r="AC1238" s="73"/>
      <c r="AD1238" s="73"/>
      <c r="AE1238" s="73"/>
      <c r="AF1238" s="73"/>
      <c r="AG1238" s="73"/>
      <c r="AH1238" s="73"/>
      <c r="AI1238" s="74"/>
    </row>
    <row r="1239" spans="26:35" ht="14.25" customHeight="1" x14ac:dyDescent="0.2">
      <c r="Z1239" s="72"/>
      <c r="AA1239" s="73"/>
      <c r="AB1239" s="73"/>
      <c r="AC1239" s="73"/>
      <c r="AD1239" s="73"/>
      <c r="AE1239" s="73"/>
      <c r="AF1239" s="73"/>
      <c r="AG1239" s="73"/>
      <c r="AH1239" s="73"/>
      <c r="AI1239" s="74"/>
    </row>
    <row r="1240" spans="26:35" ht="14.25" customHeight="1" x14ac:dyDescent="0.2">
      <c r="Z1240" s="72"/>
      <c r="AA1240" s="73"/>
      <c r="AB1240" s="73"/>
      <c r="AC1240" s="73"/>
      <c r="AD1240" s="73"/>
      <c r="AE1240" s="73"/>
      <c r="AF1240" s="73"/>
      <c r="AG1240" s="73"/>
      <c r="AH1240" s="73"/>
      <c r="AI1240" s="74"/>
    </row>
    <row r="1241" spans="26:35" ht="14.25" customHeight="1" x14ac:dyDescent="0.2">
      <c r="Z1241" s="72"/>
      <c r="AA1241" s="73"/>
      <c r="AB1241" s="73"/>
      <c r="AC1241" s="73"/>
      <c r="AD1241" s="73"/>
      <c r="AE1241" s="73"/>
      <c r="AF1241" s="73"/>
      <c r="AG1241" s="73"/>
      <c r="AH1241" s="73"/>
      <c r="AI1241" s="74"/>
    </row>
    <row r="1242" spans="26:35" ht="14.25" customHeight="1" x14ac:dyDescent="0.2">
      <c r="Z1242" s="72"/>
      <c r="AA1242" s="73"/>
      <c r="AB1242" s="73"/>
      <c r="AC1242" s="73"/>
      <c r="AD1242" s="73"/>
      <c r="AE1242" s="73"/>
      <c r="AF1242" s="73"/>
      <c r="AG1242" s="73"/>
      <c r="AH1242" s="73"/>
      <c r="AI1242" s="74"/>
    </row>
    <row r="1243" spans="26:35" ht="14.25" customHeight="1" x14ac:dyDescent="0.2">
      <c r="Z1243" s="72"/>
      <c r="AA1243" s="73"/>
      <c r="AB1243" s="73"/>
      <c r="AC1243" s="73"/>
      <c r="AD1243" s="73"/>
      <c r="AE1243" s="73"/>
      <c r="AF1243" s="73"/>
      <c r="AG1243" s="73"/>
      <c r="AH1243" s="73"/>
      <c r="AI1243" s="74"/>
    </row>
    <row r="1244" spans="26:35" ht="14.25" customHeight="1" x14ac:dyDescent="0.2">
      <c r="Z1244" s="72"/>
      <c r="AA1244" s="73"/>
      <c r="AB1244" s="73"/>
      <c r="AC1244" s="73"/>
      <c r="AD1244" s="73"/>
      <c r="AE1244" s="73"/>
      <c r="AF1244" s="73"/>
      <c r="AG1244" s="73"/>
      <c r="AH1244" s="73"/>
      <c r="AI1244" s="74"/>
    </row>
    <row r="1245" spans="26:35" ht="14.25" customHeight="1" x14ac:dyDescent="0.2">
      <c r="Z1245" s="72"/>
      <c r="AA1245" s="73"/>
      <c r="AB1245" s="73"/>
      <c r="AC1245" s="73"/>
      <c r="AD1245" s="73"/>
      <c r="AE1245" s="73"/>
      <c r="AF1245" s="73"/>
      <c r="AG1245" s="73"/>
      <c r="AH1245" s="73"/>
      <c r="AI1245" s="74"/>
    </row>
    <row r="1246" spans="26:35" ht="14.25" customHeight="1" x14ac:dyDescent="0.2">
      <c r="Z1246" s="72"/>
      <c r="AA1246" s="73"/>
      <c r="AB1246" s="73"/>
      <c r="AC1246" s="73"/>
      <c r="AD1246" s="73"/>
      <c r="AE1246" s="73"/>
      <c r="AF1246" s="73"/>
      <c r="AG1246" s="73"/>
      <c r="AH1246" s="73"/>
      <c r="AI1246" s="74"/>
    </row>
    <row r="1247" spans="26:35" ht="14.25" customHeight="1" x14ac:dyDescent="0.2">
      <c r="Z1247" s="72"/>
      <c r="AA1247" s="73"/>
      <c r="AB1247" s="73"/>
      <c r="AC1247" s="73"/>
      <c r="AD1247" s="73"/>
      <c r="AE1247" s="73"/>
      <c r="AF1247" s="73"/>
      <c r="AG1247" s="73"/>
      <c r="AH1247" s="73"/>
      <c r="AI1247" s="74"/>
    </row>
    <row r="1248" spans="26:35" ht="14.25" customHeight="1" x14ac:dyDescent="0.2">
      <c r="Z1248" s="72"/>
      <c r="AA1248" s="73"/>
      <c r="AB1248" s="73"/>
      <c r="AC1248" s="73"/>
      <c r="AD1248" s="73"/>
      <c r="AE1248" s="73"/>
      <c r="AF1248" s="73"/>
      <c r="AG1248" s="73"/>
      <c r="AH1248" s="73"/>
      <c r="AI1248" s="74"/>
    </row>
    <row r="1249" spans="26:35" ht="14.25" customHeight="1" x14ac:dyDescent="0.2">
      <c r="Z1249" s="72"/>
      <c r="AA1249" s="73"/>
      <c r="AB1249" s="73"/>
      <c r="AC1249" s="73"/>
      <c r="AD1249" s="73"/>
      <c r="AE1249" s="73"/>
      <c r="AF1249" s="73"/>
      <c r="AG1249" s="73"/>
      <c r="AH1249" s="73"/>
      <c r="AI1249" s="74"/>
    </row>
    <row r="1250" spans="26:35" ht="14.25" customHeight="1" x14ac:dyDescent="0.2">
      <c r="Z1250" s="72"/>
      <c r="AA1250" s="73"/>
      <c r="AB1250" s="73"/>
      <c r="AC1250" s="73"/>
      <c r="AD1250" s="73"/>
      <c r="AE1250" s="73"/>
      <c r="AF1250" s="73"/>
      <c r="AG1250" s="73"/>
      <c r="AH1250" s="73"/>
      <c r="AI1250" s="74"/>
    </row>
    <row r="1251" spans="26:35" ht="14.25" customHeight="1" x14ac:dyDescent="0.2">
      <c r="Z1251" s="72"/>
      <c r="AA1251" s="73"/>
      <c r="AB1251" s="73"/>
      <c r="AC1251" s="73"/>
      <c r="AD1251" s="73"/>
      <c r="AE1251" s="73"/>
      <c r="AF1251" s="73"/>
      <c r="AG1251" s="73"/>
      <c r="AH1251" s="73"/>
      <c r="AI1251" s="74"/>
    </row>
    <row r="1252" spans="26:35" ht="14.25" customHeight="1" x14ac:dyDescent="0.2">
      <c r="Z1252" s="72"/>
      <c r="AA1252" s="73"/>
      <c r="AB1252" s="73"/>
      <c r="AC1252" s="73"/>
      <c r="AD1252" s="73"/>
      <c r="AE1252" s="73"/>
      <c r="AF1252" s="73"/>
      <c r="AG1252" s="73"/>
      <c r="AH1252" s="73"/>
      <c r="AI1252" s="74"/>
    </row>
    <row r="1253" spans="26:35" ht="14.25" customHeight="1" x14ac:dyDescent="0.2">
      <c r="Z1253" s="72"/>
      <c r="AA1253" s="73"/>
      <c r="AB1253" s="73"/>
      <c r="AC1253" s="73"/>
      <c r="AD1253" s="73"/>
      <c r="AE1253" s="73"/>
      <c r="AF1253" s="73"/>
      <c r="AG1253" s="73"/>
      <c r="AH1253" s="73"/>
      <c r="AI1253" s="74"/>
    </row>
    <row r="1254" spans="26:35" ht="14.25" customHeight="1" x14ac:dyDescent="0.2">
      <c r="Z1254" s="72"/>
      <c r="AA1254" s="73"/>
      <c r="AB1254" s="73"/>
      <c r="AC1254" s="73"/>
      <c r="AD1254" s="73"/>
      <c r="AE1254" s="73"/>
      <c r="AF1254" s="73"/>
      <c r="AG1254" s="73"/>
      <c r="AH1254" s="73"/>
      <c r="AI1254" s="74"/>
    </row>
    <row r="1255" spans="26:35" ht="14.25" customHeight="1" x14ac:dyDescent="0.2">
      <c r="Z1255" s="72"/>
      <c r="AA1255" s="73"/>
      <c r="AB1255" s="73"/>
      <c r="AC1255" s="73"/>
      <c r="AD1255" s="73"/>
      <c r="AE1255" s="73"/>
      <c r="AF1255" s="73"/>
      <c r="AG1255" s="73"/>
      <c r="AH1255" s="73"/>
      <c r="AI1255" s="74"/>
    </row>
    <row r="1256" spans="26:35" ht="14.25" customHeight="1" x14ac:dyDescent="0.2">
      <c r="Z1256" s="75"/>
      <c r="AA1256" s="76"/>
      <c r="AB1256" s="76"/>
      <c r="AC1256" s="76"/>
      <c r="AD1256" s="76"/>
      <c r="AE1256" s="76"/>
      <c r="AF1256" s="76"/>
      <c r="AG1256" s="76"/>
      <c r="AH1256" s="76"/>
      <c r="AI1256" s="77"/>
    </row>
  </sheetData>
  <mergeCells count="4">
    <mergeCell ref="A1:B2"/>
    <mergeCell ref="D4:F4"/>
    <mergeCell ref="H4:J4"/>
    <mergeCell ref="Z1:AI125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2022-12-29T03:53:12Z</dcterms:modified>
</cp:coreProperties>
</file>
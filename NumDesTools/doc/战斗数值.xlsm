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9293D903-8295-446C-9500-FF451BD8EA4F}" xr6:coauthVersionLast="47" xr6:coauthVersionMax="47" xr10:uidLastSave="{00000000-0000-0000-0000-000000000000}"/>
  <bookViews>
    <workbookView xWindow="28680" yWindow="-75" windowWidth="29040" windowHeight="15720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4" i="11" l="1"/>
  <c r="Y24" i="11"/>
  <c r="P22" i="11"/>
  <c r="N24" i="11"/>
  <c r="K14" i="11"/>
  <c r="H14" i="11"/>
  <c r="G18" i="11"/>
  <c r="G16" i="11"/>
  <c r="G15" i="11"/>
  <c r="G14" i="11"/>
  <c r="F18" i="11"/>
  <c r="F16" i="11"/>
  <c r="F15" i="11"/>
  <c r="F17" i="11"/>
  <c r="F14" i="11"/>
  <c r="E16" i="11"/>
  <c r="E15" i="11"/>
  <c r="E14" i="11"/>
  <c r="AI10" i="4" l="1"/>
  <c r="E41" i="1"/>
  <c r="E42" i="1"/>
  <c r="E43" i="1"/>
  <c r="T6" i="8"/>
  <c r="T7" i="8"/>
  <c r="T8" i="8"/>
  <c r="T9" i="8"/>
  <c r="T10" i="8"/>
  <c r="T5" i="8"/>
  <c r="H25" i="3"/>
  <c r="H26" i="3"/>
  <c r="H24" i="3"/>
  <c r="E24" i="3"/>
  <c r="R21" i="3"/>
  <c r="H23" i="3"/>
  <c r="I15" i="8"/>
  <c r="I16" i="8"/>
  <c r="I17" i="8"/>
  <c r="I18" i="8"/>
  <c r="I19" i="8"/>
  <c r="I14" i="8"/>
  <c r="N5" i="8"/>
  <c r="E23" i="3"/>
  <c r="H16" i="4"/>
  <c r="I26" i="4"/>
  <c r="Y10" i="4"/>
  <c r="H5" i="5"/>
  <c r="F5" i="5"/>
  <c r="F6" i="5"/>
  <c r="G6" i="5" s="1"/>
  <c r="F7" i="5"/>
  <c r="F8" i="5"/>
  <c r="G8" i="5" s="1"/>
  <c r="G7" i="5" l="1"/>
  <c r="D34" i="9"/>
  <c r="J34" i="9"/>
  <c r="F361" i="11"/>
  <c r="G361" i="11"/>
  <c r="G383" i="11" s="1"/>
  <c r="E361" i="11"/>
  <c r="E377" i="11" s="1"/>
  <c r="F248" i="11"/>
  <c r="G248" i="11"/>
  <c r="G262" i="11" s="1"/>
  <c r="E248" i="11"/>
  <c r="E256" i="11" s="1"/>
  <c r="J354" i="11"/>
  <c r="J241" i="11"/>
  <c r="J242" i="11" s="1"/>
  <c r="G135" i="11"/>
  <c r="G137" i="11" s="1"/>
  <c r="P137" i="11" s="1"/>
  <c r="AA137" i="11" s="1"/>
  <c r="F135" i="11"/>
  <c r="E135" i="11"/>
  <c r="E142" i="11" s="1"/>
  <c r="E24" i="1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AE337" i="11"/>
  <c r="AD337" i="11"/>
  <c r="AC337" i="11"/>
  <c r="AB337" i="1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O54" i="9" s="1"/>
  <c r="AC73" i="11"/>
  <c r="P56" i="9" s="1"/>
  <c r="AD73" i="11"/>
  <c r="Q54" i="9" s="1"/>
  <c r="AE73" i="11"/>
  <c r="S53" i="9" s="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K21" i="11"/>
  <c r="G26" i="11"/>
  <c r="G27" i="11"/>
  <c r="G28" i="11"/>
  <c r="P28" i="11" s="1"/>
  <c r="G29" i="11"/>
  <c r="P29" i="11" s="1"/>
  <c r="G30" i="11"/>
  <c r="P30" i="11" s="1"/>
  <c r="G31" i="11"/>
  <c r="P31" i="11" s="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P24" i="11" s="1"/>
  <c r="O24" i="11" s="1"/>
  <c r="F22" i="11"/>
  <c r="G22" i="11"/>
  <c r="E22" i="11"/>
  <c r="E25" i="3"/>
  <c r="G23" i="3"/>
  <c r="E7" i="11"/>
  <c r="F7" i="11"/>
  <c r="F130" i="11" s="1"/>
  <c r="G7" i="11"/>
  <c r="E8" i="11"/>
  <c r="F8" i="11"/>
  <c r="G8" i="11"/>
  <c r="E9" i="11"/>
  <c r="F9" i="11"/>
  <c r="F356" i="11" s="1"/>
  <c r="G9" i="11"/>
  <c r="G131" i="11" s="1"/>
  <c r="E10" i="11"/>
  <c r="E18" i="11" s="1"/>
  <c r="F10" i="11"/>
  <c r="F357" i="11" s="1"/>
  <c r="G10" i="11"/>
  <c r="G244" i="11" s="1"/>
  <c r="F6" i="11"/>
  <c r="G6" i="11"/>
  <c r="E6" i="11"/>
  <c r="F25" i="3"/>
  <c r="F24" i="3"/>
  <c r="F23" i="3"/>
  <c r="E290" i="11" l="1"/>
  <c r="E291" i="11"/>
  <c r="E341" i="11"/>
  <c r="E266" i="11"/>
  <c r="E274" i="11"/>
  <c r="E333" i="11"/>
  <c r="E332" i="11"/>
  <c r="E259" i="11"/>
  <c r="E331" i="11"/>
  <c r="E251" i="11"/>
  <c r="E319" i="11"/>
  <c r="E315" i="11"/>
  <c r="E346" i="11"/>
  <c r="E320" i="11"/>
  <c r="E314" i="11"/>
  <c r="E436" i="11"/>
  <c r="E307" i="11"/>
  <c r="G435" i="11"/>
  <c r="P435" i="11" s="1"/>
  <c r="AA435" i="11" s="1"/>
  <c r="E306" i="11"/>
  <c r="E391" i="11"/>
  <c r="E302" i="11"/>
  <c r="E275" i="11"/>
  <c r="E273" i="11"/>
  <c r="E261" i="11"/>
  <c r="E301" i="11"/>
  <c r="E288" i="11"/>
  <c r="E279" i="11"/>
  <c r="E347" i="11"/>
  <c r="E292" i="11"/>
  <c r="G345" i="11"/>
  <c r="G287" i="11"/>
  <c r="P287" i="11" s="1"/>
  <c r="AA287" i="11" s="1"/>
  <c r="G259" i="11"/>
  <c r="P259" i="11" s="1"/>
  <c r="AA259" i="11" s="1"/>
  <c r="G314" i="11"/>
  <c r="P314" i="11" s="1"/>
  <c r="AA314" i="11" s="1"/>
  <c r="G341" i="11"/>
  <c r="P341" i="11" s="1"/>
  <c r="AA341" i="11" s="1"/>
  <c r="G278" i="11"/>
  <c r="P278" i="11" s="1"/>
  <c r="AA278" i="11" s="1"/>
  <c r="G316" i="11"/>
  <c r="P316" i="11" s="1"/>
  <c r="AA316" i="11" s="1"/>
  <c r="G343" i="11"/>
  <c r="P343" i="11" s="1"/>
  <c r="AA343" i="11" s="1"/>
  <c r="G307" i="11"/>
  <c r="P307" i="11" s="1"/>
  <c r="AA307" i="11" s="1"/>
  <c r="G277" i="11"/>
  <c r="P277" i="11" s="1"/>
  <c r="AA277" i="11" s="1"/>
  <c r="E452" i="11"/>
  <c r="G319" i="11"/>
  <c r="P319" i="11" s="1"/>
  <c r="AA319" i="11" s="1"/>
  <c r="G317" i="11"/>
  <c r="P317" i="11" s="1"/>
  <c r="AA317" i="11" s="1"/>
  <c r="G340" i="11"/>
  <c r="G276" i="11"/>
  <c r="P276" i="11" s="1"/>
  <c r="AA276" i="11" s="1"/>
  <c r="G421" i="11"/>
  <c r="P421" i="11" s="1"/>
  <c r="AA421" i="11" s="1"/>
  <c r="G333" i="11"/>
  <c r="P333" i="11" s="1"/>
  <c r="AA333" i="11" s="1"/>
  <c r="G306" i="11"/>
  <c r="P306" i="11" s="1"/>
  <c r="AA306" i="11" s="1"/>
  <c r="G275" i="11"/>
  <c r="P275" i="11" s="1"/>
  <c r="AA275" i="11" s="1"/>
  <c r="G332" i="11"/>
  <c r="P332" i="11" s="1"/>
  <c r="AA332" i="11" s="1"/>
  <c r="G305" i="11"/>
  <c r="P305" i="11" s="1"/>
  <c r="AA305" i="11" s="1"/>
  <c r="G407" i="11"/>
  <c r="P407" i="11" s="1"/>
  <c r="AA407" i="11" s="1"/>
  <c r="G331" i="11"/>
  <c r="P331" i="11" s="1"/>
  <c r="AA331" i="11" s="1"/>
  <c r="E375" i="11"/>
  <c r="G300" i="11"/>
  <c r="P300" i="11" s="1"/>
  <c r="AA300" i="11" s="1"/>
  <c r="G374" i="11"/>
  <c r="P374" i="11" s="1"/>
  <c r="AA374" i="11" s="1"/>
  <c r="G258" i="11"/>
  <c r="P258" i="11" s="1"/>
  <c r="AA258" i="11" s="1"/>
  <c r="G273" i="11"/>
  <c r="P273" i="11" s="1"/>
  <c r="AA273" i="11" s="1"/>
  <c r="E329" i="11"/>
  <c r="E300" i="11"/>
  <c r="G265" i="11"/>
  <c r="P265" i="11" s="1"/>
  <c r="AA265" i="11" s="1"/>
  <c r="G260" i="11"/>
  <c r="P260" i="11" s="1"/>
  <c r="AA260" i="11" s="1"/>
  <c r="G288" i="11"/>
  <c r="P288" i="11" s="1"/>
  <c r="AA288" i="11" s="1"/>
  <c r="G328" i="11"/>
  <c r="P328" i="11" s="1"/>
  <c r="AA328" i="11" s="1"/>
  <c r="E293" i="11"/>
  <c r="E262" i="11"/>
  <c r="G291" i="11"/>
  <c r="P291" i="11" s="1"/>
  <c r="AA291" i="11" s="1"/>
  <c r="G347" i="11"/>
  <c r="P347" i="11" s="1"/>
  <c r="AA347" i="11" s="1"/>
  <c r="G318" i="11"/>
  <c r="P318" i="11" s="1"/>
  <c r="AA318" i="11" s="1"/>
  <c r="G346" i="11"/>
  <c r="P346" i="11" s="1"/>
  <c r="AA346" i="11" s="1"/>
  <c r="E328" i="11"/>
  <c r="G292" i="11"/>
  <c r="P292" i="11" s="1"/>
  <c r="AA292" i="11" s="1"/>
  <c r="G261" i="11"/>
  <c r="E421" i="11"/>
  <c r="G420" i="11"/>
  <c r="P420" i="11" s="1"/>
  <c r="AA420" i="11" s="1"/>
  <c r="G434" i="11"/>
  <c r="P434" i="11" s="1"/>
  <c r="AA434" i="11" s="1"/>
  <c r="E194" i="11"/>
  <c r="G447" i="11"/>
  <c r="P447" i="11" s="1"/>
  <c r="AA447" i="11" s="1"/>
  <c r="G348" i="11"/>
  <c r="P348" i="11" s="1"/>
  <c r="AA348" i="11" s="1"/>
  <c r="G334" i="11"/>
  <c r="P334" i="11" s="1"/>
  <c r="AA334" i="11" s="1"/>
  <c r="E321" i="11"/>
  <c r="G308" i="11"/>
  <c r="P308" i="11" s="1"/>
  <c r="AA308" i="11" s="1"/>
  <c r="E294" i="11"/>
  <c r="E280" i="11"/>
  <c r="E267" i="11"/>
  <c r="G252" i="11"/>
  <c r="P252" i="11" s="1"/>
  <c r="AA252" i="11" s="1"/>
  <c r="G453" i="11"/>
  <c r="P453" i="11" s="1"/>
  <c r="AA453" i="11" s="1"/>
  <c r="G438" i="11"/>
  <c r="P438" i="11" s="1"/>
  <c r="AA438" i="11" s="1"/>
  <c r="G422" i="11"/>
  <c r="P422" i="11" s="1"/>
  <c r="AA422" i="11" s="1"/>
  <c r="G408" i="11"/>
  <c r="P408" i="11" s="1"/>
  <c r="AA408" i="11" s="1"/>
  <c r="E393" i="11"/>
  <c r="E376" i="11"/>
  <c r="E407" i="11"/>
  <c r="E374" i="11"/>
  <c r="E420" i="11"/>
  <c r="E370" i="11"/>
  <c r="E461" i="11"/>
  <c r="E348" i="11"/>
  <c r="E334" i="11"/>
  <c r="G320" i="11"/>
  <c r="P320" i="11" s="1"/>
  <c r="AA320" i="11" s="1"/>
  <c r="E308" i="11"/>
  <c r="G293" i="11"/>
  <c r="P293" i="11" s="1"/>
  <c r="AA293" i="11" s="1"/>
  <c r="G279" i="11"/>
  <c r="P279" i="11" s="1"/>
  <c r="AA279" i="11" s="1"/>
  <c r="G266" i="11"/>
  <c r="P266" i="11" s="1"/>
  <c r="AA266" i="11" s="1"/>
  <c r="E252" i="11"/>
  <c r="E453" i="11"/>
  <c r="G436" i="11"/>
  <c r="P436" i="11" s="1"/>
  <c r="AA436" i="11" s="1"/>
  <c r="E422" i="11"/>
  <c r="E408" i="11"/>
  <c r="E392" i="11"/>
  <c r="G375" i="11"/>
  <c r="P375" i="11" s="1"/>
  <c r="AA375" i="11" s="1"/>
  <c r="E390" i="11"/>
  <c r="G389" i="11"/>
  <c r="P389" i="11" s="1"/>
  <c r="AA389" i="11" s="1"/>
  <c r="G373" i="11"/>
  <c r="P373" i="11" s="1"/>
  <c r="AA373" i="11" s="1"/>
  <c r="G363" i="11"/>
  <c r="P363" i="11" s="1"/>
  <c r="AA363" i="11" s="1"/>
  <c r="E449" i="11"/>
  <c r="E434" i="11"/>
  <c r="G418" i="11"/>
  <c r="P418" i="11" s="1"/>
  <c r="AA418" i="11" s="1"/>
  <c r="G402" i="11"/>
  <c r="P402" i="11" s="1"/>
  <c r="AA402" i="11" s="1"/>
  <c r="G388" i="11"/>
  <c r="P388" i="11" s="1"/>
  <c r="AA388" i="11" s="1"/>
  <c r="E373" i="11"/>
  <c r="E215" i="11"/>
  <c r="G462" i="11"/>
  <c r="P462" i="11" s="1"/>
  <c r="AA462" i="11" s="1"/>
  <c r="G448" i="11"/>
  <c r="P448" i="11" s="1"/>
  <c r="AA448" i="11" s="1"/>
  <c r="G433" i="11"/>
  <c r="P433" i="11" s="1"/>
  <c r="AA433" i="11" s="1"/>
  <c r="G416" i="11"/>
  <c r="P416" i="11" s="1"/>
  <c r="AA416" i="11" s="1"/>
  <c r="E402" i="11"/>
  <c r="E388" i="11"/>
  <c r="E372" i="11"/>
  <c r="G214" i="11"/>
  <c r="P214" i="11" s="1"/>
  <c r="AA214" i="11" s="1"/>
  <c r="E342" i="11"/>
  <c r="E330" i="11"/>
  <c r="G315" i="11"/>
  <c r="P315" i="11" s="1"/>
  <c r="AA315" i="11" s="1"/>
  <c r="G301" i="11"/>
  <c r="P301" i="11" s="1"/>
  <c r="AA301" i="11" s="1"/>
  <c r="E289" i="11"/>
  <c r="G274" i="11"/>
  <c r="P274" i="11" s="1"/>
  <c r="AA274" i="11" s="1"/>
  <c r="E260" i="11"/>
  <c r="E462" i="11"/>
  <c r="E448" i="11"/>
  <c r="E433" i="11"/>
  <c r="E416" i="11"/>
  <c r="G401" i="11"/>
  <c r="P401" i="11" s="1"/>
  <c r="AA401" i="11" s="1"/>
  <c r="G387" i="11"/>
  <c r="P387" i="11" s="1"/>
  <c r="AA387" i="11" s="1"/>
  <c r="E371" i="11"/>
  <c r="G449" i="11"/>
  <c r="P449" i="11" s="1"/>
  <c r="AA449" i="11" s="1"/>
  <c r="E431" i="11"/>
  <c r="E383" i="11"/>
  <c r="G144" i="11"/>
  <c r="P144" i="11" s="1"/>
  <c r="AA144" i="11" s="1"/>
  <c r="E340" i="11"/>
  <c r="G327" i="11"/>
  <c r="P327" i="11" s="1"/>
  <c r="AA327" i="11" s="1"/>
  <c r="G313" i="11"/>
  <c r="P313" i="11" s="1"/>
  <c r="AA313" i="11" s="1"/>
  <c r="G299" i="11"/>
  <c r="P299" i="11" s="1"/>
  <c r="AA299" i="11" s="1"/>
  <c r="E287" i="11"/>
  <c r="G272" i="11"/>
  <c r="P272" i="11" s="1"/>
  <c r="AA272" i="11" s="1"/>
  <c r="G257" i="11"/>
  <c r="P257" i="11" s="1"/>
  <c r="AA257" i="11" s="1"/>
  <c r="E460" i="11"/>
  <c r="E446" i="11"/>
  <c r="G429" i="11"/>
  <c r="P429" i="11" s="1"/>
  <c r="AA429" i="11" s="1"/>
  <c r="E414" i="11"/>
  <c r="G398" i="11"/>
  <c r="P398" i="11" s="1"/>
  <c r="AA398" i="11" s="1"/>
  <c r="G382" i="11"/>
  <c r="P382" i="11" s="1"/>
  <c r="AA382" i="11" s="1"/>
  <c r="G368" i="11"/>
  <c r="P368" i="11" s="1"/>
  <c r="AA368" i="11" s="1"/>
  <c r="E387" i="11"/>
  <c r="G369" i="11"/>
  <c r="P369" i="11" s="1"/>
  <c r="AA369" i="11" s="1"/>
  <c r="E145" i="11"/>
  <c r="G460" i="11"/>
  <c r="P460" i="11" s="1"/>
  <c r="AA460" i="11" s="1"/>
  <c r="G446" i="11"/>
  <c r="P446" i="11" s="1"/>
  <c r="AA446" i="11" s="1"/>
  <c r="E430" i="11"/>
  <c r="G414" i="11"/>
  <c r="P414" i="11" s="1"/>
  <c r="AA414" i="11" s="1"/>
  <c r="E369" i="11"/>
  <c r="G339" i="11"/>
  <c r="P339" i="11" s="1"/>
  <c r="AA339" i="11" s="1"/>
  <c r="E327" i="11"/>
  <c r="E313" i="11"/>
  <c r="E299" i="11"/>
  <c r="G286" i="11"/>
  <c r="P286" i="11" s="1"/>
  <c r="AA286" i="11" s="1"/>
  <c r="E272" i="11"/>
  <c r="G256" i="11"/>
  <c r="P256" i="11" s="1"/>
  <c r="AA256" i="11" s="1"/>
  <c r="G458" i="11"/>
  <c r="P458" i="11" s="1"/>
  <c r="AA458" i="11" s="1"/>
  <c r="E443" i="11"/>
  <c r="E429" i="11"/>
  <c r="G413" i="11"/>
  <c r="P413" i="11" s="1"/>
  <c r="AA413" i="11" s="1"/>
  <c r="G396" i="11"/>
  <c r="P396" i="11" s="1"/>
  <c r="AA396" i="11" s="1"/>
  <c r="E382" i="11"/>
  <c r="E368" i="11"/>
  <c r="G461" i="11"/>
  <c r="P461" i="11" s="1"/>
  <c r="AA461" i="11" s="1"/>
  <c r="E415" i="11"/>
  <c r="E400" i="11"/>
  <c r="E339" i="11"/>
  <c r="G326" i="11"/>
  <c r="P326" i="11" s="1"/>
  <c r="AA326" i="11" s="1"/>
  <c r="G312" i="11"/>
  <c r="P312" i="11" s="1"/>
  <c r="AA312" i="11" s="1"/>
  <c r="G298" i="11"/>
  <c r="P298" i="11" s="1"/>
  <c r="AA298" i="11" s="1"/>
  <c r="E286" i="11"/>
  <c r="E271" i="11"/>
  <c r="G255" i="11"/>
  <c r="P255" i="11" s="1"/>
  <c r="AA255" i="11" s="1"/>
  <c r="G456" i="11"/>
  <c r="P456" i="11" s="1"/>
  <c r="AA456" i="11" s="1"/>
  <c r="G442" i="11"/>
  <c r="P442" i="11" s="1"/>
  <c r="AA442" i="11" s="1"/>
  <c r="G428" i="11"/>
  <c r="P428" i="11" s="1"/>
  <c r="AA428" i="11" s="1"/>
  <c r="E413" i="11"/>
  <c r="E396" i="11"/>
  <c r="G381" i="11"/>
  <c r="P381" i="11" s="1"/>
  <c r="AA381" i="11" s="1"/>
  <c r="G367" i="11"/>
  <c r="P367" i="11" s="1"/>
  <c r="AA367" i="11" s="1"/>
  <c r="G386" i="11"/>
  <c r="P386" i="11" s="1"/>
  <c r="AA386" i="11" s="1"/>
  <c r="G338" i="11"/>
  <c r="P338" i="11" s="1"/>
  <c r="AA338" i="11" s="1"/>
  <c r="E326" i="11"/>
  <c r="E312" i="11"/>
  <c r="G297" i="11"/>
  <c r="P297" i="11" s="1"/>
  <c r="AA297" i="11" s="1"/>
  <c r="G285" i="11"/>
  <c r="P285" i="11" s="1"/>
  <c r="AA285" i="11" s="1"/>
  <c r="E270" i="11"/>
  <c r="E255" i="11"/>
  <c r="E456" i="11"/>
  <c r="E442" i="11"/>
  <c r="E428" i="11"/>
  <c r="E412" i="11"/>
  <c r="G395" i="11"/>
  <c r="P395" i="11" s="1"/>
  <c r="AA395" i="11" s="1"/>
  <c r="E381" i="11"/>
  <c r="E367" i="11"/>
  <c r="E172" i="11"/>
  <c r="G337" i="11"/>
  <c r="P337" i="11" s="1"/>
  <c r="AA337" i="11" s="1"/>
  <c r="G325" i="11"/>
  <c r="P325" i="11" s="1"/>
  <c r="AA325" i="11" s="1"/>
  <c r="G311" i="11"/>
  <c r="P311" i="11" s="1"/>
  <c r="AA311" i="11" s="1"/>
  <c r="G296" i="11"/>
  <c r="P296" i="11" s="1"/>
  <c r="AA296" i="11" s="1"/>
  <c r="E282" i="11"/>
  <c r="E269" i="11"/>
  <c r="G254" i="11"/>
  <c r="P254" i="11" s="1"/>
  <c r="AA254" i="11" s="1"/>
  <c r="G455" i="11"/>
  <c r="P455" i="11" s="1"/>
  <c r="AA455" i="11" s="1"/>
  <c r="G441" i="11"/>
  <c r="P441" i="11" s="1"/>
  <c r="AA441" i="11" s="1"/>
  <c r="G427" i="11"/>
  <c r="P427" i="11" s="1"/>
  <c r="AA427" i="11" s="1"/>
  <c r="E411" i="11"/>
  <c r="E395" i="11"/>
  <c r="G380" i="11"/>
  <c r="P380" i="11" s="1"/>
  <c r="AA380" i="11" s="1"/>
  <c r="G366" i="11"/>
  <c r="P366" i="11" s="1"/>
  <c r="AA366" i="11" s="1"/>
  <c r="E451" i="11"/>
  <c r="E450" i="11"/>
  <c r="G415" i="11"/>
  <c r="P415" i="11" s="1"/>
  <c r="AA415" i="11" s="1"/>
  <c r="E447" i="11"/>
  <c r="G336" i="11"/>
  <c r="P336" i="11" s="1"/>
  <c r="AA336" i="11" s="1"/>
  <c r="G323" i="11"/>
  <c r="P323" i="11" s="1"/>
  <c r="AA323" i="11" s="1"/>
  <c r="E311" i="11"/>
  <c r="G295" i="11"/>
  <c r="P295" i="11" s="1"/>
  <c r="AA295" i="11" s="1"/>
  <c r="G281" i="11"/>
  <c r="P281" i="11" s="1"/>
  <c r="AA281" i="11" s="1"/>
  <c r="G268" i="11"/>
  <c r="P268" i="11" s="1"/>
  <c r="AA268" i="11" s="1"/>
  <c r="E254" i="11"/>
  <c r="E455" i="11"/>
  <c r="E441" i="11"/>
  <c r="E427" i="11"/>
  <c r="E410" i="11"/>
  <c r="G394" i="11"/>
  <c r="P394" i="11" s="1"/>
  <c r="AA394" i="11" s="1"/>
  <c r="E380" i="11"/>
  <c r="E435" i="11"/>
  <c r="E389" i="11"/>
  <c r="E401" i="11"/>
  <c r="G400" i="11"/>
  <c r="P400" i="11" s="1"/>
  <c r="AA400" i="11" s="1"/>
  <c r="G250" i="11"/>
  <c r="P250" i="11" s="1"/>
  <c r="AA250" i="11" s="1"/>
  <c r="G335" i="11"/>
  <c r="P335" i="11" s="1"/>
  <c r="AA335" i="11" s="1"/>
  <c r="E322" i="11"/>
  <c r="E310" i="11"/>
  <c r="E295" i="11"/>
  <c r="E281" i="11"/>
  <c r="E268" i="11"/>
  <c r="G253" i="11"/>
  <c r="P253" i="11" s="1"/>
  <c r="AA253" i="11" s="1"/>
  <c r="G454" i="11"/>
  <c r="P454" i="11" s="1"/>
  <c r="AA454" i="11" s="1"/>
  <c r="G440" i="11"/>
  <c r="P440" i="11" s="1"/>
  <c r="AA440" i="11" s="1"/>
  <c r="G426" i="11"/>
  <c r="P426" i="11" s="1"/>
  <c r="AA426" i="11" s="1"/>
  <c r="G409" i="11"/>
  <c r="P409" i="11" s="1"/>
  <c r="AA409" i="11" s="1"/>
  <c r="E394" i="11"/>
  <c r="G378" i="11"/>
  <c r="P378" i="11" s="1"/>
  <c r="AA378" i="11" s="1"/>
  <c r="G406" i="11"/>
  <c r="P406" i="11" s="1"/>
  <c r="AA406" i="11" s="1"/>
  <c r="E403" i="11"/>
  <c r="E432" i="11"/>
  <c r="E349" i="11"/>
  <c r="E335" i="11"/>
  <c r="G321" i="11"/>
  <c r="P321" i="11" s="1"/>
  <c r="AA321" i="11" s="1"/>
  <c r="E309" i="11"/>
  <c r="G294" i="11"/>
  <c r="P294" i="11" s="1"/>
  <c r="AA294" i="11" s="1"/>
  <c r="G280" i="11"/>
  <c r="P280" i="11" s="1"/>
  <c r="AA280" i="11" s="1"/>
  <c r="G267" i="11"/>
  <c r="P267" i="11" s="1"/>
  <c r="AA267" i="11" s="1"/>
  <c r="E253" i="11"/>
  <c r="E454" i="11"/>
  <c r="E440" i="11"/>
  <c r="E423" i="11"/>
  <c r="E409" i="11"/>
  <c r="G393" i="11"/>
  <c r="P393" i="11" s="1"/>
  <c r="AA393" i="11" s="1"/>
  <c r="G376" i="11"/>
  <c r="P376" i="11" s="1"/>
  <c r="AA376" i="11" s="1"/>
  <c r="E17" i="11"/>
  <c r="G354" i="11"/>
  <c r="G355" i="11" s="1"/>
  <c r="G356" i="11" s="1"/>
  <c r="E241" i="11"/>
  <c r="E242" i="11" s="1"/>
  <c r="E243" i="11" s="1"/>
  <c r="E244" i="11"/>
  <c r="F241" i="11"/>
  <c r="F242" i="11"/>
  <c r="F243" i="11"/>
  <c r="F131" i="11"/>
  <c r="G357" i="11"/>
  <c r="G128" i="11"/>
  <c r="G129" i="11" s="1"/>
  <c r="G130" i="11" s="1"/>
  <c r="F129" i="11"/>
  <c r="G241" i="11"/>
  <c r="G242" i="11" s="1"/>
  <c r="G243" i="11" s="1"/>
  <c r="E131" i="11"/>
  <c r="G17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107" i="11"/>
  <c r="P87" i="11"/>
  <c r="AA87" i="11" s="1"/>
  <c r="P67" i="11"/>
  <c r="AA67" i="11" s="1"/>
  <c r="P47" i="11"/>
  <c r="AA47" i="11" s="1"/>
  <c r="P27" i="11"/>
  <c r="AA27" i="11" s="1"/>
  <c r="P345" i="11"/>
  <c r="AA345" i="11" s="1"/>
  <c r="P261" i="11"/>
  <c r="AA261" i="11" s="1"/>
  <c r="P106" i="11"/>
  <c r="AA106" i="11" s="1"/>
  <c r="P86" i="11"/>
  <c r="P66" i="11"/>
  <c r="AA66" i="11" s="1"/>
  <c r="P46" i="11"/>
  <c r="AA46" i="11" s="1"/>
  <c r="P26" i="11"/>
  <c r="AA26" i="11" s="1"/>
  <c r="K134" i="11"/>
  <c r="K360" i="11"/>
  <c r="K247" i="11"/>
  <c r="P65" i="11"/>
  <c r="AA65" i="11" s="1"/>
  <c r="P84" i="11"/>
  <c r="AA84" i="11" s="1"/>
  <c r="P103" i="11"/>
  <c r="AA103" i="11" s="1"/>
  <c r="P62" i="11"/>
  <c r="AA62" i="11" s="1"/>
  <c r="P340" i="11"/>
  <c r="AA340" i="11" s="1"/>
  <c r="P105" i="11"/>
  <c r="AA105" i="11" s="1"/>
  <c r="P64" i="11"/>
  <c r="AA64" i="11" s="1"/>
  <c r="P43" i="11"/>
  <c r="AA43" i="11" s="1"/>
  <c r="P122" i="11"/>
  <c r="AA122" i="11" s="1"/>
  <c r="P121" i="11"/>
  <c r="AA121" i="11" s="1"/>
  <c r="P101" i="11"/>
  <c r="AA101" i="11" s="1"/>
  <c r="P81" i="11"/>
  <c r="AA81" i="11" s="1"/>
  <c r="P61" i="11"/>
  <c r="AA61" i="11" s="1"/>
  <c r="P41" i="11"/>
  <c r="AA41" i="11" s="1"/>
  <c r="P383" i="11"/>
  <c r="AA383" i="11" s="1"/>
  <c r="P44" i="11"/>
  <c r="AA44" i="11" s="1"/>
  <c r="P63" i="11"/>
  <c r="AA63" i="11" s="1"/>
  <c r="P262" i="11"/>
  <c r="AA262" i="11" s="1"/>
  <c r="AA24" i="11"/>
  <c r="P45" i="11"/>
  <c r="AA45" i="11" s="1"/>
  <c r="P123" i="11"/>
  <c r="AA123" i="11" s="1"/>
  <c r="P82" i="11"/>
  <c r="AA82" i="11" s="1"/>
  <c r="P100" i="11"/>
  <c r="AA100" i="11" s="1"/>
  <c r="P40" i="11"/>
  <c r="AA40" i="11" s="1"/>
  <c r="P119" i="11"/>
  <c r="AA119" i="11" s="1"/>
  <c r="P99" i="11"/>
  <c r="AA99" i="11" s="1"/>
  <c r="P79" i="11"/>
  <c r="AA79" i="11" s="1"/>
  <c r="P59" i="11"/>
  <c r="AA59" i="11" s="1"/>
  <c r="P39" i="11"/>
  <c r="AA39" i="11" s="1"/>
  <c r="P104" i="11"/>
  <c r="AA104" i="11" s="1"/>
  <c r="P83" i="11"/>
  <c r="AA83" i="11" s="1"/>
  <c r="P42" i="11"/>
  <c r="AA42" i="11" s="1"/>
  <c r="P80" i="11"/>
  <c r="AA80" i="11" s="1"/>
  <c r="P118" i="11"/>
  <c r="AA118" i="11" s="1"/>
  <c r="P98" i="11"/>
  <c r="AA98" i="11" s="1"/>
  <c r="P78" i="11"/>
  <c r="AA78" i="11" s="1"/>
  <c r="P58" i="11"/>
  <c r="AA58" i="11" s="1"/>
  <c r="P38" i="11"/>
  <c r="AA38" i="11" s="1"/>
  <c r="P25" i="11"/>
  <c r="P102" i="11"/>
  <c r="AA102" i="11" s="1"/>
  <c r="P120" i="11"/>
  <c r="AA120" i="11" s="1"/>
  <c r="P60" i="11"/>
  <c r="AA60" i="11" s="1"/>
  <c r="P117" i="11"/>
  <c r="AA117" i="11" s="1"/>
  <c r="P97" i="11"/>
  <c r="AA97" i="11" s="1"/>
  <c r="P77" i="11"/>
  <c r="AA77" i="11" s="1"/>
  <c r="P57" i="11"/>
  <c r="AA57" i="11" s="1"/>
  <c r="P37" i="11"/>
  <c r="AA37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AA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N399" i="11" s="1"/>
  <c r="Y399" i="11" s="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AA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AA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E31" i="11"/>
  <c r="N31" i="11" s="1"/>
  <c r="Y31" i="11" s="1"/>
  <c r="E89" i="11"/>
  <c r="N89" i="11" s="1"/>
  <c r="Y89" i="11" s="1"/>
  <c r="E59" i="11"/>
  <c r="N59" i="11" s="1"/>
  <c r="Y59" i="11" s="1"/>
  <c r="N315" i="11"/>
  <c r="Y315" i="11" s="1"/>
  <c r="E107" i="11"/>
  <c r="N107" i="11" s="1"/>
  <c r="Y107" i="11" s="1"/>
  <c r="E77" i="11"/>
  <c r="N77" i="11" s="1"/>
  <c r="Y77" i="11" s="1"/>
  <c r="S59" i="9"/>
  <c r="S58" i="9"/>
  <c r="S56" i="9"/>
  <c r="S55" i="9"/>
  <c r="Q58" i="9"/>
  <c r="S60" i="9"/>
  <c r="S57" i="9"/>
  <c r="Q57" i="9"/>
  <c r="O61" i="9"/>
  <c r="S54" i="9"/>
  <c r="S61" i="9"/>
  <c r="Q61" i="9"/>
  <c r="Q60" i="9"/>
  <c r="O60" i="9"/>
  <c r="O59" i="9"/>
  <c r="O57" i="9"/>
  <c r="O56" i="9"/>
  <c r="Q56" i="9"/>
  <c r="O53" i="9"/>
  <c r="O55" i="9"/>
  <c r="AA32" i="11"/>
  <c r="AA112" i="11"/>
  <c r="AA72" i="11"/>
  <c r="AA91" i="11"/>
  <c r="AA51" i="11"/>
  <c r="AA30" i="11"/>
  <c r="AA92" i="11"/>
  <c r="AA111" i="11"/>
  <c r="AA71" i="11"/>
  <c r="AA52" i="11"/>
  <c r="AA116" i="11"/>
  <c r="AA96" i="11"/>
  <c r="AA56" i="11"/>
  <c r="AA36" i="11"/>
  <c r="AA89" i="11"/>
  <c r="AA69" i="11"/>
  <c r="AA29" i="11"/>
  <c r="AA93" i="11"/>
  <c r="AA33" i="11"/>
  <c r="AA115" i="11"/>
  <c r="AA75" i="11"/>
  <c r="AA55" i="11"/>
  <c r="AA109" i="11"/>
  <c r="AA49" i="11"/>
  <c r="P59" i="9"/>
  <c r="P55" i="9"/>
  <c r="AA86" i="11"/>
  <c r="AA76" i="11"/>
  <c r="AA31" i="11"/>
  <c r="Q59" i="9"/>
  <c r="P58" i="9"/>
  <c r="P54" i="9"/>
  <c r="O58" i="9"/>
  <c r="AA113" i="11"/>
  <c r="AA108" i="11"/>
  <c r="AA88" i="11"/>
  <c r="AA73" i="11"/>
  <c r="AA68" i="11"/>
  <c r="AA53" i="11"/>
  <c r="AA48" i="11"/>
  <c r="AA28" i="11"/>
  <c r="Q53" i="9"/>
  <c r="Q55" i="9"/>
  <c r="P53" i="9"/>
  <c r="P61" i="9"/>
  <c r="P57" i="9"/>
  <c r="AA95" i="11"/>
  <c r="AA85" i="11"/>
  <c r="AA35" i="11"/>
  <c r="AA107" i="11"/>
  <c r="P60" i="9"/>
  <c r="N61" i="2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54" i="9"/>
  <c r="F55" i="9"/>
  <c r="F56" i="9"/>
  <c r="F57" i="9"/>
  <c r="F58" i="9"/>
  <c r="F59" i="9"/>
  <c r="F60" i="9"/>
  <c r="F61" i="9"/>
  <c r="E61" i="9" s="1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F22" i="9" s="1"/>
  <c r="D22" i="9" s="1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5" i="9"/>
  <c r="D25" i="9" s="1"/>
  <c r="F27" i="9"/>
  <c r="E27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N459" i="11" l="1"/>
  <c r="Y459" i="11" s="1"/>
  <c r="P21" i="11"/>
  <c r="H128" i="11"/>
  <c r="K128" i="11" s="1"/>
  <c r="H17" i="11"/>
  <c r="K17" i="11" s="1"/>
  <c r="H18" i="11"/>
  <c r="K18" i="11" s="1"/>
  <c r="H16" i="11"/>
  <c r="K16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L57" i="9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H19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N56" i="9"/>
  <c r="N60" i="9"/>
  <c r="N57" i="9"/>
  <c r="N61" i="9"/>
  <c r="N53" i="9"/>
  <c r="N54" i="9"/>
  <c r="N58" i="9"/>
  <c r="N55" i="9"/>
  <c r="N59" i="9"/>
  <c r="F29" i="9"/>
  <c r="E29" i="9" s="1"/>
  <c r="Q65" i="2"/>
  <c r="S65" i="2" s="1"/>
  <c r="Q62" i="2"/>
  <c r="S62" i="2" s="1"/>
  <c r="Q61" i="2"/>
  <c r="S61" i="2" s="1"/>
  <c r="Q63" i="2"/>
  <c r="S63" i="2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D55" i="9"/>
  <c r="D56" i="9"/>
  <c r="D57" i="9"/>
  <c r="D58" i="9"/>
  <c r="D59" i="9"/>
  <c r="D60" i="9"/>
  <c r="D61" i="9"/>
  <c r="I43" i="9"/>
  <c r="N46" i="9"/>
  <c r="M46" i="9" s="1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5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V24" i="9"/>
  <c r="X15" i="9"/>
  <c r="V26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K19" i="11" l="1"/>
  <c r="F21" i="11" s="1"/>
  <c r="V335" i="11"/>
  <c r="AF335" i="11" s="1"/>
  <c r="V292" i="11"/>
  <c r="AF292" i="11" s="1"/>
  <c r="V225" i="1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F39" i="11"/>
  <c r="O39" i="11" s="1"/>
  <c r="Z39" i="11" s="1"/>
  <c r="V73" i="11"/>
  <c r="AF73" i="11" s="1"/>
  <c r="U61" i="9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F99" i="11"/>
  <c r="O99" i="11" s="1"/>
  <c r="Z99" i="11" s="1"/>
  <c r="F56" i="11"/>
  <c r="O56" i="11" s="1"/>
  <c r="Z56" i="11" s="1"/>
  <c r="F47" i="11"/>
  <c r="O47" i="11" s="1"/>
  <c r="Z47" i="11" s="1"/>
  <c r="F51" i="11"/>
  <c r="O51" i="11" s="1"/>
  <c r="Z51" i="11" s="1"/>
  <c r="F80" i="11"/>
  <c r="O80" i="11" s="1"/>
  <c r="Z80" i="11" s="1"/>
  <c r="V190" i="11"/>
  <c r="AF190" i="11" s="1"/>
  <c r="V150" i="11"/>
  <c r="AF150" i="11" s="1"/>
  <c r="V324" i="11"/>
  <c r="AF324" i="11" s="1"/>
  <c r="F27" i="11"/>
  <c r="O27" i="11" s="1"/>
  <c r="Z27" i="11" s="1"/>
  <c r="F120" i="11"/>
  <c r="O120" i="11" s="1"/>
  <c r="Z120" i="11" s="1"/>
  <c r="F91" i="11"/>
  <c r="O91" i="11" s="1"/>
  <c r="Z91" i="11" s="1"/>
  <c r="Y167" i="11"/>
  <c r="F45" i="11"/>
  <c r="O45" i="11" s="1"/>
  <c r="Z45" i="11" s="1"/>
  <c r="F66" i="11"/>
  <c r="O66" i="11" s="1"/>
  <c r="Z66" i="11" s="1"/>
  <c r="V445" i="11"/>
  <c r="AF445" i="11" s="1"/>
  <c r="F88" i="11"/>
  <c r="O88" i="11" s="1"/>
  <c r="Z88" i="11" s="1"/>
  <c r="V210" i="11"/>
  <c r="AF210" i="11" s="1"/>
  <c r="V206" i="11"/>
  <c r="AF206" i="11" s="1"/>
  <c r="V414" i="11"/>
  <c r="AF414" i="11" s="1"/>
  <c r="V233" i="11"/>
  <c r="AF233" i="11" s="1"/>
  <c r="F103" i="11"/>
  <c r="O103" i="11" s="1"/>
  <c r="Z103" i="11" s="1"/>
  <c r="F68" i="11"/>
  <c r="O68" i="11" s="1"/>
  <c r="Z68" i="11" s="1"/>
  <c r="V88" i="11"/>
  <c r="AF88" i="11" s="1"/>
  <c r="F100" i="11"/>
  <c r="O100" i="11" s="1"/>
  <c r="Z100" i="11" s="1"/>
  <c r="V438" i="11"/>
  <c r="AF438" i="11" s="1"/>
  <c r="F63" i="11"/>
  <c r="O63" i="11" s="1"/>
  <c r="Z63" i="11" s="1"/>
  <c r="F48" i="11"/>
  <c r="O48" i="11" s="1"/>
  <c r="Z48" i="11" s="1"/>
  <c r="V156" i="11"/>
  <c r="AF156" i="11" s="1"/>
  <c r="F58" i="11"/>
  <c r="O58" i="11" s="1"/>
  <c r="Z58" i="11" s="1"/>
  <c r="V396" i="11"/>
  <c r="AF396" i="11" s="1"/>
  <c r="F84" i="11"/>
  <c r="O84" i="11" s="1"/>
  <c r="Z84" i="11" s="1"/>
  <c r="F43" i="11"/>
  <c r="O43" i="11" s="1"/>
  <c r="Z43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F109" i="11"/>
  <c r="O109" i="11" s="1"/>
  <c r="Z109" i="11" s="1"/>
  <c r="F94" i="11"/>
  <c r="O94" i="11" s="1"/>
  <c r="Z94" i="11" s="1"/>
  <c r="V90" i="11"/>
  <c r="AF90" i="11" s="1"/>
  <c r="F105" i="11"/>
  <c r="O105" i="11" s="1"/>
  <c r="Z105" i="11" s="1"/>
  <c r="F108" i="11"/>
  <c r="O108" i="11" s="1"/>
  <c r="Z108" i="11" s="1"/>
  <c r="F67" i="11"/>
  <c r="O67" i="11" s="1"/>
  <c r="Z67" i="11" s="1"/>
  <c r="V336" i="11"/>
  <c r="AF336" i="11" s="1"/>
  <c r="F104" i="11"/>
  <c r="O104" i="11" s="1"/>
  <c r="Z104" i="11" s="1"/>
  <c r="V452" i="11"/>
  <c r="AF452" i="11" s="1"/>
  <c r="V146" i="11"/>
  <c r="AF146" i="11" s="1"/>
  <c r="F117" i="11"/>
  <c r="O117" i="11" s="1"/>
  <c r="Z117" i="11" s="1"/>
  <c r="F31" i="11"/>
  <c r="O31" i="11" s="1"/>
  <c r="Z31" i="11" s="1"/>
  <c r="F73" i="11"/>
  <c r="O73" i="11" s="1"/>
  <c r="Z73" i="11" s="1"/>
  <c r="M59" i="9" s="1"/>
  <c r="F113" i="11"/>
  <c r="O113" i="11" s="1"/>
  <c r="Z113" i="11" s="1"/>
  <c r="F59" i="11"/>
  <c r="O59" i="11" s="1"/>
  <c r="Z59" i="11" s="1"/>
  <c r="F69" i="11"/>
  <c r="O69" i="11" s="1"/>
  <c r="Z69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F89" i="11"/>
  <c r="O89" i="11" s="1"/>
  <c r="Z89" i="11" s="1"/>
  <c r="F79" i="11"/>
  <c r="O79" i="11" s="1"/>
  <c r="Z79" i="11" s="1"/>
  <c r="F110" i="11"/>
  <c r="O110" i="11" s="1"/>
  <c r="Z110" i="11" s="1"/>
  <c r="F49" i="11"/>
  <c r="O49" i="11" s="1"/>
  <c r="Z49" i="11" s="1"/>
  <c r="F77" i="11"/>
  <c r="O77" i="11" s="1"/>
  <c r="Z77" i="11" s="1"/>
  <c r="V314" i="11"/>
  <c r="AF314" i="11" s="1"/>
  <c r="F86" i="11"/>
  <c r="O86" i="11" s="1"/>
  <c r="Z86" i="11" s="1"/>
  <c r="F98" i="11"/>
  <c r="O98" i="11" s="1"/>
  <c r="Z98" i="11" s="1"/>
  <c r="V263" i="11"/>
  <c r="AF263" i="11" s="1"/>
  <c r="V154" i="11"/>
  <c r="AF154" i="11" s="1"/>
  <c r="H244" i="11"/>
  <c r="H354" i="11"/>
  <c r="V47" i="11"/>
  <c r="AF47" i="11" s="1"/>
  <c r="F40" i="11"/>
  <c r="O40" i="11" s="1"/>
  <c r="Z40" i="11" s="1"/>
  <c r="V431" i="11"/>
  <c r="AF431" i="11" s="1"/>
  <c r="F75" i="11"/>
  <c r="O75" i="11" s="1"/>
  <c r="Z75" i="11" s="1"/>
  <c r="F25" i="11"/>
  <c r="O25" i="11" s="1"/>
  <c r="Z25" i="11" s="1"/>
  <c r="V449" i="11"/>
  <c r="AF449" i="11" s="1"/>
  <c r="V119" i="11"/>
  <c r="AF119" i="11" s="1"/>
  <c r="F33" i="11"/>
  <c r="O33" i="11" s="1"/>
  <c r="Z33" i="11" s="1"/>
  <c r="F119" i="11"/>
  <c r="O119" i="11" s="1"/>
  <c r="Z119" i="11" s="1"/>
  <c r="F70" i="11"/>
  <c r="O70" i="11" s="1"/>
  <c r="Z70" i="11" s="1"/>
  <c r="F29" i="11"/>
  <c r="O29" i="11" s="1"/>
  <c r="Z29" i="11" s="1"/>
  <c r="V392" i="11"/>
  <c r="AF392" i="11" s="1"/>
  <c r="V201" i="11"/>
  <c r="AF201" i="11" s="1"/>
  <c r="F106" i="11"/>
  <c r="O106" i="11" s="1"/>
  <c r="Z106" i="11" s="1"/>
  <c r="F55" i="11"/>
  <c r="O55" i="11" s="1"/>
  <c r="Z55" i="11" s="1"/>
  <c r="F57" i="11"/>
  <c r="O57" i="11" s="1"/>
  <c r="Z57" i="11" s="1"/>
  <c r="F114" i="11"/>
  <c r="O114" i="11" s="1"/>
  <c r="Z114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L60" i="9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F30" i="11"/>
  <c r="O30" i="11" s="1"/>
  <c r="Z30" i="11" s="1"/>
  <c r="F118" i="11"/>
  <c r="O118" i="11" s="1"/>
  <c r="Z118" i="11" s="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F46" i="11"/>
  <c r="O46" i="11" s="1"/>
  <c r="Z46" i="11" s="1"/>
  <c r="F121" i="11"/>
  <c r="O121" i="11" s="1"/>
  <c r="Z121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F111" i="11"/>
  <c r="O111" i="11" s="1"/>
  <c r="Z111" i="11" s="1"/>
  <c r="F24" i="11"/>
  <c r="F122" i="11"/>
  <c r="O122" i="11" s="1"/>
  <c r="Z122" i="11" s="1"/>
  <c r="V390" i="11"/>
  <c r="AF390" i="11" s="1"/>
  <c r="V440" i="11"/>
  <c r="AF440" i="11" s="1"/>
  <c r="Y434" i="11"/>
  <c r="V86" i="11"/>
  <c r="AF86" i="11" s="1"/>
  <c r="V106" i="11"/>
  <c r="AF106" i="11" s="1"/>
  <c r="F71" i="11"/>
  <c r="O71" i="11" s="1"/>
  <c r="Z71" i="11" s="1"/>
  <c r="F78" i="11"/>
  <c r="O78" i="11" s="1"/>
  <c r="Z78" i="11" s="1"/>
  <c r="F82" i="11"/>
  <c r="O82" i="11" s="1"/>
  <c r="Z82" i="11" s="1"/>
  <c r="F76" i="11"/>
  <c r="O76" i="11" s="1"/>
  <c r="Z7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F85" i="11"/>
  <c r="O85" i="11" s="1"/>
  <c r="Z85" i="11" s="1"/>
  <c r="F107" i="11"/>
  <c r="O107" i="11" s="1"/>
  <c r="Z107" i="11" s="1"/>
  <c r="L54" i="9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F65" i="11"/>
  <c r="O65" i="11" s="1"/>
  <c r="Z65" i="11" s="1"/>
  <c r="F87" i="11"/>
  <c r="O87" i="11" s="1"/>
  <c r="Z87" i="11" s="1"/>
  <c r="L58" i="9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F53" i="11"/>
  <c r="O53" i="11" s="1"/>
  <c r="Z53" i="11" s="1"/>
  <c r="F90" i="11"/>
  <c r="O90" i="11" s="1"/>
  <c r="Z90" i="11" s="1"/>
  <c r="F123" i="11"/>
  <c r="O123" i="11" s="1"/>
  <c r="Z123" i="11" s="1"/>
  <c r="H355" i="11"/>
  <c r="F60" i="11"/>
  <c r="O60" i="11" s="1"/>
  <c r="Z60" i="11" s="1"/>
  <c r="V298" i="11"/>
  <c r="AF298" i="11" s="1"/>
  <c r="V455" i="11"/>
  <c r="AF455" i="11" s="1"/>
  <c r="V141" i="11"/>
  <c r="AF141" i="11" s="1"/>
  <c r="L53" i="9"/>
  <c r="V379" i="11"/>
  <c r="AF379" i="11" s="1"/>
  <c r="F44" i="11"/>
  <c r="O44" i="11" s="1"/>
  <c r="Z44" i="11" s="1"/>
  <c r="F50" i="11"/>
  <c r="O50" i="11" s="1"/>
  <c r="Z50" i="11" s="1"/>
  <c r="F83" i="11"/>
  <c r="O83" i="11" s="1"/>
  <c r="Z83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F26" i="11"/>
  <c r="O26" i="11" s="1"/>
  <c r="Z26" i="11" s="1"/>
  <c r="F112" i="11"/>
  <c r="O112" i="11" s="1"/>
  <c r="Z112" i="11" s="1"/>
  <c r="F62" i="11"/>
  <c r="O62" i="11" s="1"/>
  <c r="Z62" i="11" s="1"/>
  <c r="F38" i="11"/>
  <c r="O38" i="11" s="1"/>
  <c r="Z38" i="11" s="1"/>
  <c r="F101" i="11"/>
  <c r="O101" i="11" s="1"/>
  <c r="Z101" i="11" s="1"/>
  <c r="F96" i="11"/>
  <c r="O96" i="11" s="1"/>
  <c r="Z96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F52" i="11"/>
  <c r="O52" i="11" s="1"/>
  <c r="Z52" i="11" s="1"/>
  <c r="F92" i="11"/>
  <c r="O92" i="11" s="1"/>
  <c r="Z92" i="11" s="1"/>
  <c r="F102" i="11"/>
  <c r="O102" i="11" s="1"/>
  <c r="Z102" i="11" s="1"/>
  <c r="F42" i="11"/>
  <c r="O42" i="11" s="1"/>
  <c r="Z42" i="11" s="1"/>
  <c r="F81" i="11"/>
  <c r="O81" i="11" s="1"/>
  <c r="Z81" i="11" s="1"/>
  <c r="F28" i="11"/>
  <c r="O28" i="11" s="1"/>
  <c r="Z28" i="11" s="1"/>
  <c r="F37" i="11"/>
  <c r="O37" i="11" s="1"/>
  <c r="Z37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F72" i="11"/>
  <c r="O72" i="11" s="1"/>
  <c r="Z72" i="11" s="1"/>
  <c r="F115" i="11"/>
  <c r="O115" i="11" s="1"/>
  <c r="Z115" i="11" s="1"/>
  <c r="F61" i="11"/>
  <c r="O61" i="11" s="1"/>
  <c r="Z61" i="11" s="1"/>
  <c r="F54" i="11"/>
  <c r="O54" i="11" s="1"/>
  <c r="Z54" i="11" s="1"/>
  <c r="V32" i="11"/>
  <c r="AF32" i="11" s="1"/>
  <c r="V54" i="11"/>
  <c r="AF54" i="11" s="1"/>
  <c r="V303" i="11"/>
  <c r="AF303" i="11" s="1"/>
  <c r="V289" i="11"/>
  <c r="AF289" i="11" s="1"/>
  <c r="F95" i="11"/>
  <c r="O95" i="11" s="1"/>
  <c r="Z95" i="11" s="1"/>
  <c r="F41" i="11"/>
  <c r="O41" i="11" s="1"/>
  <c r="Z41" i="11" s="1"/>
  <c r="F34" i="11"/>
  <c r="O34" i="11" s="1"/>
  <c r="Z34" i="11" s="1"/>
  <c r="F32" i="11"/>
  <c r="O32" i="11" s="1"/>
  <c r="Z32" i="11" s="1"/>
  <c r="F36" i="11"/>
  <c r="O36" i="11" s="1"/>
  <c r="Z36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L61" i="9"/>
  <c r="V112" i="11"/>
  <c r="AF112" i="11" s="1"/>
  <c r="V80" i="11"/>
  <c r="AF80" i="11" s="1"/>
  <c r="L56" i="9"/>
  <c r="V217" i="11"/>
  <c r="AF217" i="11" s="1"/>
  <c r="V92" i="11"/>
  <c r="AF92" i="11" s="1"/>
  <c r="F93" i="11"/>
  <c r="O93" i="11" s="1"/>
  <c r="Z93" i="11" s="1"/>
  <c r="F97" i="11"/>
  <c r="O97" i="11" s="1"/>
  <c r="Z97" i="11" s="1"/>
  <c r="F116" i="11"/>
  <c r="O116" i="11" s="1"/>
  <c r="Z116" i="11" s="1"/>
  <c r="F35" i="11"/>
  <c r="O35" i="11" s="1"/>
  <c r="Z35" i="11" s="1"/>
  <c r="F64" i="11"/>
  <c r="O64" i="11" s="1"/>
  <c r="Z64" i="11" s="1"/>
  <c r="F74" i="11"/>
  <c r="O74" i="11" s="1"/>
  <c r="Z74" i="11" s="1"/>
  <c r="V433" i="11"/>
  <c r="AF433" i="11" s="1"/>
  <c r="V430" i="11"/>
  <c r="AF430" i="11" s="1"/>
  <c r="V404" i="11"/>
  <c r="AF404" i="11" s="1"/>
  <c r="V138" i="11"/>
  <c r="AF138" i="11" s="1"/>
  <c r="L55" i="9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L59" i="9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S67" i="2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R47" i="9" l="1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O236" i="11" s="1"/>
  <c r="Z236" i="11" s="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U54" i="9"/>
  <c r="U53" i="9"/>
  <c r="U59" i="9"/>
  <c r="U58" i="9"/>
  <c r="U60" i="9"/>
  <c r="U55" i="9"/>
  <c r="V50" i="11"/>
  <c r="AF50" i="11" s="1"/>
  <c r="U57" i="9"/>
  <c r="U56" i="9"/>
  <c r="M56" i="9"/>
  <c r="V61" i="11"/>
  <c r="AF61" i="11" s="1"/>
  <c r="H240" i="11"/>
  <c r="M53" i="9"/>
  <c r="M55" i="9"/>
  <c r="V211" i="11"/>
  <c r="AF211" i="11" s="1"/>
  <c r="O22" i="11"/>
  <c r="M58" i="9"/>
  <c r="M54" i="9"/>
  <c r="H353" i="11"/>
  <c r="M61" i="9"/>
  <c r="M57" i="9"/>
  <c r="M60" i="9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R18" i="9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R29" i="9"/>
  <c r="O25" i="9"/>
  <c r="Q25" i="9"/>
  <c r="R17" i="9"/>
  <c r="P11" i="9"/>
  <c r="R21" i="9"/>
  <c r="O18" i="9"/>
  <c r="R27" i="9"/>
  <c r="R13" i="9"/>
  <c r="R22" i="9"/>
  <c r="R14" i="9"/>
  <c r="P25" i="9"/>
  <c r="R10" i="9"/>
  <c r="O11" i="9"/>
  <c r="R15" i="9"/>
  <c r="Q11" i="9"/>
  <c r="N18" i="9"/>
  <c r="M18" i="9" s="1"/>
  <c r="R28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137" i="11" l="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A52" i="9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18" i="9"/>
  <c r="L25" i="9"/>
  <c r="L16" i="9"/>
  <c r="L11" i="9"/>
  <c r="L14" i="9"/>
  <c r="E38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O49" i="9" s="1"/>
  <c r="AH20" i="4"/>
  <c r="P49" i="9" s="1"/>
  <c r="AI20" i="4"/>
  <c r="Q49" i="9" s="1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G21" i="2"/>
  <c r="G17" i="2"/>
  <c r="G18" i="2"/>
  <c r="G19" i="2"/>
  <c r="G20" i="2"/>
  <c r="N16" i="3"/>
  <c r="N44" i="3" s="1"/>
  <c r="E21" i="2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F293" i="11" l="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27" i="9"/>
  <c r="O43" i="9"/>
  <c r="O22" i="9"/>
  <c r="I10" i="7"/>
  <c r="Q47" i="9"/>
  <c r="P43" i="9"/>
  <c r="P22" i="9"/>
  <c r="Q50" i="9"/>
  <c r="Q29" i="9"/>
  <c r="H6" i="7"/>
  <c r="P50" i="9"/>
  <c r="P29" i="9"/>
  <c r="O50" i="9"/>
  <c r="O29" i="9"/>
  <c r="H10" i="7"/>
  <c r="Q43" i="9"/>
  <c r="Q22" i="9"/>
  <c r="P48" i="9"/>
  <c r="P27" i="9"/>
  <c r="Q48" i="9"/>
  <c r="Q27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34" i="3"/>
  <c r="E35" i="3"/>
  <c r="E37" i="3" s="1"/>
  <c r="E36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F373" i="11" l="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35" i="3"/>
  <c r="F38" i="3"/>
  <c r="E42" i="3" s="1"/>
  <c r="F37" i="3"/>
  <c r="F34" i="3"/>
  <c r="F36" i="3"/>
  <c r="R2" i="8"/>
  <c r="S5" i="8"/>
  <c r="M17" i="4"/>
  <c r="E39" i="1"/>
  <c r="L17" i="4"/>
  <c r="O363" i="11" l="1"/>
  <c r="Z363" i="11" s="1"/>
  <c r="O361" i="11"/>
  <c r="S5" i="7"/>
  <c r="E41" i="3"/>
  <c r="E40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F16" i="4" l="1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K19" i="8" s="1"/>
  <c r="AD10" i="4"/>
  <c r="F23" i="4"/>
  <c r="L23" i="4" s="1"/>
  <c r="H9" i="8"/>
  <c r="K18" i="8" s="1"/>
  <c r="F21" i="4"/>
  <c r="L21" i="4" s="1"/>
  <c r="H7" i="8"/>
  <c r="K16" i="8" s="1"/>
  <c r="F20" i="4"/>
  <c r="L20" i="4" s="1"/>
  <c r="H6" i="8"/>
  <c r="K15" i="8" s="1"/>
  <c r="F19" i="4"/>
  <c r="L19" i="4" s="1"/>
  <c r="G28" i="4"/>
  <c r="H5" i="8"/>
  <c r="F22" i="4"/>
  <c r="L22" i="4" s="1"/>
  <c r="H8" i="8"/>
  <c r="K17" i="8" s="1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7" i="8" s="1"/>
  <c r="L15" i="4"/>
  <c r="I10" i="8" s="1"/>
  <c r="G19" i="8" s="1"/>
  <c r="L19" i="8" s="1"/>
  <c r="I30" i="2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K14" i="8" l="1"/>
  <c r="F14" i="8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L28" i="9" s="1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T18" i="5"/>
  <c r="T14" i="5" s="1"/>
  <c r="L21" i="9"/>
  <c r="F15" i="7"/>
  <c r="F6" i="7"/>
  <c r="F9" i="7"/>
  <c r="F11" i="7"/>
  <c r="F10" i="7"/>
  <c r="O22" i="3"/>
  <c r="O14" i="8"/>
  <c r="S14" i="8" s="1"/>
  <c r="P18" i="8"/>
  <c r="F17" i="8"/>
  <c r="J17" i="8" s="1"/>
  <c r="N31" i="4" s="1"/>
  <c r="O17" i="8"/>
  <c r="P16" i="8"/>
  <c r="F15" i="8"/>
  <c r="J15" i="8" s="1"/>
  <c r="N29" i="4" s="1"/>
  <c r="O15" i="8"/>
  <c r="S15" i="8" s="1"/>
  <c r="F16" i="8"/>
  <c r="J16" i="8" s="1"/>
  <c r="N30" i="4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N32" i="4" s="1"/>
  <c r="O18" i="8"/>
  <c r="F19" i="8"/>
  <c r="J19" i="8" s="1"/>
  <c r="N33" i="4" s="1"/>
  <c r="O19" i="8"/>
  <c r="S19" i="8" s="1"/>
  <c r="V49" i="9" s="1"/>
  <c r="AE19" i="4"/>
  <c r="G14" i="7" s="1"/>
  <c r="AE17" i="4"/>
  <c r="G12" i="7" s="1"/>
  <c r="AE20" i="4"/>
  <c r="V20" i="4"/>
  <c r="V12" i="4"/>
  <c r="AE12" i="4"/>
  <c r="G7" i="7" s="1"/>
  <c r="V14" i="4"/>
  <c r="AE14" i="4"/>
  <c r="AE21" i="4"/>
  <c r="V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S18" i="2"/>
  <c r="L42" i="9" l="1"/>
  <c r="V5" i="7"/>
  <c r="N5" i="7" s="1"/>
  <c r="L23" i="9"/>
  <c r="L44" i="9"/>
  <c r="M19" i="8"/>
  <c r="L14" i="8"/>
  <c r="M14" i="8"/>
  <c r="J14" i="8"/>
  <c r="N28" i="4" s="1"/>
  <c r="F14" i="5"/>
  <c r="V42" i="9"/>
  <c r="V44" i="9"/>
  <c r="T16" i="5"/>
  <c r="G11" i="7"/>
  <c r="G10" i="7"/>
  <c r="G9" i="7"/>
  <c r="G15" i="7"/>
  <c r="G5" i="7"/>
  <c r="G6" i="7"/>
  <c r="K8" i="10"/>
  <c r="K7" i="10"/>
  <c r="V50" i="9"/>
  <c r="V29" i="9"/>
  <c r="V43" i="9"/>
  <c r="V22" i="9"/>
  <c r="I14" i="10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W49" i="9" s="1"/>
  <c r="T15" i="8"/>
  <c r="N16" i="8"/>
  <c r="N14" i="8"/>
  <c r="R14" i="8" s="1"/>
  <c r="N23" i="3"/>
  <c r="N17" i="8"/>
  <c r="R17" i="8" s="1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U19" i="8" l="1"/>
  <c r="U14" i="8"/>
  <c r="X42" i="9" s="1"/>
  <c r="U49" i="9"/>
  <c r="X44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U29" i="9"/>
  <c r="X43" i="9"/>
  <c r="X22" i="9"/>
  <c r="U48" i="9"/>
  <c r="U27" i="9"/>
  <c r="W50" i="9"/>
  <c r="W29" i="9"/>
  <c r="N18" i="4"/>
  <c r="I9" i="10"/>
  <c r="I10" i="10"/>
  <c r="U12" i="9"/>
  <c r="U23" i="9"/>
  <c r="U10" i="9"/>
  <c r="U21" i="9"/>
  <c r="U17" i="9"/>
  <c r="U28" i="9"/>
  <c r="X10" i="9"/>
  <c r="X12" i="9"/>
  <c r="X21" i="9"/>
  <c r="X23" i="9"/>
  <c r="U15" i="9"/>
  <c r="W17" i="9"/>
  <c r="W28" i="9"/>
  <c r="R16" i="8"/>
  <c r="O34" i="3"/>
  <c r="M35" i="3"/>
  <c r="N36" i="3" s="1"/>
  <c r="R33" i="3"/>
  <c r="O23" i="3"/>
  <c r="O24" i="3" s="1"/>
  <c r="P36" i="3"/>
  <c r="O20" i="2"/>
  <c r="Q20" i="2"/>
  <c r="X17" i="9" l="1"/>
  <c r="X49" i="9"/>
  <c r="W22" i="9"/>
  <c r="W42" i="9"/>
  <c r="W12" i="9"/>
  <c r="W44" i="9"/>
  <c r="W10" i="9"/>
  <c r="W43" i="9"/>
  <c r="X29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L14" i="5" s="1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G14" i="5" l="1"/>
  <c r="N18" i="5"/>
  <c r="V18" i="5"/>
  <c r="V14" i="5" s="1"/>
  <c r="X5" i="7"/>
  <c r="N21" i="9"/>
  <c r="M21" i="9" s="1"/>
  <c r="N42" i="9"/>
  <c r="M42" i="9" s="1"/>
  <c r="N44" i="9"/>
  <c r="M44" i="9" s="1"/>
  <c r="N23" i="9"/>
  <c r="M23" i="9" s="1"/>
  <c r="N49" i="9"/>
  <c r="M49" i="9" s="1"/>
  <c r="N28" i="9"/>
  <c r="M28" i="9" s="1"/>
  <c r="N14" i="5"/>
  <c r="V19" i="5"/>
  <c r="X6" i="7"/>
  <c r="M18" i="5"/>
  <c r="N19" i="5"/>
  <c r="AJ18" i="5" l="1"/>
  <c r="U18" i="5"/>
  <c r="W5" i="7"/>
  <c r="O5" i="7" s="1"/>
  <c r="P5" i="7"/>
  <c r="U19" i="5"/>
  <c r="AI19" i="5" s="1"/>
  <c r="V20" i="5"/>
  <c r="AJ20" i="5" s="1"/>
  <c r="X7" i="7"/>
  <c r="AJ19" i="5"/>
  <c r="AM19" i="5" s="1"/>
  <c r="P6" i="7"/>
  <c r="W6" i="7"/>
  <c r="O6" i="7" s="1"/>
  <c r="M19" i="5"/>
  <c r="K18" i="5" s="1"/>
  <c r="N20" i="5"/>
  <c r="U14" i="5" l="1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L25" i="5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M26" i="5" l="1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M10" i="9" s="1"/>
  <c r="N26" i="9"/>
  <c r="M26" i="9" s="1"/>
  <c r="N12" i="9"/>
  <c r="M12" i="9" s="1"/>
  <c r="N17" i="9"/>
  <c r="M17" i="9" s="1"/>
  <c r="N29" i="9"/>
  <c r="M29" i="9" s="1"/>
  <c r="N27" i="9"/>
  <c r="M2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A9" i="9" l="1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AL68" i="5" l="1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10" i="9" l="1"/>
  <c r="L22" i="9"/>
  <c r="L13" i="9"/>
  <c r="L12" i="9"/>
  <c r="L24" i="9"/>
  <c r="L17" i="9"/>
  <c r="L26" i="9"/>
  <c r="V54" i="7"/>
  <c r="N54" i="7" s="1"/>
  <c r="T54" i="7" s="1"/>
  <c r="U53" i="7" s="1"/>
  <c r="T67" i="5"/>
  <c r="L27" i="9"/>
  <c r="B18" i="5"/>
  <c r="L29" i="9"/>
  <c r="L67" i="5"/>
  <c r="L15" i="9"/>
  <c r="AH66" i="5"/>
  <c r="AK66" i="5" s="1"/>
  <c r="AC66" i="5"/>
  <c r="AE66" i="5" s="1"/>
  <c r="AF66" i="5" s="1"/>
  <c r="AH67" i="5" l="1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T69" i="5" l="1"/>
  <c r="V56" i="7"/>
  <c r="N56" i="7" s="1"/>
  <c r="T56" i="7" s="1"/>
  <c r="U55" i="7" s="1"/>
  <c r="L69" i="5"/>
  <c r="AC68" i="5"/>
  <c r="AE68" i="5" s="1"/>
  <c r="AF68" i="5" s="1"/>
  <c r="AH68" i="5"/>
  <c r="AK68" i="5" s="1"/>
  <c r="L48" i="9" l="1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<sst xmlns="http://schemas.openxmlformats.org/spreadsheetml/2006/main" count="952" uniqueCount="335">
  <si>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</si>
  <si>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</si>
  <si>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</si>
  <si>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</si>
  <si>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</si>
  <si>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</si>
  <si>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</si>
  <si>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</si>
  <si>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</si>
  <si>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</si>
  <si>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</si>
  <si>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</si>
  <si>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</si>
  <si>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</si>
  <si>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</si>
  <si>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</si>
  <si>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</si>
  <si>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</si>
  <si>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</si>
  <si>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</si>
  <si>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</si>
  <si>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</si>
  <si>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</si>
  <si>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</si>
  <si>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</si>
  <si>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</si>
  <si>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</si>
  <si>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</si>
  <si>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</si>
  <si>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</si>
  <si>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</si>
  <si>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</si>
  <si>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</si>
  <si>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</si>
  <si>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</si>
  <si>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</si>
  <si>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</si>
  <si>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</si>
  <si>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</si>
  <si>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</si>
  <si>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</si>
  <si>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</si>
  <si>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</si>
  <si>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</si>
  <si>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</si>
  <si>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</si>
  <si>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</si>
  <si>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</si>
  <si>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</si>
  <si>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</si>
  <si>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</si>
  <si>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</si>
  <si>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</si>
  <si>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</si>
  <si>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</si>
  <si>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</si>
  <si>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</si>
  <si>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</si>
  <si>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</si>
  <si>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</si>
  <si>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</si>
  <si>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</si>
  <si>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</si>
  <si>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</si>
  <si>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</si>
  <si>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</si>
  <si>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</si>
  <si>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</si>
  <si>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</si>
  <si>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</si>
  <si>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</si>
  <si>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</si>
  <si>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</si>
  <si>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</si>
  <si>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</si>
  <si>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</si>
  <si>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</si>
  <si>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</si>
  <si>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</si>
  <si>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</si>
  <si>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</si>
  <si>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</si>
  <si>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</si>
  <si>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</si>
  <si>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</si>
  <si>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</si>
  <si>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</si>
  <si>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</si>
  <si>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</si>
  <si>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</si>
  <si>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</si>
  <si>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</si>
  <si>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</si>
  <si>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</si>
  <si>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</si>
  <si>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</si>
  <si>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</si>
  <si>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</si>
  <si>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</si>
  <si>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</si>
  <si>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</si>
  <si>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</si>
  <si>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</si>
  <si>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</si>
  <si>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</si>
  <si>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</si>
  <si>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</si>
  <si>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</si>
  <si>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</si>
  <si>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</si>
  <si>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</si>
  <si>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</si>
  <si>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</si>
  <si>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</si>
  <si>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</si>
  <si>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</si>
  <si>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</si>
  <si>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</si>
  <si>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</si>
  <si>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</si>
  <si>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</si>
  <si>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</si>
  <si>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</si>
  <si>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</si>
  <si>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</si>
  <si>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</si>
  <si>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</si>
  <si>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</si>
  <si>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</si>
  <si>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</si>
  <si>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</si>
  <si>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</si>
  <si>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</si>
  <si>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</si>
  <si>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</si>
  <si>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</si>
  <si>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</si>
  <si>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</si>
  <si>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</si>
  <si>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</si>
  <si>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</si>
  <si>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</si>
  <si>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</si>
  <si>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</si>
  <si>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</si>
  <si>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</si>
  <si>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</si>
  <si>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</si>
  <si>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</si>
  <si>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</si>
  <si>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</si>
  <si>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</si>
  <si>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</si>
  <si>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</si>
  <si>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</si>
  <si>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</si>
  <si>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</si>
  <si>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</si>
  <si>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</si>
  <si>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</si>
  <si>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</si>
  <si>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</si>
  <si>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</si>
  <si>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</si>
  <si>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</si>
  <si>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</si>
  <si>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</si>
  <si>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</si>
  <si>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</si>
  <si>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</si>
  <si>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</si>
  <si>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</si>
  <si>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</si>
  <si>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</si>
  <si>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</si>
  <si>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</si>
  <si>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</si>
  <si>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</si>
  <si>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</si>
  <si>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</si>
  <si>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</si>
  <si>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</si>
  <si>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</si>
  <si>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</si>
  <si>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</si>
  <si>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</si>
  <si>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</si>
  <si>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</si>
  <si>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</si>
  <si>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</si>
  <si>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</si>
  <si>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</si>
  <si>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</si>
  <si>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</si>
  <si>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</si>
  <si>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</si>
  <si>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</si>
  <si>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</si>
  <si>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</si>
  <si>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</si>
  <si>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</si>
  <si>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</si>
  <si>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</si>
  <si>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</si>
  <si>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</si>
  <si>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</si>
  <si>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</si>
  <si>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</si>
  <si>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</si>
  <si>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</si>
  <si>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</si>
  <si>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</si>
  <si>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</si>
  <si>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</si>
  <si>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</si>
  <si>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</si>
  <si>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</si>
  <si>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</si>
  <si>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</si>
  <si>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</si>
  <si>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</si>
  <si>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</si>
  <si>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</si>
  <si>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</si>
  <si>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</si>
  <si>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</si>
  <si>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</si>
  <si>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</si>
  <si>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</si>
  <si>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</si>
  <si>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</si>
  <si>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</si>
  <si>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</si>
  <si>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</si>
  <si>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</si>
  <si>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</si>
  <si>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</si>
  <si>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</si>
  <si>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</si>
  <si>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</si>
  <si>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</si>
  <si>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</si>
  <si>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</si>
  <si>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</si>
  <si>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</si>
  <si>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</si>
  <si>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</si>
  <si>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</si>
  <si>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</si>
  <si>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</si>
  <si>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</si>
  <si>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</si>
  <si>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</si>
  <si>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</si>
  <si>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</si>
  <si>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</si>
  <si>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</si>
  <si>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</si>
  <si>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</si>
  <si>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</si>
  <si>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</si>
  <si>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</si>
  <si>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</si>
  <si>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</si>
  <si>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</si>
  <si>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</si>
  <si>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</si>
  <si>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</si>
  <si>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</si>
  <si>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</si>
  <si>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</si>
  <si>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</si>
  <si>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</si>
  <si>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</si>
  <si>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</si>
  <si>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</si>
  <si>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</si>
  <si>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</si>
  <si>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</si>
  <si>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</si>
  <si>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</si>
  <si>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</si>
  <si>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</si>
  <si>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</si>
  <si>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</si>
  <si>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</si>
  <si>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</si>
  <si>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</si>
  <si>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</si>
  <si>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</si>
  <si>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</si>
  <si>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</si>
  <si>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</si>
  <si>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</si>
  <si>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</si>
  <si>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</si>
  <si>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</si>
  <si>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</si>
  <si>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</si>
  <si>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</si>
  <si>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</si>
  <si>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</si>
  <si>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</si>
  <si>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</si>
  <si>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</si>
  <si>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</si>
  <si>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</si>
  <si>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</si>
  <si>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</si>
  <si>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</si>
  <si>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</si>
  <si>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</si>
  <si>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</si>
  <si>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</si>
  <si>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</si>
  <si>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</si>
  <si>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</si>
  <si>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</si>
  <si>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</si>
  <si>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</si>
  <si>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</si>
  <si>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</si>
  <si>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</si>
  <si>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</si>
  <si>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</si>
  <si>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</si>
  <si>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</si>
  <si>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</si>
  <si>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</si>
  <si>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</si>
  <si>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</si>
  <si>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防御向战斗力=生命上限*（1+防御力价值）*生命上限价值+技能倍率价值*生命上限价值</t>
    <phoneticPr fontId="1" type="noConversion"/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</si>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</sst>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107" t="s">
        <v>218</v>
      </c>
      <c r="B1" s="108"/>
    </row>
    <row r="2" spans="1:25" ht="14.25" customHeight="1" x14ac:dyDescent="0.2">
      <c r="A2" s="109"/>
      <c r="B2" s="110"/>
    </row>
    <row r="3" spans="1:25" ht="14.25" customHeight="1" x14ac:dyDescent="0.2">
      <c r="D3" s="2" t="s">
        <v>80</v>
      </c>
    </row>
    <row r="4" spans="1:25" s="3" customFormat="1" ht="14.25" customHeight="1" x14ac:dyDescent="0.2">
      <c r="C4" s="3" t="s">
        <v>23</v>
      </c>
      <c r="K4" s="3" t="s">
        <v>24</v>
      </c>
      <c r="W4" s="3" t="s">
        <v>25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18</v>
      </c>
      <c r="L5" s="1" t="s">
        <v>16</v>
      </c>
      <c r="M5" s="1" t="s">
        <v>13</v>
      </c>
      <c r="N5" s="1" t="s">
        <v>14</v>
      </c>
      <c r="O5" s="1" t="s">
        <v>5</v>
      </c>
      <c r="Q5" s="1" t="s">
        <v>18</v>
      </c>
      <c r="R5" s="1" t="s">
        <v>16</v>
      </c>
      <c r="S5" s="1" t="s">
        <v>13</v>
      </c>
      <c r="T5" s="1" t="s">
        <v>14</v>
      </c>
      <c r="U5" s="1" t="s">
        <v>5</v>
      </c>
      <c r="W5" s="3" t="s">
        <v>16</v>
      </c>
      <c r="X5" s="3" t="s">
        <v>136</v>
      </c>
      <c r="Y5" s="3" t="s">
        <v>137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122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28</v>
      </c>
      <c r="K8" s="1">
        <v>3</v>
      </c>
      <c r="L8" s="1" t="s">
        <v>123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123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82</v>
      </c>
    </row>
    <row r="10" spans="1:25" ht="14.25" customHeight="1" x14ac:dyDescent="0.2">
      <c r="D10" s="3" t="s">
        <v>16</v>
      </c>
      <c r="E10" s="3" t="s">
        <v>13</v>
      </c>
      <c r="F10" s="3" t="s">
        <v>14</v>
      </c>
      <c r="G10" s="3" t="s">
        <v>5</v>
      </c>
      <c r="K10" s="1">
        <v>5</v>
      </c>
      <c r="L10" s="1" t="s">
        <v>124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19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18</v>
      </c>
      <c r="D16" s="3" t="s">
        <v>16</v>
      </c>
      <c r="E16" s="3" t="s">
        <v>13</v>
      </c>
      <c r="F16" s="3" t="s">
        <v>14</v>
      </c>
      <c r="G16" s="3" t="s">
        <v>5</v>
      </c>
      <c r="L16" s="2" t="s">
        <v>27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22</v>
      </c>
      <c r="R17" s="1" t="s">
        <v>22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135</v>
      </c>
      <c r="H22" s="1" t="s">
        <v>15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20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21</v>
      </c>
      <c r="H30" s="9">
        <f>G17*H23*2</f>
        <v>83.333333333333343</v>
      </c>
      <c r="I30" s="23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26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278</v>
      </c>
      <c r="M52" s="1">
        <f>L50/M50</f>
        <v>10</v>
      </c>
      <c r="N52" s="2" t="s">
        <v>284</v>
      </c>
    </row>
    <row r="53" spans="11:21" ht="14.25" customHeight="1" x14ac:dyDescent="0.2">
      <c r="L53" s="1" t="s">
        <v>279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280</v>
      </c>
      <c r="M54" s="1">
        <f>L50/M53</f>
        <v>20</v>
      </c>
      <c r="N54" s="2" t="s">
        <v>285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281</v>
      </c>
      <c r="M55" s="1">
        <f>M54/M50</f>
        <v>2</v>
      </c>
      <c r="N55" s="2" t="s">
        <v>286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282</v>
      </c>
      <c r="M56" s="1">
        <f>M53*(1+M53)/2</f>
        <v>15</v>
      </c>
      <c r="N56" s="2" t="s">
        <v>287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283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291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288</v>
      </c>
      <c r="L60" s="2" t="s">
        <v>290</v>
      </c>
      <c r="N60" s="1">
        <f>L50/$M$53</f>
        <v>20</v>
      </c>
    </row>
    <row r="61" spans="11:21" ht="14.25" customHeight="1" x14ac:dyDescent="0.2">
      <c r="K61" s="1" t="s">
        <v>289</v>
      </c>
      <c r="L61" s="2" t="s">
        <v>292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21" sqref="J21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07" t="s">
        <v>17</v>
      </c>
      <c r="B1" s="108"/>
    </row>
    <row r="2" spans="1:24" ht="14.25" customHeight="1" x14ac:dyDescent="0.2">
      <c r="A2" s="109"/>
      <c r="B2" s="110"/>
      <c r="M2" s="79"/>
      <c r="Q2" s="80"/>
    </row>
    <row r="3" spans="1:24" x14ac:dyDescent="0.2">
      <c r="D3" s="2" t="s">
        <v>319</v>
      </c>
      <c r="M3" s="79"/>
      <c r="Q3" s="80"/>
    </row>
    <row r="4" spans="1:24" s="3" customFormat="1" ht="14.25" customHeight="1" x14ac:dyDescent="0.2">
      <c r="C4" s="3" t="s">
        <v>23</v>
      </c>
      <c r="J4" s="3" t="s">
        <v>24</v>
      </c>
      <c r="K4" s="2" t="s">
        <v>325</v>
      </c>
      <c r="N4" s="87"/>
      <c r="O4" s="87"/>
      <c r="P4" s="87"/>
      <c r="V4" s="3" t="s">
        <v>25</v>
      </c>
    </row>
    <row r="5" spans="1:24" ht="14.25" customHeight="1" thickBot="1" x14ac:dyDescent="0.25">
      <c r="D5" s="1" t="s">
        <v>0</v>
      </c>
      <c r="E5" s="1" t="s">
        <v>3</v>
      </c>
      <c r="F5" s="1" t="s">
        <v>14</v>
      </c>
      <c r="J5" s="89" t="s">
        <v>324</v>
      </c>
      <c r="K5" s="89" t="s">
        <v>16</v>
      </c>
      <c r="L5" s="89" t="s">
        <v>13</v>
      </c>
      <c r="M5" s="89" t="s">
        <v>14</v>
      </c>
      <c r="N5" s="89" t="s">
        <v>5</v>
      </c>
      <c r="O5" s="3"/>
      <c r="P5" s="89" t="s">
        <v>324</v>
      </c>
      <c r="Q5" s="89" t="s">
        <v>16</v>
      </c>
      <c r="R5" s="89" t="s">
        <v>13</v>
      </c>
      <c r="S5" s="89" t="s">
        <v>14</v>
      </c>
      <c r="T5" s="89" t="s">
        <v>5</v>
      </c>
      <c r="V5" s="89" t="s">
        <v>16</v>
      </c>
      <c r="W5" s="89" t="s">
        <v>213</v>
      </c>
      <c r="X5" s="89" t="s">
        <v>214</v>
      </c>
    </row>
    <row r="6" spans="1:24" ht="14.25" customHeight="1" x14ac:dyDescent="0.2">
      <c r="D6" s="1" t="s">
        <v>1</v>
      </c>
      <c r="E6" s="1" t="s">
        <v>4</v>
      </c>
      <c r="F6" s="1" t="s">
        <v>13</v>
      </c>
      <c r="J6" s="77">
        <v>1</v>
      </c>
      <c r="K6" s="77" t="s">
        <v>3</v>
      </c>
      <c r="L6" s="77">
        <f t="shared" ref="L6:N10" si="0">VLOOKUP($K6,$D$10:$G$13,MATCH(L$5,$D$10:$G$10,0),0)</f>
        <v>5</v>
      </c>
      <c r="M6" s="77">
        <f t="shared" si="0"/>
        <v>100</v>
      </c>
      <c r="N6" s="77">
        <f t="shared" si="0"/>
        <v>2</v>
      </c>
      <c r="P6" s="77">
        <v>1</v>
      </c>
      <c r="Q6" s="77" t="s">
        <v>122</v>
      </c>
      <c r="R6" s="77">
        <f t="shared" ref="R6:T10" si="1">VLOOKUP($Q6,$D$10:$G$13,MATCH(R$5,$D$10:$G$10,0),0)</f>
        <v>5</v>
      </c>
      <c r="S6" s="77">
        <f t="shared" si="1"/>
        <v>100</v>
      </c>
      <c r="T6" s="77">
        <f t="shared" si="1"/>
        <v>2</v>
      </c>
      <c r="V6" s="90" t="s">
        <v>3</v>
      </c>
      <c r="W6" s="77">
        <v>2</v>
      </c>
      <c r="X6" s="77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123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2">
        <v>3</v>
      </c>
    </row>
    <row r="8" spans="1:24" ht="14.25" customHeight="1" x14ac:dyDescent="0.2">
      <c r="D8" s="2" t="s">
        <v>320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122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123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82</v>
      </c>
    </row>
    <row r="10" spans="1:24" ht="14.25" customHeight="1" thickBot="1" x14ac:dyDescent="0.25">
      <c r="D10" s="89" t="s">
        <v>16</v>
      </c>
      <c r="E10" s="89" t="s">
        <v>13</v>
      </c>
      <c r="F10" s="89" t="s">
        <v>14</v>
      </c>
      <c r="G10" s="89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124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7" t="s">
        <v>3</v>
      </c>
      <c r="E11" s="15">
        <v>5</v>
      </c>
      <c r="F11" s="15">
        <v>100</v>
      </c>
      <c r="G11" s="15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215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9" t="s">
        <v>217</v>
      </c>
      <c r="E16" s="89" t="s">
        <v>146</v>
      </c>
      <c r="F16" s="89" t="s">
        <v>147</v>
      </c>
      <c r="G16" s="89" t="s">
        <v>124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40"/>
      <c r="D17" s="77" t="s">
        <v>122</v>
      </c>
      <c r="E17" s="77">
        <f t="shared" ref="E17:G21" si="2">VLOOKUP($D17,$D$10:$G$13,MATCH(E$16,$D$10:$G$10,0),0)</f>
        <v>5</v>
      </c>
      <c r="F17" s="77">
        <f t="shared" si="2"/>
        <v>100</v>
      </c>
      <c r="G17" s="77">
        <f t="shared" si="2"/>
        <v>2</v>
      </c>
      <c r="J17" s="3"/>
    </row>
    <row r="18" spans="3:19" ht="14.25" customHeight="1" x14ac:dyDescent="0.2">
      <c r="D18" s="1" t="s">
        <v>123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122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27</v>
      </c>
      <c r="R19" s="32">
        <f>MAX(R29,R39)+R52</f>
        <v>25.277777777777779</v>
      </c>
    </row>
    <row r="20" spans="3:19" ht="14.25" customHeight="1" x14ac:dyDescent="0.2">
      <c r="D20" s="1" t="s">
        <v>123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133</v>
      </c>
      <c r="M20" s="1" t="s">
        <v>22</v>
      </c>
      <c r="Q20" s="1" t="s">
        <v>22</v>
      </c>
    </row>
    <row r="21" spans="3:19" ht="14.25" customHeight="1" x14ac:dyDescent="0.2">
      <c r="D21" s="1" t="s">
        <v>124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4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4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F18</f>
        <v>40</v>
      </c>
      <c r="G24" s="1">
        <f>G21/2</f>
        <v>3</v>
      </c>
      <c r="H24" s="6">
        <f>F18/(E24-G24)</f>
        <v>4.4444444444444446</v>
      </c>
      <c r="I24" s="9"/>
      <c r="N24" s="14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4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91" t="s">
        <v>326</v>
      </c>
      <c r="H26" s="36">
        <f>SUM(H23:H25)</f>
        <v>25.277777777777779</v>
      </c>
      <c r="N26" s="14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4">
        <f>IFERROR(VLOOKUP(Q25,Q$12:T$13,2,0),0)</f>
        <v>0</v>
      </c>
    </row>
    <row r="27" spans="3:19" ht="14.25" customHeight="1" x14ac:dyDescent="0.2">
      <c r="G27" s="3"/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thickBot="1" x14ac:dyDescent="0.25">
      <c r="C28" s="3" t="s">
        <v>318</v>
      </c>
      <c r="D28" s="89" t="s">
        <v>321</v>
      </c>
      <c r="E28" s="89" t="s">
        <v>322</v>
      </c>
      <c r="F28" s="89" t="s">
        <v>323</v>
      </c>
      <c r="M28" s="14">
        <f>IFERROR(VLOOKUP(M27,K$12:N$13,4,0),0)</f>
        <v>0</v>
      </c>
      <c r="N28" s="14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4">
        <f>IFERROR(VLOOKUP(Q27,Q$12:T$13,2,0),0)</f>
        <v>0</v>
      </c>
      <c r="Q28" s="14">
        <f>IFERROR(VLOOKUP(Q27,Q$12:T$13,4,0),0)</f>
        <v>0</v>
      </c>
    </row>
    <row r="29" spans="3:19" ht="14.25" customHeight="1" x14ac:dyDescent="0.2">
      <c r="D29" s="111" t="s">
        <v>5</v>
      </c>
      <c r="E29" s="77" t="s">
        <v>4</v>
      </c>
      <c r="F29" s="77" t="s">
        <v>3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12"/>
      <c r="E30" s="1" t="s">
        <v>4</v>
      </c>
      <c r="F30" s="1" t="s">
        <v>3</v>
      </c>
      <c r="L30" s="1" t="s">
        <v>134</v>
      </c>
      <c r="M30" s="1" t="s">
        <v>22</v>
      </c>
      <c r="N30" s="14">
        <f>IFERROR(VLOOKUP(M29,K$12:N$13,2,0),0)</f>
        <v>0</v>
      </c>
      <c r="P30" s="14">
        <f>IFERROR(VLOOKUP(Q29,Q$12:T$13,2,0),0)</f>
        <v>0</v>
      </c>
      <c r="Q30" s="1" t="s">
        <v>22</v>
      </c>
    </row>
    <row r="31" spans="3:19" ht="14.25" customHeight="1" x14ac:dyDescent="0.2"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N32" s="14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4">
        <f>IFERROR(VLOOKUP(Q31,Q$14:T$15,2,0),0)</f>
        <v>17</v>
      </c>
    </row>
    <row r="33" spans="3:18" ht="14.25" customHeight="1" x14ac:dyDescent="0.2">
      <c r="C33" s="7"/>
      <c r="E33" s="1" t="s">
        <v>13</v>
      </c>
      <c r="F33" s="3"/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D34" s="1" t="s">
        <v>122</v>
      </c>
      <c r="E34" s="8">
        <f>H23*E17</f>
        <v>41.666666666666671</v>
      </c>
      <c r="F34" s="5">
        <f>E34/SUM($E$34:$E$38)</f>
        <v>9.469696969696971E-2</v>
      </c>
      <c r="H34" s="6"/>
      <c r="N34" s="14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4">
        <f>IFERROR(VLOOKUP(Q33,Q$14:T$15,2,0),0)</f>
        <v>12</v>
      </c>
    </row>
    <row r="35" spans="3:18" ht="14.25" customHeight="1" x14ac:dyDescent="0.2">
      <c r="D35" s="1" t="s">
        <v>123</v>
      </c>
      <c r="E35" s="8">
        <f>H24*E18+E18*H23</f>
        <v>127.77777777777779</v>
      </c>
      <c r="F35" s="5">
        <f>E35/SUM($E$34:$E$38)</f>
        <v>0.29040404040404044</v>
      </c>
      <c r="H35" s="6"/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122</v>
      </c>
      <c r="E36" s="8">
        <f>E34</f>
        <v>41.666666666666671</v>
      </c>
      <c r="F36" s="5">
        <f>E36/SUM($E$34:$E$38)</f>
        <v>9.469696969696971E-2</v>
      </c>
      <c r="H36" s="6"/>
      <c r="N36" s="14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4">
        <f>IFERROR(VLOOKUP(Q35,Q$14:T$15,2,0),0)</f>
        <v>0</v>
      </c>
    </row>
    <row r="37" spans="3:18" ht="14.25" customHeight="1" x14ac:dyDescent="0.2">
      <c r="D37" s="1" t="s">
        <v>123</v>
      </c>
      <c r="E37" s="8">
        <f>E35</f>
        <v>127.77777777777779</v>
      </c>
      <c r="F37" s="5">
        <f>E37/SUM($E$34:$E$38)</f>
        <v>0.29040404040404044</v>
      </c>
      <c r="H37" s="6"/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D38" s="1" t="s">
        <v>124</v>
      </c>
      <c r="E38" s="8">
        <f>E21*SUM(H23:H25)</f>
        <v>101.11111111111111</v>
      </c>
      <c r="F38" s="5">
        <f>E38/SUM($E$34:$E$38)</f>
        <v>0.22979797979797981</v>
      </c>
      <c r="H38" s="6"/>
      <c r="M38" s="14">
        <f>IFERROR(VLOOKUP(M37,K$14:N$15,4,0),0)</f>
        <v>0</v>
      </c>
      <c r="N38" s="14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4">
        <f>IFERROR(VLOOKUP(Q37,Q$14:T$15,2,0),0)</f>
        <v>0</v>
      </c>
      <c r="Q38" s="14">
        <f>IFERROR(VLOOKUP(Q37,Q$14:T$15,4,0),0)</f>
        <v>0</v>
      </c>
    </row>
    <row r="39" spans="3:18" ht="14.25" customHeight="1" x14ac:dyDescent="0.2">
      <c r="H39" s="6"/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 t="s">
        <v>122</v>
      </c>
      <c r="E40" s="33">
        <f>F36+F34</f>
        <v>0.18939393939393942</v>
      </c>
      <c r="H40" s="6"/>
      <c r="N40" s="14">
        <f>IFERROR(VLOOKUP(M39,K$14:N$15,2,0),0)</f>
        <v>0</v>
      </c>
      <c r="P40" s="14">
        <f>IFERROR(VLOOKUP(Q39,Q$14:T$15,2,0),0)</f>
        <v>0</v>
      </c>
    </row>
    <row r="41" spans="3:18" ht="14.25" customHeight="1" x14ac:dyDescent="0.2">
      <c r="D41" s="1" t="s">
        <v>123</v>
      </c>
      <c r="E41" s="33">
        <f>F37+F35</f>
        <v>0.58080808080808088</v>
      </c>
      <c r="H41" s="6"/>
      <c r="L41" s="1" t="s">
        <v>13</v>
      </c>
      <c r="M41" s="1" t="s">
        <v>14</v>
      </c>
      <c r="N41" s="1" t="s">
        <v>5</v>
      </c>
      <c r="O41" s="10"/>
      <c r="P41" s="1" t="s">
        <v>13</v>
      </c>
      <c r="Q41" s="1" t="s">
        <v>14</v>
      </c>
      <c r="R41" s="1" t="s">
        <v>5</v>
      </c>
    </row>
    <row r="42" spans="3:18" x14ac:dyDescent="0.2">
      <c r="D42" s="1" t="s">
        <v>124</v>
      </c>
      <c r="E42" s="33">
        <f>F38</f>
        <v>0.22979797979797981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5">
        <f>IF(P42=0,0,O28)</f>
        <v>0</v>
      </c>
      <c r="R42" s="1">
        <f>Q28</f>
        <v>0</v>
      </c>
    </row>
    <row r="43" spans="3:18" x14ac:dyDescent="0.2"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3">S16</f>
        <v>50</v>
      </c>
      <c r="R44" s="1">
        <f t="shared" si="3"/>
        <v>0</v>
      </c>
    </row>
    <row r="46" spans="3:18" x14ac:dyDescent="0.2">
      <c r="L46" s="1" t="s">
        <v>81</v>
      </c>
      <c r="M46" s="6" t="s">
        <v>22</v>
      </c>
      <c r="Q46" s="6" t="s">
        <v>22</v>
      </c>
    </row>
    <row r="47" spans="3:18" x14ac:dyDescent="0.2"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D48" s="75"/>
      <c r="N48" s="14">
        <f>IFERROR(VLOOKUP(M47,K$14:N$15,2,0),0)</f>
        <v>12</v>
      </c>
      <c r="O48" s="6">
        <f>IFERROR(IF(O47&gt;0,O47/N47*VLOOKUP(M47,$K$41:$R$44,3,0),-O47/P47*VLOOKUP(Q47,$O$41:$R$44,3,0)),O46)</f>
        <v>0</v>
      </c>
      <c r="P48" s="14">
        <f>IFERROR(VLOOKUP(Q47,Q$14:T$15,2,0),0)</f>
        <v>12</v>
      </c>
    </row>
    <row r="49" spans="4:18" ht="14.25" customHeight="1" x14ac:dyDescent="0.2">
      <c r="D49" s="75"/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4:18" ht="14.25" customHeight="1" x14ac:dyDescent="0.2">
      <c r="M50" s="6"/>
      <c r="N50" s="14">
        <f>IFERROR(VLOOKUP(M49,K$14:N$15,2,0),0)</f>
        <v>0</v>
      </c>
      <c r="O50" s="6">
        <f>IFERROR(IF(O49&gt;0,O49/N49*VLOOKUP(M49,$K$41:$R$44,3,0),-O49/P49*VLOOKUP(Q49,$O$41:$R$44,3,0)),O48)</f>
        <v>0</v>
      </c>
      <c r="P50" s="14">
        <f>IFERROR(VLOOKUP(Q49,Q$14:T$15,2,0),0)</f>
        <v>0</v>
      </c>
      <c r="Q50" s="6"/>
      <c r="R50" s="6"/>
    </row>
    <row r="51" spans="4:18" ht="14.25" customHeight="1" x14ac:dyDescent="0.2"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4:18" x14ac:dyDescent="0.2">
      <c r="M52" s="6"/>
      <c r="N52" s="14">
        <f>IFERROR(VLOOKUP(M51,K$14:N$15,2,0),0)</f>
        <v>0</v>
      </c>
      <c r="O52" s="6">
        <f>IFERROR(IF(O51&gt;0,O51/N51*VLOOKUP(M51,$K$41:$R$44,3,0),-O51/P51*VLOOKUP(Q51,$O$41:$R$44,3,0)),O50)</f>
        <v>0</v>
      </c>
      <c r="P52" s="14">
        <f>IFERROR(VLOOKUP(Q51,Q$14:T$15,2,0),0)</f>
        <v>0</v>
      </c>
      <c r="Q52" s="6"/>
      <c r="R52" s="6">
        <f>SUM(R47:R51)</f>
        <v>12.5</v>
      </c>
    </row>
    <row r="53" spans="4:18" x14ac:dyDescent="0.2">
      <c r="N53" s="6"/>
      <c r="O53" s="6"/>
      <c r="P53" s="6"/>
      <c r="Q53" s="6"/>
    </row>
    <row r="54" spans="4:18" x14ac:dyDescent="0.2">
      <c r="Q54" s="6"/>
      <c r="R54" s="6"/>
    </row>
    <row r="55" spans="4:18" x14ac:dyDescent="0.2">
      <c r="Q55" s="6"/>
    </row>
    <row r="57" spans="4:18" x14ac:dyDescent="0.2">
      <c r="Q57" s="6"/>
      <c r="R57" s="6"/>
    </row>
    <row r="58" spans="4:18" x14ac:dyDescent="0.2">
      <c r="Q58" s="10"/>
    </row>
    <row r="59" spans="4:18" x14ac:dyDescent="0.2">
      <c r="R59" s="6"/>
    </row>
    <row r="60" spans="4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29:D3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N29" sqref="N29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07" t="s">
        <v>29</v>
      </c>
      <c r="B1" s="108"/>
    </row>
    <row r="2" spans="1:17" ht="14.25" customHeight="1" x14ac:dyDescent="0.2">
      <c r="A2" s="109"/>
      <c r="B2" s="110"/>
    </row>
    <row r="3" spans="1:17" ht="14.25" customHeight="1" x14ac:dyDescent="0.2">
      <c r="C3" s="9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92" t="s">
        <v>10</v>
      </c>
    </row>
    <row r="6" spans="1:17" ht="14.25" customHeight="1" x14ac:dyDescent="0.2">
      <c r="C6" s="2" t="s">
        <v>327</v>
      </c>
    </row>
    <row r="7" spans="1:17" ht="14.25" customHeight="1" x14ac:dyDescent="0.2">
      <c r="C7" s="2"/>
    </row>
    <row r="9" spans="1:17" ht="14.25" customHeight="1" thickBot="1" x14ac:dyDescent="0.25">
      <c r="D9" s="89" t="s">
        <v>30</v>
      </c>
      <c r="E9" s="89" t="s">
        <v>41</v>
      </c>
      <c r="F9" s="89" t="s">
        <v>45</v>
      </c>
      <c r="G9" s="88" t="s">
        <v>52</v>
      </c>
      <c r="H9" s="123" t="s">
        <v>47</v>
      </c>
      <c r="I9" s="124"/>
      <c r="J9" s="124"/>
      <c r="K9" s="124"/>
      <c r="L9" s="124"/>
      <c r="M9" s="124"/>
      <c r="N9" s="124"/>
      <c r="O9" s="124"/>
      <c r="P9" s="124"/>
      <c r="Q9" s="125"/>
    </row>
    <row r="10" spans="1:17" ht="14.25" customHeight="1" x14ac:dyDescent="0.2">
      <c r="C10" s="113" t="s">
        <v>31</v>
      </c>
      <c r="D10" s="77" t="s">
        <v>32</v>
      </c>
      <c r="E10" s="77" t="s">
        <v>42</v>
      </c>
      <c r="F10" s="77" t="s">
        <v>46</v>
      </c>
      <c r="G10" s="78" t="s">
        <v>61</v>
      </c>
      <c r="H10" s="120" t="s">
        <v>48</v>
      </c>
      <c r="I10" s="121"/>
      <c r="J10" s="121"/>
      <c r="K10" s="121"/>
      <c r="L10" s="121"/>
      <c r="M10" s="121"/>
      <c r="N10" s="121"/>
      <c r="O10" s="121"/>
      <c r="P10" s="121"/>
      <c r="Q10" s="122"/>
    </row>
    <row r="11" spans="1:17" ht="14.25" customHeight="1" x14ac:dyDescent="0.2">
      <c r="C11" s="111"/>
      <c r="D11" s="1" t="s">
        <v>33</v>
      </c>
      <c r="E11" s="1" t="s">
        <v>42</v>
      </c>
      <c r="F11" s="1" t="s">
        <v>46</v>
      </c>
      <c r="G11" s="13" t="s">
        <v>61</v>
      </c>
      <c r="H11" s="126" t="s">
        <v>49</v>
      </c>
      <c r="I11" s="127"/>
      <c r="J11" s="127"/>
      <c r="K11" s="127"/>
      <c r="L11" s="127"/>
      <c r="M11" s="127"/>
      <c r="N11" s="127"/>
      <c r="O11" s="127"/>
      <c r="P11" s="127"/>
      <c r="Q11" s="128"/>
    </row>
    <row r="12" spans="1:17" ht="14.25" customHeight="1" x14ac:dyDescent="0.2">
      <c r="C12" s="111"/>
      <c r="D12" s="1" t="s">
        <v>34</v>
      </c>
      <c r="E12" s="1" t="s">
        <v>42</v>
      </c>
      <c r="F12" s="1" t="s">
        <v>46</v>
      </c>
      <c r="G12" s="13" t="s">
        <v>61</v>
      </c>
      <c r="H12" s="126" t="s">
        <v>50</v>
      </c>
      <c r="I12" s="127"/>
      <c r="J12" s="127"/>
      <c r="K12" s="127"/>
      <c r="L12" s="127"/>
      <c r="M12" s="127"/>
      <c r="N12" s="127"/>
      <c r="O12" s="127"/>
      <c r="P12" s="127"/>
      <c r="Q12" s="128"/>
    </row>
    <row r="13" spans="1:17" ht="14.25" customHeight="1" x14ac:dyDescent="0.2">
      <c r="C13" s="111"/>
      <c r="D13" s="1" t="s">
        <v>35</v>
      </c>
      <c r="E13" s="1" t="s">
        <v>42</v>
      </c>
      <c r="F13" s="1" t="s">
        <v>46</v>
      </c>
      <c r="G13" s="13" t="s">
        <v>53</v>
      </c>
      <c r="H13" s="126" t="s">
        <v>51</v>
      </c>
      <c r="I13" s="127"/>
      <c r="J13" s="127"/>
      <c r="K13" s="127"/>
      <c r="L13" s="127"/>
      <c r="M13" s="127"/>
      <c r="N13" s="127"/>
      <c r="O13" s="127"/>
      <c r="P13" s="127"/>
      <c r="Q13" s="128"/>
    </row>
    <row r="14" spans="1:17" ht="14.25" customHeight="1" x14ac:dyDescent="0.2">
      <c r="C14" s="111"/>
      <c r="D14" s="1" t="s">
        <v>55</v>
      </c>
      <c r="E14" s="1" t="s">
        <v>42</v>
      </c>
      <c r="F14" s="1" t="s">
        <v>46</v>
      </c>
      <c r="G14" s="13" t="s">
        <v>54</v>
      </c>
      <c r="H14" s="126" t="s">
        <v>56</v>
      </c>
      <c r="I14" s="127"/>
      <c r="J14" s="127"/>
      <c r="K14" s="127"/>
      <c r="L14" s="127"/>
      <c r="M14" s="127"/>
      <c r="N14" s="127"/>
      <c r="O14" s="127"/>
      <c r="P14" s="127"/>
      <c r="Q14" s="128"/>
    </row>
    <row r="15" spans="1:17" ht="14.25" customHeight="1" x14ac:dyDescent="0.2">
      <c r="C15" s="112"/>
      <c r="D15" s="1" t="s">
        <v>11</v>
      </c>
      <c r="E15" s="1" t="s">
        <v>42</v>
      </c>
      <c r="F15" s="1" t="s">
        <v>46</v>
      </c>
      <c r="G15" s="13" t="s">
        <v>57</v>
      </c>
      <c r="H15" s="126" t="s">
        <v>58</v>
      </c>
      <c r="I15" s="127"/>
      <c r="J15" s="127"/>
      <c r="K15" s="127"/>
      <c r="L15" s="127"/>
      <c r="M15" s="127"/>
      <c r="N15" s="127"/>
      <c r="O15" s="127"/>
      <c r="P15" s="127"/>
      <c r="Q15" s="128"/>
    </row>
    <row r="16" spans="1:17" ht="14.25" customHeight="1" x14ac:dyDescent="0.2">
      <c r="C16" s="113" t="s">
        <v>36</v>
      </c>
      <c r="D16" s="1" t="s">
        <v>37</v>
      </c>
      <c r="E16" s="1" t="s">
        <v>43</v>
      </c>
      <c r="F16" s="1" t="s">
        <v>46</v>
      </c>
      <c r="G16" s="13" t="s">
        <v>62</v>
      </c>
      <c r="H16" s="114" t="s">
        <v>60</v>
      </c>
      <c r="I16" s="115"/>
      <c r="J16" s="115"/>
      <c r="K16" s="115"/>
      <c r="L16" s="115"/>
      <c r="M16" s="115"/>
      <c r="N16" s="115"/>
      <c r="O16" s="115"/>
      <c r="P16" s="115"/>
      <c r="Q16" s="116"/>
    </row>
    <row r="17" spans="3:17" ht="14.25" customHeight="1" x14ac:dyDescent="0.2">
      <c r="C17" s="111"/>
      <c r="D17" s="1" t="s">
        <v>38</v>
      </c>
      <c r="E17" s="1" t="s">
        <v>43</v>
      </c>
      <c r="F17" s="1" t="s">
        <v>46</v>
      </c>
      <c r="G17" s="13" t="s">
        <v>62</v>
      </c>
      <c r="H17" s="117"/>
      <c r="I17" s="118"/>
      <c r="J17" s="118"/>
      <c r="K17" s="118"/>
      <c r="L17" s="118"/>
      <c r="M17" s="118"/>
      <c r="N17" s="118"/>
      <c r="O17" s="118"/>
      <c r="P17" s="118"/>
      <c r="Q17" s="119"/>
    </row>
    <row r="18" spans="3:17" ht="14.25" customHeight="1" x14ac:dyDescent="0.2">
      <c r="C18" s="112"/>
      <c r="D18" s="1" t="s">
        <v>39</v>
      </c>
      <c r="E18" s="1" t="s">
        <v>43</v>
      </c>
      <c r="F18" s="1" t="s">
        <v>46</v>
      </c>
      <c r="G18" s="13" t="s">
        <v>62</v>
      </c>
      <c r="H18" s="120"/>
      <c r="I18" s="121"/>
      <c r="J18" s="121"/>
      <c r="K18" s="121"/>
      <c r="L18" s="121"/>
      <c r="M18" s="121"/>
      <c r="N18" s="121"/>
      <c r="O18" s="121"/>
      <c r="P18" s="121"/>
      <c r="Q18" s="122"/>
    </row>
    <row r="19" spans="3:17" ht="14.25" customHeight="1" x14ac:dyDescent="0.2">
      <c r="C19" s="113" t="s">
        <v>40</v>
      </c>
      <c r="D19" s="1" t="s">
        <v>70</v>
      </c>
      <c r="E19" s="1" t="s">
        <v>43</v>
      </c>
      <c r="F19" s="1" t="s">
        <v>46</v>
      </c>
      <c r="G19" s="1" t="s">
        <v>63</v>
      </c>
      <c r="H19" s="114" t="s">
        <v>64</v>
      </c>
      <c r="I19" s="115"/>
      <c r="J19" s="115"/>
      <c r="K19" s="115"/>
      <c r="L19" s="115"/>
      <c r="M19" s="115"/>
      <c r="N19" s="115"/>
      <c r="O19" s="115"/>
      <c r="P19" s="115"/>
      <c r="Q19" s="116"/>
    </row>
    <row r="20" spans="3:17" ht="14.25" customHeight="1" x14ac:dyDescent="0.2">
      <c r="C20" s="111"/>
      <c r="D20" s="1" t="s">
        <v>128</v>
      </c>
      <c r="E20" s="1" t="s">
        <v>43</v>
      </c>
      <c r="F20" s="1" t="s">
        <v>46</v>
      </c>
      <c r="G20" s="1" t="s">
        <v>121</v>
      </c>
      <c r="H20" s="117"/>
      <c r="I20" s="118"/>
      <c r="J20" s="118"/>
      <c r="K20" s="118"/>
      <c r="L20" s="118"/>
      <c r="M20" s="118"/>
      <c r="N20" s="118"/>
      <c r="O20" s="118"/>
      <c r="P20" s="118"/>
      <c r="Q20" s="119"/>
    </row>
    <row r="21" spans="3:17" ht="14.25" customHeight="1" x14ac:dyDescent="0.2">
      <c r="C21" s="112"/>
      <c r="D21" s="1" t="s">
        <v>120</v>
      </c>
      <c r="E21" s="1" t="s">
        <v>43</v>
      </c>
      <c r="F21" s="1" t="s">
        <v>46</v>
      </c>
      <c r="G21" s="1" t="s">
        <v>121</v>
      </c>
      <c r="H21" s="120"/>
      <c r="I21" s="121"/>
      <c r="J21" s="121"/>
      <c r="K21" s="121"/>
      <c r="L21" s="121"/>
      <c r="M21" s="121"/>
      <c r="N21" s="121"/>
      <c r="O21" s="121"/>
      <c r="P21" s="121"/>
      <c r="Q21" s="122"/>
    </row>
    <row r="22" spans="3:17" ht="14.25" customHeight="1" x14ac:dyDescent="0.2">
      <c r="C22" s="26"/>
      <c r="H22" s="27"/>
      <c r="I22" s="28"/>
      <c r="J22" s="28"/>
      <c r="K22" s="28"/>
      <c r="L22" s="28"/>
      <c r="M22" s="28"/>
      <c r="N22" s="28"/>
      <c r="O22" s="28"/>
      <c r="P22" s="28"/>
      <c r="Q22" s="29"/>
    </row>
    <row r="23" spans="3:17" ht="14.25" customHeight="1" x14ac:dyDescent="0.2">
      <c r="D23" s="16"/>
    </row>
    <row r="24" spans="3:17" ht="14.25" customHeight="1" x14ac:dyDescent="0.2">
      <c r="C24" s="93" t="s">
        <v>328</v>
      </c>
      <c r="D24" s="2" t="s">
        <v>59</v>
      </c>
      <c r="Q24" s="16" t="s">
        <v>44</v>
      </c>
    </row>
    <row r="26" spans="3:17" s="3" customFormat="1" ht="14.25" customHeight="1" x14ac:dyDescent="0.2">
      <c r="C26" s="3" t="s">
        <v>29</v>
      </c>
      <c r="D26" s="2" t="s">
        <v>76</v>
      </c>
      <c r="L26" s="3" t="s">
        <v>16</v>
      </c>
      <c r="M26" s="3" t="s">
        <v>129</v>
      </c>
    </row>
    <row r="27" spans="3:17" ht="14.25" customHeight="1" x14ac:dyDescent="0.2">
      <c r="D27" s="3" t="s">
        <v>66</v>
      </c>
      <c r="E27" s="3" t="s">
        <v>74</v>
      </c>
      <c r="L27" s="1" t="s">
        <v>3</v>
      </c>
      <c r="M27" s="7" t="s">
        <v>130</v>
      </c>
    </row>
    <row r="28" spans="3:17" ht="14.25" customHeight="1" x14ac:dyDescent="0.2">
      <c r="D28" s="1" t="s">
        <v>12</v>
      </c>
      <c r="E28" s="7" t="s">
        <v>65</v>
      </c>
      <c r="L28" s="1" t="s">
        <v>4</v>
      </c>
      <c r="M28" s="7" t="s">
        <v>131</v>
      </c>
    </row>
    <row r="29" spans="3:17" ht="14.25" customHeight="1" x14ac:dyDescent="0.2">
      <c r="D29" s="1" t="s">
        <v>69</v>
      </c>
      <c r="E29" s="7" t="s">
        <v>67</v>
      </c>
      <c r="L29" s="1" t="s">
        <v>5</v>
      </c>
      <c r="M29" s="7" t="s">
        <v>132</v>
      </c>
    </row>
    <row r="30" spans="3:17" ht="14.25" customHeight="1" x14ac:dyDescent="0.2">
      <c r="D30" s="1" t="s">
        <v>68</v>
      </c>
      <c r="E30" s="7" t="s">
        <v>220</v>
      </c>
    </row>
    <row r="31" spans="3:17" ht="14.25" customHeight="1" x14ac:dyDescent="0.2">
      <c r="D31" s="1" t="s">
        <v>13</v>
      </c>
      <c r="E31" s="7" t="s">
        <v>71</v>
      </c>
    </row>
    <row r="32" spans="3:17" ht="14.25" customHeight="1" x14ac:dyDescent="0.2">
      <c r="D32" s="3" t="s">
        <v>72</v>
      </c>
      <c r="E32" s="7" t="s">
        <v>73</v>
      </c>
    </row>
    <row r="33" spans="3:6" ht="14.25" customHeight="1" x14ac:dyDescent="0.2">
      <c r="D33" s="3" t="s">
        <v>78</v>
      </c>
      <c r="E33" s="7" t="s">
        <v>75</v>
      </c>
    </row>
    <row r="34" spans="3:6" ht="14.25" customHeight="1" x14ac:dyDescent="0.2">
      <c r="D34" s="3" t="s">
        <v>77</v>
      </c>
      <c r="E34" s="7" t="s">
        <v>79</v>
      </c>
    </row>
    <row r="36" spans="3:6" ht="14.25" customHeight="1" x14ac:dyDescent="0.2">
      <c r="C36" s="3" t="s">
        <v>83</v>
      </c>
      <c r="D36" s="1" t="s">
        <v>125</v>
      </c>
      <c r="E36" s="1">
        <v>25</v>
      </c>
    </row>
    <row r="37" spans="3:6" ht="14.25" customHeight="1" thickBot="1" x14ac:dyDescent="0.25">
      <c r="D37" s="89" t="s">
        <v>30</v>
      </c>
      <c r="E37" s="89" t="s">
        <v>85</v>
      </c>
    </row>
    <row r="38" spans="3:6" ht="14.25" customHeight="1" x14ac:dyDescent="0.2">
      <c r="D38" s="77" t="s">
        <v>32</v>
      </c>
      <c r="E38" s="77">
        <f>E40*E36</f>
        <v>25</v>
      </c>
    </row>
    <row r="39" spans="3:6" ht="14.25" customHeight="1" x14ac:dyDescent="0.2">
      <c r="D39" s="1" t="s">
        <v>33</v>
      </c>
      <c r="E39" s="30">
        <f>1/100000</f>
        <v>1.0000000000000001E-5</v>
      </c>
      <c r="F39" s="7" t="s">
        <v>329</v>
      </c>
    </row>
    <row r="40" spans="3:6" ht="14.25" customHeight="1" x14ac:dyDescent="0.2">
      <c r="D40" s="1" t="s">
        <v>34</v>
      </c>
      <c r="E40" s="17">
        <v>1</v>
      </c>
    </row>
    <row r="41" spans="3:6" ht="14.25" customHeight="1" x14ac:dyDescent="0.2">
      <c r="D41" s="1" t="s">
        <v>35</v>
      </c>
      <c r="E41" s="4">
        <f>0.5*0.01</f>
        <v>5.0000000000000001E-3</v>
      </c>
      <c r="F41" s="7" t="s">
        <v>330</v>
      </c>
    </row>
    <row r="42" spans="3:6" ht="14.25" customHeight="1" x14ac:dyDescent="0.2">
      <c r="D42" s="1" t="s">
        <v>84</v>
      </c>
      <c r="E42" s="5">
        <f>0.75*0.01</f>
        <v>7.4999999999999997E-3</v>
      </c>
      <c r="F42" s="7" t="s">
        <v>330</v>
      </c>
    </row>
    <row r="43" spans="3:6" ht="14.25" customHeight="1" x14ac:dyDescent="0.2">
      <c r="D43" s="1" t="s">
        <v>11</v>
      </c>
      <c r="E43" s="5">
        <f>0.67*0.01</f>
        <v>6.7000000000000002E-3</v>
      </c>
      <c r="F43" s="7" t="s">
        <v>330</v>
      </c>
    </row>
    <row r="44" spans="3:6" ht="14.25" customHeight="1" x14ac:dyDescent="0.2">
      <c r="E44" s="5"/>
      <c r="F44" s="7"/>
    </row>
    <row r="45" spans="3:6" ht="14.25" customHeight="1" x14ac:dyDescent="0.2">
      <c r="D45" s="2" t="s">
        <v>333</v>
      </c>
    </row>
    <row r="46" spans="3:6" ht="14.25" customHeight="1" x14ac:dyDescent="0.2">
      <c r="D46" s="7" t="s">
        <v>127</v>
      </c>
    </row>
    <row r="47" spans="3:6" ht="14.25" customHeight="1" x14ac:dyDescent="0.2">
      <c r="D47" s="7" t="s">
        <v>331</v>
      </c>
    </row>
    <row r="48" spans="3:6" ht="14.25" customHeight="1" x14ac:dyDescent="0.2">
      <c r="D48" s="7" t="s">
        <v>332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S24" sqref="S24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8"/>
    <col min="37" max="16384" width="9" style="1"/>
  </cols>
  <sheetData>
    <row r="1" spans="1:36" ht="14.25" customHeight="1" x14ac:dyDescent="0.2">
      <c r="A1" s="107" t="s">
        <v>86</v>
      </c>
      <c r="B1" s="108"/>
    </row>
    <row r="2" spans="1:36" ht="14.25" customHeight="1" x14ac:dyDescent="0.2">
      <c r="A2" s="109"/>
      <c r="B2" s="110"/>
      <c r="C2" s="2" t="s">
        <v>334</v>
      </c>
      <c r="D2" s="2"/>
    </row>
    <row r="3" spans="1:36" ht="14.25" customHeight="1" x14ac:dyDescent="0.2">
      <c r="C3" s="3" t="s">
        <v>112</v>
      </c>
    </row>
    <row r="4" spans="1:36" s="3" customFormat="1" ht="14.25" customHeight="1" x14ac:dyDescent="0.2">
      <c r="D4" s="3" t="s">
        <v>88</v>
      </c>
      <c r="E4" s="3" t="s">
        <v>13</v>
      </c>
      <c r="F4" s="3" t="s">
        <v>14</v>
      </c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109</v>
      </c>
      <c r="Q8" s="96" t="s">
        <v>149</v>
      </c>
      <c r="AB8" s="96" t="s">
        <v>138</v>
      </c>
    </row>
    <row r="9" spans="1:36" s="3" customFormat="1" ht="14.25" customHeight="1" x14ac:dyDescent="0.2">
      <c r="D9" s="3" t="s">
        <v>87</v>
      </c>
      <c r="E9" s="3" t="s">
        <v>88</v>
      </c>
      <c r="F9" s="3" t="s">
        <v>13</v>
      </c>
      <c r="G9" s="3" t="s">
        <v>14</v>
      </c>
      <c r="I9" s="24" t="s">
        <v>90</v>
      </c>
      <c r="J9" s="3" t="s">
        <v>91</v>
      </c>
      <c r="K9" s="3" t="s">
        <v>92</v>
      </c>
      <c r="L9" s="3" t="s">
        <v>93</v>
      </c>
      <c r="M9" s="24" t="s">
        <v>158</v>
      </c>
      <c r="Q9" s="96"/>
      <c r="R9" s="96" t="s">
        <v>150</v>
      </c>
      <c r="S9" s="96" t="s">
        <v>87</v>
      </c>
      <c r="T9" s="96" t="s">
        <v>157</v>
      </c>
      <c r="U9" s="97" t="s">
        <v>90</v>
      </c>
      <c r="V9" s="96" t="s">
        <v>91</v>
      </c>
      <c r="W9" s="96" t="s">
        <v>92</v>
      </c>
      <c r="X9" s="96" t="s">
        <v>93</v>
      </c>
      <c r="Y9" s="96" t="s">
        <v>157</v>
      </c>
      <c r="Z9" s="97" t="s">
        <v>33</v>
      </c>
      <c r="AA9" s="105" t="s">
        <v>168</v>
      </c>
      <c r="AB9" s="96"/>
      <c r="AC9" s="96" t="s">
        <v>144</v>
      </c>
      <c r="AD9" s="96" t="s">
        <v>146</v>
      </c>
      <c r="AE9" s="96" t="s">
        <v>147</v>
      </c>
      <c r="AF9" s="96" t="s">
        <v>139</v>
      </c>
      <c r="AG9" s="96" t="s">
        <v>140</v>
      </c>
      <c r="AH9" s="96" t="s">
        <v>141</v>
      </c>
      <c r="AI9" s="96" t="s">
        <v>142</v>
      </c>
      <c r="AJ9" s="96" t="s">
        <v>167</v>
      </c>
    </row>
    <row r="10" spans="1:36" ht="14.25" customHeight="1" x14ac:dyDescent="0.2">
      <c r="C10" s="18" t="s">
        <v>98</v>
      </c>
      <c r="D10" s="1" t="s">
        <v>68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8" t="s">
        <v>246</v>
      </c>
      <c r="S10" s="68" t="s">
        <v>151</v>
      </c>
      <c r="T10" s="68" t="str">
        <f>MIN(VLOOKUP(S10,$D$9:$M$15,6,0),VLOOKUP(S10,$D$9:$M$15,10,0))&amp;"~"&amp;MAX(VLOOKUP(S10,$D$9:$M$15,6,0),VLOOKUP(S10,$D$9:$M$15,10,0))</f>
        <v>0.9~1</v>
      </c>
      <c r="U10" s="94">
        <v>0.9</v>
      </c>
      <c r="V10" s="94">
        <f>X10/VLOOKUP(S10,$D$9:$L$15,4,0)</f>
        <v>1.1111111111111112</v>
      </c>
      <c r="W10" s="94">
        <f>VLOOKUP(S10,$D$9:$L$15,3,0)*U10</f>
        <v>4.5</v>
      </c>
      <c r="X10" s="94">
        <f>VLOOKUP(S10,$D$9:$L$15,5,0)/W10</f>
        <v>111.11111111111111</v>
      </c>
      <c r="Y10" s="94" t="str">
        <f>MIN(VLOOKUP(S10,$D$18:$O$24,4,0),VLOOKUP(S10,$D$18:$O$24,12,0))&amp;"~"&amp;MAX(VLOOKUP(S10,$D$18:$O$24,4,0),VLOOKUP(S10,$D$18:$O$24,12,0))</f>
        <v>7.6~11</v>
      </c>
      <c r="Z10" s="94">
        <v>11</v>
      </c>
      <c r="AA10" s="68">
        <f>VLOOKUP(S10,$D$27:$M$33,MATCH(AA$9,$D$27:$M$27,0),0)</f>
        <v>0.75</v>
      </c>
      <c r="AB10" s="68" t="str">
        <f>R10</f>
        <v>饼干1</v>
      </c>
      <c r="AC10" s="68" t="str">
        <f>VLOOKUP($S10,$D$27:$L$33,MATCH(AC$9,$D$27:$L$27,0),0)</f>
        <v>承伤</v>
      </c>
      <c r="AD10" s="106">
        <f>W10/INDEX($G$26:$L$26,MATCH(AD$9,$G$27:$L$27,0))</f>
        <v>0.45</v>
      </c>
      <c r="AE10" s="106">
        <f>X10/INDEX($G$26:$L$26,MATCH(AE$9,$G$27:$L$27,0))</f>
        <v>1.1111111111111112</v>
      </c>
      <c r="AF10" s="106">
        <f>Z10/INDEX($G$26:$L$26,MATCH(AF$9,$G$27:$L$27,0))</f>
        <v>1</v>
      </c>
      <c r="AG10" s="106">
        <f>VLOOKUP($S10,$D$18:$O$24,MATCH(AG$9,$D$18:$O$18,0),0)/INDEX($G$26:$L$26,MATCH(AG$9,$G$27:$L$27,0))</f>
        <v>1</v>
      </c>
      <c r="AH10" s="106">
        <f t="shared" ref="AH10:AI21" si="1">VLOOKUP($S10,$D$18:$O$24,MATCH(AH$9,$D$18:$O$18,0),0)/INDEX($G$26:$L$26,MATCH(AH$9,$G$27:$L$27,0))</f>
        <v>1</v>
      </c>
      <c r="AI10" s="106">
        <f>VLOOKUP($S10,$D$18:$O$24,MATCH(AI$9,$D$18:$O$18,0),0)/INDEX($G$26:$L$26,MATCH(AI$9,$G$27:$L$27,0))</f>
        <v>0.9</v>
      </c>
      <c r="AJ10" s="68">
        <f>AA10</f>
        <v>0.75</v>
      </c>
    </row>
    <row r="11" spans="1:36" ht="14.25" customHeight="1" x14ac:dyDescent="0.2">
      <c r="C11" s="18" t="s">
        <v>99</v>
      </c>
      <c r="D11" s="1" t="s">
        <v>89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8" t="s">
        <v>247</v>
      </c>
      <c r="S11" s="68" t="s">
        <v>151</v>
      </c>
      <c r="T11" s="68" t="str">
        <f t="shared" ref="T11:T21" si="2">MIN(VLOOKUP(S11,$D$9:$M$15,6,0),VLOOKUP(S11,$D$9:$M$15,10,0))&amp;"~"&amp;MAX(VLOOKUP(S11,$D$9:$M$15,6,0),VLOOKUP(S11,$D$9:$M$15,10,0))</f>
        <v>0.9~1</v>
      </c>
      <c r="U11" s="94">
        <v>1</v>
      </c>
      <c r="V11" s="94">
        <f t="shared" ref="V11:V21" si="3">X11/VLOOKUP(S11,$D$9:$L$15,4,0)</f>
        <v>1</v>
      </c>
      <c r="W11" s="94">
        <f t="shared" ref="W11:W21" si="4">VLOOKUP(S11,$D$9:$L$15,3,0)*U11</f>
        <v>5</v>
      </c>
      <c r="X11" s="94">
        <f t="shared" ref="X11:X21" si="5">VLOOKUP(S11,$D$9:$L$15,5,0)/W11</f>
        <v>100</v>
      </c>
      <c r="Y11" s="94" t="str">
        <f t="shared" ref="Y11:Y21" si="6">MIN(VLOOKUP(S11,$D$18:$O$24,4,0),VLOOKUP(S11,$D$18:$O$24,12,0))&amp;"~"&amp;MAX(VLOOKUP(S11,$D$18:$O$24,4,0),VLOOKUP(S11,$D$18:$O$24,12,0))</f>
        <v>7.6~11</v>
      </c>
      <c r="Z11" s="94">
        <v>11</v>
      </c>
      <c r="AA11" s="68">
        <f t="shared" ref="AA11:AA21" si="7">VLOOKUP(S11,$D$27:$M$33,MATCH(AA$9,$D$27:$M$27,0),0)</f>
        <v>0.75</v>
      </c>
      <c r="AB11" s="68" t="str">
        <f t="shared" ref="AB11:AB21" si="8">R11</f>
        <v>饼干2</v>
      </c>
      <c r="AC11" s="68" t="str">
        <f t="shared" ref="AC11:AC21" si="9">VLOOKUP($S11,$D$27:$L$33,MATCH(AC$9,$D$27:$L$27,0),0)</f>
        <v>承伤</v>
      </c>
      <c r="AD11" s="106">
        <f t="shared" ref="AD11:AD21" si="10">W11/INDEX($G$26:$L$26,MATCH(AD$9,$G$27:$L$27,0))</f>
        <v>0.5</v>
      </c>
      <c r="AE11" s="106">
        <f t="shared" ref="AE11:AE21" si="11">X11/INDEX($G$26:$L$26,MATCH(AE$9,$G$27:$L$27,0))</f>
        <v>1</v>
      </c>
      <c r="AF11" s="106">
        <f t="shared" ref="AF11:AF21" si="12">Z11/INDEX($G$26:$L$26,MATCH(AF$9,$G$27:$L$27,0))</f>
        <v>1</v>
      </c>
      <c r="AG11" s="106">
        <f t="shared" ref="AG11:AG21" si="13">VLOOKUP($S11,$D$18:$O$24,MATCH(AG$9,$D$18:$O$18,0),0)/INDEX($G$26:$L$26,MATCH(AG$9,$G$27:$L$27,0))</f>
        <v>1</v>
      </c>
      <c r="AH11" s="106">
        <f t="shared" si="1"/>
        <v>1</v>
      </c>
      <c r="AI11" s="106">
        <f t="shared" si="1"/>
        <v>0.9</v>
      </c>
      <c r="AJ11" s="68">
        <f t="shared" ref="AJ11:AJ21" si="14">AA11</f>
        <v>0.75</v>
      </c>
    </row>
    <row r="12" spans="1:36" ht="14.25" customHeight="1" x14ac:dyDescent="0.2">
      <c r="C12" s="18" t="s">
        <v>100</v>
      </c>
      <c r="D12" s="1" t="s">
        <v>94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68" t="s">
        <v>248</v>
      </c>
      <c r="S12" s="68" t="s">
        <v>152</v>
      </c>
      <c r="T12" s="68" t="str">
        <f t="shared" si="2"/>
        <v>1~1.2</v>
      </c>
      <c r="U12" s="94">
        <v>1.1000000000000001</v>
      </c>
      <c r="V12" s="94">
        <f t="shared" si="3"/>
        <v>0.90909090909090906</v>
      </c>
      <c r="W12" s="94">
        <f t="shared" si="4"/>
        <v>5.5</v>
      </c>
      <c r="X12" s="94">
        <f t="shared" si="5"/>
        <v>90.909090909090907</v>
      </c>
      <c r="Y12" s="94" t="str">
        <f t="shared" si="6"/>
        <v>5~9</v>
      </c>
      <c r="Z12" s="94">
        <v>9</v>
      </c>
      <c r="AA12" s="68">
        <f t="shared" si="7"/>
        <v>0.751</v>
      </c>
      <c r="AB12" s="68" t="str">
        <f t="shared" si="8"/>
        <v>饼干3</v>
      </c>
      <c r="AC12" s="68" t="str">
        <f t="shared" si="9"/>
        <v>伤害</v>
      </c>
      <c r="AD12" s="106">
        <f t="shared" si="10"/>
        <v>0.55000000000000004</v>
      </c>
      <c r="AE12" s="106">
        <f t="shared" si="11"/>
        <v>0.90909090909090906</v>
      </c>
      <c r="AF12" s="106">
        <f t="shared" si="12"/>
        <v>0.81818181818181823</v>
      </c>
      <c r="AG12" s="106">
        <f t="shared" si="13"/>
        <v>1</v>
      </c>
      <c r="AH12" s="106">
        <f t="shared" si="1"/>
        <v>1</v>
      </c>
      <c r="AI12" s="106">
        <f t="shared" si="1"/>
        <v>0.95</v>
      </c>
      <c r="AJ12" s="68">
        <f t="shared" si="14"/>
        <v>0.751</v>
      </c>
    </row>
    <row r="13" spans="1:36" ht="14.25" customHeight="1" x14ac:dyDescent="0.2">
      <c r="C13" s="18" t="s">
        <v>101</v>
      </c>
      <c r="D13" s="1" t="s">
        <v>95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68" t="s">
        <v>249</v>
      </c>
      <c r="S13" s="68" t="s">
        <v>152</v>
      </c>
      <c r="T13" s="68" t="str">
        <f t="shared" si="2"/>
        <v>1~1.2</v>
      </c>
      <c r="U13" s="94">
        <v>1.2</v>
      </c>
      <c r="V13" s="94">
        <f t="shared" si="3"/>
        <v>0.83333333333333326</v>
      </c>
      <c r="W13" s="94">
        <f t="shared" si="4"/>
        <v>6</v>
      </c>
      <c r="X13" s="94">
        <f t="shared" si="5"/>
        <v>83.333333333333329</v>
      </c>
      <c r="Y13" s="94" t="str">
        <f t="shared" si="6"/>
        <v>5~9</v>
      </c>
      <c r="Z13" s="94">
        <v>9</v>
      </c>
      <c r="AA13" s="68">
        <f t="shared" si="7"/>
        <v>0.751</v>
      </c>
      <c r="AB13" s="68" t="str">
        <f t="shared" si="8"/>
        <v>饼干4</v>
      </c>
      <c r="AC13" s="68" t="str">
        <f t="shared" si="9"/>
        <v>伤害</v>
      </c>
      <c r="AD13" s="106">
        <f t="shared" si="10"/>
        <v>0.6</v>
      </c>
      <c r="AE13" s="106">
        <f t="shared" si="11"/>
        <v>0.83333333333333326</v>
      </c>
      <c r="AF13" s="106">
        <f t="shared" si="12"/>
        <v>0.81818181818181823</v>
      </c>
      <c r="AG13" s="106">
        <f t="shared" si="13"/>
        <v>1</v>
      </c>
      <c r="AH13" s="106">
        <f t="shared" si="1"/>
        <v>1</v>
      </c>
      <c r="AI13" s="106">
        <f t="shared" si="1"/>
        <v>0.95</v>
      </c>
      <c r="AJ13" s="68">
        <f t="shared" si="14"/>
        <v>0.751</v>
      </c>
    </row>
    <row r="14" spans="1:36" ht="14.25" customHeight="1" x14ac:dyDescent="0.2">
      <c r="C14" s="18" t="s">
        <v>102</v>
      </c>
      <c r="D14" s="1" t="s">
        <v>96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68" t="s">
        <v>250</v>
      </c>
      <c r="S14" s="68" t="s">
        <v>153</v>
      </c>
      <c r="T14" s="68" t="str">
        <f t="shared" si="2"/>
        <v>1~1.05</v>
      </c>
      <c r="U14" s="94">
        <v>1.05</v>
      </c>
      <c r="V14" s="94">
        <f t="shared" si="3"/>
        <v>0.95238095238095233</v>
      </c>
      <c r="W14" s="94">
        <f t="shared" si="4"/>
        <v>10.5</v>
      </c>
      <c r="X14" s="94">
        <f t="shared" si="5"/>
        <v>38.095238095238095</v>
      </c>
      <c r="Y14" s="94" t="str">
        <f t="shared" si="6"/>
        <v>3~5</v>
      </c>
      <c r="Z14" s="94">
        <v>5</v>
      </c>
      <c r="AA14" s="68">
        <f t="shared" si="7"/>
        <v>0.8</v>
      </c>
      <c r="AB14" s="68" t="str">
        <f t="shared" si="8"/>
        <v>饼干5</v>
      </c>
      <c r="AC14" s="68" t="str">
        <f t="shared" si="9"/>
        <v>伤害</v>
      </c>
      <c r="AD14" s="106">
        <f t="shared" si="10"/>
        <v>1.05</v>
      </c>
      <c r="AE14" s="106">
        <f t="shared" si="11"/>
        <v>0.38095238095238093</v>
      </c>
      <c r="AF14" s="106">
        <f t="shared" si="12"/>
        <v>0.45454545454545453</v>
      </c>
      <c r="AG14" s="106">
        <f t="shared" si="13"/>
        <v>1</v>
      </c>
      <c r="AH14" s="106">
        <f t="shared" si="1"/>
        <v>1</v>
      </c>
      <c r="AI14" s="106">
        <f t="shared" si="1"/>
        <v>1</v>
      </c>
      <c r="AJ14" s="68">
        <f t="shared" si="14"/>
        <v>0.8</v>
      </c>
    </row>
    <row r="15" spans="1:36" ht="14.25" customHeight="1" x14ac:dyDescent="0.2">
      <c r="C15" s="18" t="s">
        <v>103</v>
      </c>
      <c r="D15" s="1" t="s">
        <v>97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68" t="s">
        <v>251</v>
      </c>
      <c r="S15" s="68" t="s">
        <v>153</v>
      </c>
      <c r="T15" s="68" t="str">
        <f t="shared" si="2"/>
        <v>1~1.05</v>
      </c>
      <c r="U15" s="94">
        <v>1</v>
      </c>
      <c r="V15" s="94">
        <f t="shared" si="3"/>
        <v>1</v>
      </c>
      <c r="W15" s="94">
        <f t="shared" si="4"/>
        <v>10</v>
      </c>
      <c r="X15" s="94">
        <f t="shared" si="5"/>
        <v>40</v>
      </c>
      <c r="Y15" s="94" t="str">
        <f t="shared" si="6"/>
        <v>3~5</v>
      </c>
      <c r="Z15" s="94">
        <v>5</v>
      </c>
      <c r="AA15" s="68">
        <f t="shared" si="7"/>
        <v>0.8</v>
      </c>
      <c r="AB15" s="68" t="str">
        <f t="shared" si="8"/>
        <v>饼干6</v>
      </c>
      <c r="AC15" s="68" t="str">
        <f t="shared" si="9"/>
        <v>伤害</v>
      </c>
      <c r="AD15" s="106">
        <f t="shared" si="10"/>
        <v>1</v>
      </c>
      <c r="AE15" s="106">
        <f t="shared" si="11"/>
        <v>0.4</v>
      </c>
      <c r="AF15" s="106">
        <f t="shared" si="12"/>
        <v>0.45454545454545453</v>
      </c>
      <c r="AG15" s="106">
        <f t="shared" si="13"/>
        <v>1</v>
      </c>
      <c r="AH15" s="106">
        <f t="shared" si="1"/>
        <v>1</v>
      </c>
      <c r="AI15" s="106">
        <f t="shared" si="1"/>
        <v>1</v>
      </c>
      <c r="AJ15" s="68">
        <f t="shared" si="14"/>
        <v>0.8</v>
      </c>
    </row>
    <row r="16" spans="1:36" ht="14.25" customHeight="1" x14ac:dyDescent="0.2">
      <c r="C16" s="68"/>
      <c r="D16" s="68"/>
      <c r="E16" s="68"/>
      <c r="F16" s="94">
        <f>MAX(F10:F15)</f>
        <v>10</v>
      </c>
      <c r="G16" s="94">
        <f>MAX(G10:G15)</f>
        <v>100</v>
      </c>
      <c r="H16" s="94">
        <f>MAX(G19:G24)</f>
        <v>11</v>
      </c>
      <c r="I16" s="68"/>
      <c r="J16" s="68"/>
      <c r="K16" s="95"/>
      <c r="L16" s="95"/>
      <c r="M16" s="68"/>
      <c r="N16" s="68"/>
      <c r="O16" s="68"/>
      <c r="P16" s="68"/>
      <c r="R16" s="68" t="s">
        <v>252</v>
      </c>
      <c r="S16" s="68" t="s">
        <v>154</v>
      </c>
      <c r="T16" s="68" t="str">
        <f t="shared" si="2"/>
        <v>0.95~1</v>
      </c>
      <c r="U16" s="94">
        <v>0.96</v>
      </c>
      <c r="V16" s="94">
        <f t="shared" si="3"/>
        <v>1.0416666666666667</v>
      </c>
      <c r="W16" s="94">
        <f t="shared" si="4"/>
        <v>9.6</v>
      </c>
      <c r="X16" s="94">
        <f t="shared" si="5"/>
        <v>41.666666666666671</v>
      </c>
      <c r="Y16" s="94" t="str">
        <f t="shared" si="6"/>
        <v>4~5</v>
      </c>
      <c r="Z16" s="94">
        <v>4.5</v>
      </c>
      <c r="AA16" s="68">
        <f t="shared" si="7"/>
        <v>0.80500000000000005</v>
      </c>
      <c r="AB16" s="68" t="str">
        <f t="shared" si="8"/>
        <v>饼干7</v>
      </c>
      <c r="AC16" s="68" t="str">
        <f t="shared" si="9"/>
        <v>伤害</v>
      </c>
      <c r="AD16" s="106">
        <f t="shared" si="10"/>
        <v>0.96</v>
      </c>
      <c r="AE16" s="106">
        <f t="shared" si="11"/>
        <v>0.41666666666666674</v>
      </c>
      <c r="AF16" s="106">
        <f t="shared" si="12"/>
        <v>0.40909090909090912</v>
      </c>
      <c r="AG16" s="106">
        <f t="shared" si="13"/>
        <v>1</v>
      </c>
      <c r="AH16" s="106">
        <f t="shared" si="1"/>
        <v>1</v>
      </c>
      <c r="AI16" s="106">
        <f t="shared" si="1"/>
        <v>1.1000000000000001</v>
      </c>
      <c r="AJ16" s="68">
        <f t="shared" si="14"/>
        <v>0.80500000000000005</v>
      </c>
    </row>
    <row r="17" spans="3:36" ht="14.25" customHeight="1" x14ac:dyDescent="0.2">
      <c r="C17" s="96" t="s">
        <v>110</v>
      </c>
      <c r="D17" s="68"/>
      <c r="E17" s="68"/>
      <c r="F17" s="68"/>
      <c r="G17" s="94">
        <v>100000</v>
      </c>
      <c r="H17" s="94"/>
      <c r="I17" s="68"/>
      <c r="J17" s="68"/>
      <c r="K17" s="68"/>
      <c r="L17" s="68">
        <f>战斗公式!E38</f>
        <v>25</v>
      </c>
      <c r="M17" s="68">
        <f>战斗公式!E40</f>
        <v>1</v>
      </c>
      <c r="N17" s="68"/>
      <c r="O17" s="68"/>
      <c r="P17" s="68"/>
      <c r="R17" s="68" t="s">
        <v>253</v>
      </c>
      <c r="S17" s="68" t="s">
        <v>154</v>
      </c>
      <c r="T17" s="68" t="str">
        <f t="shared" si="2"/>
        <v>0.95~1</v>
      </c>
      <c r="U17" s="94">
        <v>0.98</v>
      </c>
      <c r="V17" s="94">
        <f t="shared" si="3"/>
        <v>1.0204081632653061</v>
      </c>
      <c r="W17" s="94">
        <f t="shared" si="4"/>
        <v>9.8000000000000007</v>
      </c>
      <c r="X17" s="94">
        <f t="shared" si="5"/>
        <v>40.816326530612244</v>
      </c>
      <c r="Y17" s="94" t="str">
        <f t="shared" si="6"/>
        <v>4~5</v>
      </c>
      <c r="Z17" s="94">
        <v>4.5</v>
      </c>
      <c r="AA17" s="68">
        <f t="shared" si="7"/>
        <v>0.80500000000000005</v>
      </c>
      <c r="AB17" s="68" t="str">
        <f t="shared" si="8"/>
        <v>饼干8</v>
      </c>
      <c r="AC17" s="68" t="str">
        <f t="shared" si="9"/>
        <v>伤害</v>
      </c>
      <c r="AD17" s="106">
        <f t="shared" si="10"/>
        <v>0.98000000000000009</v>
      </c>
      <c r="AE17" s="106">
        <f t="shared" si="11"/>
        <v>0.40816326530612246</v>
      </c>
      <c r="AF17" s="106">
        <f t="shared" si="12"/>
        <v>0.40909090909090912</v>
      </c>
      <c r="AG17" s="106">
        <f t="shared" si="13"/>
        <v>1</v>
      </c>
      <c r="AH17" s="106">
        <f t="shared" si="1"/>
        <v>1</v>
      </c>
      <c r="AI17" s="106">
        <f t="shared" si="1"/>
        <v>1.1000000000000001</v>
      </c>
      <c r="AJ17" s="68">
        <f t="shared" si="14"/>
        <v>0.80500000000000005</v>
      </c>
    </row>
    <row r="18" spans="3:36" s="3" customFormat="1" ht="14.25" customHeight="1" x14ac:dyDescent="0.2">
      <c r="C18" s="96"/>
      <c r="D18" s="96" t="s">
        <v>87</v>
      </c>
      <c r="E18" s="96" t="s">
        <v>88</v>
      </c>
      <c r="F18" s="96" t="s">
        <v>32</v>
      </c>
      <c r="G18" s="97" t="s">
        <v>33</v>
      </c>
      <c r="H18" s="96" t="s">
        <v>34</v>
      </c>
      <c r="I18" s="97" t="s">
        <v>35</v>
      </c>
      <c r="J18" s="97" t="s">
        <v>84</v>
      </c>
      <c r="K18" s="97" t="s">
        <v>11</v>
      </c>
      <c r="L18" s="96" t="s">
        <v>104</v>
      </c>
      <c r="M18" s="96" t="s">
        <v>105</v>
      </c>
      <c r="N18" s="98">
        <f>MAX(N19:N23)/MIN(N19:N23)</f>
        <v>1.0986221899927484</v>
      </c>
      <c r="O18" s="97" t="s">
        <v>159</v>
      </c>
      <c r="P18" s="96"/>
      <c r="Q18" s="96"/>
      <c r="R18" s="68" t="s">
        <v>254</v>
      </c>
      <c r="S18" s="68" t="s">
        <v>155</v>
      </c>
      <c r="T18" s="68" t="str">
        <f t="shared" si="2"/>
        <v>0.9~0.95</v>
      </c>
      <c r="U18" s="94">
        <v>0.94</v>
      </c>
      <c r="V18" s="94">
        <f t="shared" si="3"/>
        <v>1.0638297872340428</v>
      </c>
      <c r="W18" s="94">
        <f t="shared" si="4"/>
        <v>9.3999999999999986</v>
      </c>
      <c r="X18" s="94">
        <f t="shared" si="5"/>
        <v>42.553191489361708</v>
      </c>
      <c r="Y18" s="94" t="str">
        <f t="shared" si="6"/>
        <v>5~9</v>
      </c>
      <c r="Z18" s="94">
        <v>7</v>
      </c>
      <c r="AA18" s="68">
        <f t="shared" si="7"/>
        <v>0.77400000000000002</v>
      </c>
      <c r="AB18" s="68" t="str">
        <f t="shared" si="8"/>
        <v>饼干9</v>
      </c>
      <c r="AC18" s="68" t="str">
        <f t="shared" si="9"/>
        <v>伤害</v>
      </c>
      <c r="AD18" s="106">
        <f t="shared" si="10"/>
        <v>0.93999999999999984</v>
      </c>
      <c r="AE18" s="106">
        <f t="shared" si="11"/>
        <v>0.42553191489361708</v>
      </c>
      <c r="AF18" s="106">
        <f t="shared" si="12"/>
        <v>0.63636363636363635</v>
      </c>
      <c r="AG18" s="106">
        <f t="shared" si="13"/>
        <v>1</v>
      </c>
      <c r="AH18" s="106">
        <f t="shared" si="1"/>
        <v>1</v>
      </c>
      <c r="AI18" s="106">
        <f t="shared" si="1"/>
        <v>1.2</v>
      </c>
      <c r="AJ18" s="68">
        <f t="shared" si="14"/>
        <v>0.77400000000000002</v>
      </c>
    </row>
    <row r="19" spans="3:36" ht="14.25" customHeight="1" x14ac:dyDescent="0.2">
      <c r="C19" s="68"/>
      <c r="D19" s="68" t="s">
        <v>68</v>
      </c>
      <c r="E19" s="68" t="s">
        <v>3</v>
      </c>
      <c r="F19" s="94">
        <f>K10/K19/(1+I19*(J19-1))</f>
        <v>4.166666666666667</v>
      </c>
      <c r="G19" s="68">
        <v>11</v>
      </c>
      <c r="H19" s="94">
        <f>L10/(G19/$G$17+1)</f>
        <v>111.09889023318546</v>
      </c>
      <c r="I19" s="99">
        <v>0.4</v>
      </c>
      <c r="J19" s="99">
        <v>1.5</v>
      </c>
      <c r="K19" s="68">
        <v>0.9</v>
      </c>
      <c r="L19" s="94">
        <f>F19*$L$17*(1+I19*(J19-1))*K19</f>
        <v>112.5</v>
      </c>
      <c r="M19" s="94">
        <f>H19*$M$17*(1+G19*战斗公式!$E$39)+$M$17*基础模型!$G$17*$L$17</f>
        <v>161.11111111111111</v>
      </c>
      <c r="N19" s="100">
        <f>L19+M19</f>
        <v>273.61111111111109</v>
      </c>
      <c r="O19" s="68">
        <v>7.6</v>
      </c>
      <c r="P19" s="101"/>
      <c r="R19" s="68" t="s">
        <v>255</v>
      </c>
      <c r="S19" s="68" t="s">
        <v>155</v>
      </c>
      <c r="T19" s="68" t="str">
        <f t="shared" si="2"/>
        <v>0.9~0.95</v>
      </c>
      <c r="U19" s="94">
        <v>0.9</v>
      </c>
      <c r="V19" s="94">
        <f t="shared" si="3"/>
        <v>1.1111111111111112</v>
      </c>
      <c r="W19" s="94">
        <f t="shared" si="4"/>
        <v>9</v>
      </c>
      <c r="X19" s="94">
        <f t="shared" si="5"/>
        <v>44.444444444444443</v>
      </c>
      <c r="Y19" s="94" t="str">
        <f t="shared" si="6"/>
        <v>5~9</v>
      </c>
      <c r="Z19" s="94">
        <v>7</v>
      </c>
      <c r="AA19" s="68">
        <f t="shared" si="7"/>
        <v>0.77400000000000002</v>
      </c>
      <c r="AB19" s="68" t="str">
        <f t="shared" si="8"/>
        <v>饼干10</v>
      </c>
      <c r="AC19" s="68" t="str">
        <f t="shared" si="9"/>
        <v>伤害</v>
      </c>
      <c r="AD19" s="106">
        <f t="shared" si="10"/>
        <v>0.9</v>
      </c>
      <c r="AE19" s="106">
        <f t="shared" si="11"/>
        <v>0.44444444444444442</v>
      </c>
      <c r="AF19" s="106">
        <f t="shared" si="12"/>
        <v>0.63636363636363635</v>
      </c>
      <c r="AG19" s="106">
        <f t="shared" si="13"/>
        <v>1</v>
      </c>
      <c r="AH19" s="106">
        <f t="shared" si="1"/>
        <v>1</v>
      </c>
      <c r="AI19" s="106">
        <f t="shared" si="1"/>
        <v>1.2</v>
      </c>
      <c r="AJ19" s="68">
        <f t="shared" si="14"/>
        <v>0.77400000000000002</v>
      </c>
    </row>
    <row r="20" spans="3:36" ht="14.25" customHeight="1" x14ac:dyDescent="0.2">
      <c r="C20" s="68"/>
      <c r="D20" s="68" t="s">
        <v>89</v>
      </c>
      <c r="E20" s="68" t="s">
        <v>3</v>
      </c>
      <c r="F20" s="94">
        <f t="shared" ref="F20:F24" si="19">K11/K20/(1+I20*(J20-1))</f>
        <v>5.2631578947368425</v>
      </c>
      <c r="G20" s="68">
        <v>9</v>
      </c>
      <c r="H20" s="94">
        <f t="shared" ref="H20:H24" si="20">L11/(G20/$G$17+1)</f>
        <v>83.325834008272594</v>
      </c>
      <c r="I20" s="99">
        <v>0.4</v>
      </c>
      <c r="J20" s="99">
        <v>1.5</v>
      </c>
      <c r="K20" s="68">
        <v>0.95</v>
      </c>
      <c r="L20" s="94">
        <f t="shared" ref="L20:L23" si="21">F20*$L$17*(1+I20*(J20-1))*K20</f>
        <v>150.00000000000003</v>
      </c>
      <c r="M20" s="94">
        <f>H20*$M$17*(1+G20*战斗公式!$E$39)+$M$17*基础模型!$G$17*$L$17</f>
        <v>133.33333333333331</v>
      </c>
      <c r="N20" s="100">
        <f t="shared" ref="N20:N23" si="22">L20+M20</f>
        <v>283.33333333333337</v>
      </c>
      <c r="O20" s="68">
        <v>5</v>
      </c>
      <c r="P20" s="101"/>
      <c r="R20" s="68" t="s">
        <v>256</v>
      </c>
      <c r="S20" s="68" t="s">
        <v>156</v>
      </c>
      <c r="T20" s="68" t="str">
        <f t="shared" si="2"/>
        <v>0.9~1</v>
      </c>
      <c r="U20" s="94">
        <v>0.9</v>
      </c>
      <c r="V20" s="94">
        <f t="shared" si="3"/>
        <v>1.1111111111111112</v>
      </c>
      <c r="W20" s="94">
        <f t="shared" si="4"/>
        <v>3.6</v>
      </c>
      <c r="X20" s="94">
        <f t="shared" si="5"/>
        <v>55.555555555555557</v>
      </c>
      <c r="Y20" s="94" t="str">
        <f t="shared" si="6"/>
        <v>2.5~3</v>
      </c>
      <c r="Z20" s="94">
        <v>2.8</v>
      </c>
      <c r="AA20" s="68">
        <f t="shared" si="7"/>
        <v>0.79800000000000004</v>
      </c>
      <c r="AB20" s="68" t="str">
        <f t="shared" si="8"/>
        <v>饼干11</v>
      </c>
      <c r="AC20" s="68" t="str">
        <f t="shared" si="9"/>
        <v>无</v>
      </c>
      <c r="AD20" s="106">
        <f t="shared" si="10"/>
        <v>0.36</v>
      </c>
      <c r="AE20" s="106">
        <f t="shared" si="11"/>
        <v>0.55555555555555558</v>
      </c>
      <c r="AF20" s="106">
        <f t="shared" si="12"/>
        <v>0.25454545454545452</v>
      </c>
      <c r="AG20" s="106">
        <f t="shared" si="13"/>
        <v>1</v>
      </c>
      <c r="AH20" s="106">
        <f t="shared" si="1"/>
        <v>1</v>
      </c>
      <c r="AI20" s="106">
        <f t="shared" si="1"/>
        <v>0.9</v>
      </c>
      <c r="AJ20" s="68">
        <f t="shared" si="14"/>
        <v>0.79800000000000004</v>
      </c>
    </row>
    <row r="21" spans="3:36" ht="14.25" customHeight="1" x14ac:dyDescent="0.2">
      <c r="C21" s="68"/>
      <c r="D21" s="68" t="s">
        <v>94</v>
      </c>
      <c r="E21" s="68" t="s">
        <v>4</v>
      </c>
      <c r="F21" s="94">
        <f t="shared" si="19"/>
        <v>8.75</v>
      </c>
      <c r="G21" s="68">
        <v>3</v>
      </c>
      <c r="H21" s="94">
        <f t="shared" si="20"/>
        <v>38.094095272379924</v>
      </c>
      <c r="I21" s="99">
        <v>0.4</v>
      </c>
      <c r="J21" s="99">
        <v>1.5</v>
      </c>
      <c r="K21" s="68">
        <v>1</v>
      </c>
      <c r="L21" s="94">
        <f>F21*$L$17*(1+I21*(J21-1))*K21</f>
        <v>262.5</v>
      </c>
      <c r="M21" s="94">
        <f>H21*$M$17*(1+G21*战斗公式!$E$39)</f>
        <v>38.095238095238095</v>
      </c>
      <c r="N21" s="100">
        <f>L21+M21</f>
        <v>300.59523809523807</v>
      </c>
      <c r="O21" s="68">
        <v>5</v>
      </c>
      <c r="P21" s="101"/>
      <c r="R21" s="68" t="s">
        <v>257</v>
      </c>
      <c r="S21" s="68" t="s">
        <v>156</v>
      </c>
      <c r="T21" s="68" t="str">
        <f t="shared" si="2"/>
        <v>0.9~1</v>
      </c>
      <c r="U21" s="94">
        <v>1</v>
      </c>
      <c r="V21" s="94">
        <f t="shared" si="3"/>
        <v>1</v>
      </c>
      <c r="W21" s="94">
        <f t="shared" si="4"/>
        <v>4</v>
      </c>
      <c r="X21" s="94">
        <f t="shared" si="5"/>
        <v>50</v>
      </c>
      <c r="Y21" s="94" t="str">
        <f t="shared" si="6"/>
        <v>2.5~3</v>
      </c>
      <c r="Z21" s="94">
        <v>2.8</v>
      </c>
      <c r="AA21" s="68">
        <f t="shared" si="7"/>
        <v>0.79800000000000004</v>
      </c>
      <c r="AB21" s="68" t="str">
        <f t="shared" si="8"/>
        <v>饼干12</v>
      </c>
      <c r="AC21" s="68" t="str">
        <f t="shared" si="9"/>
        <v>无</v>
      </c>
      <c r="AD21" s="106">
        <f t="shared" si="10"/>
        <v>0.4</v>
      </c>
      <c r="AE21" s="106">
        <f t="shared" si="11"/>
        <v>0.5</v>
      </c>
      <c r="AF21" s="106">
        <f t="shared" si="12"/>
        <v>0.25454545454545452</v>
      </c>
      <c r="AG21" s="106">
        <f t="shared" si="13"/>
        <v>1</v>
      </c>
      <c r="AH21" s="106">
        <f t="shared" si="1"/>
        <v>1</v>
      </c>
      <c r="AI21" s="106">
        <f t="shared" si="1"/>
        <v>0.9</v>
      </c>
      <c r="AJ21" s="68">
        <f t="shared" si="14"/>
        <v>0.79800000000000004</v>
      </c>
    </row>
    <row r="22" spans="3:36" ht="14.25" customHeight="1" x14ac:dyDescent="0.2">
      <c r="C22" s="68"/>
      <c r="D22" s="68" t="s">
        <v>95</v>
      </c>
      <c r="E22" s="68" t="s">
        <v>4</v>
      </c>
      <c r="F22" s="94">
        <f t="shared" si="19"/>
        <v>7.5757575757575752</v>
      </c>
      <c r="G22" s="68">
        <v>4</v>
      </c>
      <c r="H22" s="94">
        <f t="shared" si="20"/>
        <v>39.998400063997437</v>
      </c>
      <c r="I22" s="99">
        <v>0.4</v>
      </c>
      <c r="J22" s="99">
        <v>1.5</v>
      </c>
      <c r="K22" s="68">
        <v>1.1000000000000001</v>
      </c>
      <c r="L22" s="94">
        <f t="shared" si="21"/>
        <v>250</v>
      </c>
      <c r="M22" s="94">
        <f>H22*$M$17*(1+G22*战斗公式!$E$39)</f>
        <v>40</v>
      </c>
      <c r="N22" s="100">
        <f>L22+M22</f>
        <v>290</v>
      </c>
      <c r="O22" s="68">
        <v>5</v>
      </c>
      <c r="P22" s="101"/>
    </row>
    <row r="23" spans="3:36" ht="14.25" customHeight="1" x14ac:dyDescent="0.2">
      <c r="C23" s="68"/>
      <c r="D23" s="68" t="s">
        <v>96</v>
      </c>
      <c r="E23" s="68" t="s">
        <v>4</v>
      </c>
      <c r="F23" s="94">
        <f t="shared" si="19"/>
        <v>6.5972222222222223</v>
      </c>
      <c r="G23" s="68">
        <v>5</v>
      </c>
      <c r="H23" s="94">
        <f t="shared" si="20"/>
        <v>42.103157999994735</v>
      </c>
      <c r="I23" s="99">
        <v>0.4</v>
      </c>
      <c r="J23" s="99">
        <v>1.5</v>
      </c>
      <c r="K23" s="68">
        <v>1.2</v>
      </c>
      <c r="L23" s="94">
        <f t="shared" si="21"/>
        <v>237.5</v>
      </c>
      <c r="M23" s="94">
        <f>H23*$M$17*(1+G23*战斗公式!$E$39)</f>
        <v>42.10526315789474</v>
      </c>
      <c r="N23" s="100">
        <f t="shared" si="22"/>
        <v>279.60526315789474</v>
      </c>
      <c r="O23" s="68">
        <v>9</v>
      </c>
      <c r="P23" s="101"/>
    </row>
    <row r="24" spans="3:36" ht="14.25" customHeight="1" x14ac:dyDescent="0.2">
      <c r="C24" s="68"/>
      <c r="D24" s="68" t="s">
        <v>97</v>
      </c>
      <c r="E24" s="68" t="s">
        <v>5</v>
      </c>
      <c r="F24" s="94">
        <f t="shared" si="19"/>
        <v>3.3333333333333335</v>
      </c>
      <c r="G24" s="68">
        <v>2.5</v>
      </c>
      <c r="H24" s="94">
        <f t="shared" si="20"/>
        <v>55.554166701388027</v>
      </c>
      <c r="I24" s="99">
        <v>0.4</v>
      </c>
      <c r="J24" s="99">
        <v>1.5</v>
      </c>
      <c r="K24" s="68">
        <v>0.9</v>
      </c>
      <c r="L24" s="94">
        <f>F24*$L$17*(1+I24*(J24-1))*K24</f>
        <v>90.000000000000014</v>
      </c>
      <c r="M24" s="94">
        <f>H24*$M$17*(1+G24*战斗公式!$E$39)+$M$17*基础模型!$G$13*$L$17</f>
        <v>205.55555555555554</v>
      </c>
      <c r="N24" s="100">
        <f>L24+M24</f>
        <v>295.55555555555554</v>
      </c>
      <c r="O24" s="68">
        <v>3</v>
      </c>
      <c r="P24" s="101"/>
    </row>
    <row r="25" spans="3:36" ht="14.25" customHeight="1" x14ac:dyDescent="0.2"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3:36" ht="14.25" customHeight="1" x14ac:dyDescent="0.2">
      <c r="C26" s="96" t="s">
        <v>138</v>
      </c>
      <c r="D26" s="68"/>
      <c r="E26" s="99"/>
      <c r="F26" s="68" t="s">
        <v>143</v>
      </c>
      <c r="G26" s="94">
        <f>F16</f>
        <v>10</v>
      </c>
      <c r="H26" s="94">
        <f>G16</f>
        <v>100</v>
      </c>
      <c r="I26" s="94">
        <f>H16</f>
        <v>11</v>
      </c>
      <c r="J26" s="102">
        <v>0.4</v>
      </c>
      <c r="K26" s="102">
        <v>1.5</v>
      </c>
      <c r="L26" s="103">
        <v>1</v>
      </c>
      <c r="M26" s="68"/>
      <c r="N26" s="68"/>
      <c r="O26" s="68"/>
      <c r="P26" s="68"/>
    </row>
    <row r="27" spans="3:36" ht="14.25" customHeight="1" x14ac:dyDescent="0.2">
      <c r="C27" s="68"/>
      <c r="D27" s="96" t="s">
        <v>87</v>
      </c>
      <c r="E27" s="96" t="s">
        <v>88</v>
      </c>
      <c r="F27" s="96" t="s">
        <v>145</v>
      </c>
      <c r="G27" s="96" t="s">
        <v>13</v>
      </c>
      <c r="H27" s="96" t="s">
        <v>14</v>
      </c>
      <c r="I27" s="96" t="s">
        <v>139</v>
      </c>
      <c r="J27" s="96" t="s">
        <v>140</v>
      </c>
      <c r="K27" s="96" t="s">
        <v>141</v>
      </c>
      <c r="L27" s="96" t="s">
        <v>142</v>
      </c>
      <c r="M27" s="97" t="s">
        <v>168</v>
      </c>
      <c r="N27" s="68"/>
      <c r="O27" s="68"/>
      <c r="P27" s="68"/>
    </row>
    <row r="28" spans="3:36" ht="14.25" customHeight="1" x14ac:dyDescent="0.2">
      <c r="C28" s="68"/>
      <c r="D28" s="68" t="s">
        <v>68</v>
      </c>
      <c r="E28" s="68" t="s">
        <v>3</v>
      </c>
      <c r="F28" s="68" t="s">
        <v>14</v>
      </c>
      <c r="G28" s="94">
        <f>K10/G$26</f>
        <v>0.45</v>
      </c>
      <c r="H28" s="94">
        <f t="shared" ref="G28:H33" si="23">L10/H$26</f>
        <v>1.1111111111111112</v>
      </c>
      <c r="I28" s="94">
        <f>G19/I$26</f>
        <v>1</v>
      </c>
      <c r="J28" s="94">
        <f>0.05/J$26</f>
        <v>0.125</v>
      </c>
      <c r="K28" s="94">
        <f t="shared" ref="K28:L33" si="24">J19/K$26</f>
        <v>1</v>
      </c>
      <c r="L28" s="94">
        <f t="shared" si="24"/>
        <v>0.9</v>
      </c>
      <c r="M28" s="68">
        <v>0.75</v>
      </c>
      <c r="N28" s="104">
        <f>技能模板!J14</f>
        <v>3</v>
      </c>
      <c r="O28" s="68"/>
      <c r="P28" s="68"/>
    </row>
    <row r="29" spans="3:36" ht="14.25" customHeight="1" x14ac:dyDescent="0.2">
      <c r="C29" s="68"/>
      <c r="D29" s="68" t="s">
        <v>89</v>
      </c>
      <c r="E29" s="68" t="s">
        <v>3</v>
      </c>
      <c r="F29" s="68" t="s">
        <v>13</v>
      </c>
      <c r="G29" s="94">
        <f t="shared" si="23"/>
        <v>0.6</v>
      </c>
      <c r="H29" s="94">
        <f t="shared" si="23"/>
        <v>0.83333333333333326</v>
      </c>
      <c r="I29" s="94">
        <f t="shared" ref="I29:I33" si="25">G20/I$26</f>
        <v>0.81818181818181823</v>
      </c>
      <c r="J29" s="94">
        <f t="shared" ref="J29:J33" si="26">0.05/J$26</f>
        <v>0.125</v>
      </c>
      <c r="K29" s="94">
        <f t="shared" si="24"/>
        <v>1</v>
      </c>
      <c r="L29" s="94">
        <f t="shared" si="24"/>
        <v>0.95</v>
      </c>
      <c r="M29" s="68">
        <v>0.751</v>
      </c>
      <c r="N29" s="104">
        <f>技能模板!J15</f>
        <v>2.5198402130492674</v>
      </c>
      <c r="O29" s="68"/>
      <c r="P29" s="68"/>
    </row>
    <row r="30" spans="3:36" ht="14.25" customHeight="1" x14ac:dyDescent="0.2">
      <c r="C30" s="68"/>
      <c r="D30" s="68" t="s">
        <v>94</v>
      </c>
      <c r="E30" s="68" t="s">
        <v>4</v>
      </c>
      <c r="F30" s="68" t="s">
        <v>13</v>
      </c>
      <c r="G30" s="94">
        <f t="shared" si="23"/>
        <v>1.05</v>
      </c>
      <c r="H30" s="94">
        <f t="shared" si="23"/>
        <v>0.38095238095238093</v>
      </c>
      <c r="I30" s="94">
        <f t="shared" si="25"/>
        <v>0.27272727272727271</v>
      </c>
      <c r="J30" s="94">
        <f t="shared" si="26"/>
        <v>0.125</v>
      </c>
      <c r="K30" s="94">
        <f t="shared" si="24"/>
        <v>1</v>
      </c>
      <c r="L30" s="94">
        <f t="shared" si="24"/>
        <v>1</v>
      </c>
      <c r="M30" s="68">
        <v>0.8</v>
      </c>
      <c r="N30" s="104">
        <f>技能模板!J16</f>
        <v>4.9999999999999982</v>
      </c>
      <c r="O30" s="68"/>
      <c r="P30" s="68"/>
    </row>
    <row r="31" spans="3:36" ht="14.25" customHeight="1" x14ac:dyDescent="0.2">
      <c r="C31" s="68"/>
      <c r="D31" s="68" t="s">
        <v>95</v>
      </c>
      <c r="E31" s="68" t="s">
        <v>4</v>
      </c>
      <c r="F31" s="68" t="s">
        <v>13</v>
      </c>
      <c r="G31" s="94">
        <f t="shared" si="23"/>
        <v>1</v>
      </c>
      <c r="H31" s="94">
        <f t="shared" si="23"/>
        <v>0.4</v>
      </c>
      <c r="I31" s="94">
        <f t="shared" si="25"/>
        <v>0.36363636363636365</v>
      </c>
      <c r="J31" s="94">
        <f t="shared" si="26"/>
        <v>0.125</v>
      </c>
      <c r="K31" s="94">
        <f t="shared" si="24"/>
        <v>1</v>
      </c>
      <c r="L31" s="94">
        <f t="shared" si="24"/>
        <v>1.1000000000000001</v>
      </c>
      <c r="M31" s="68">
        <v>0.80500000000000005</v>
      </c>
      <c r="N31" s="104">
        <f>技能模板!J17</f>
        <v>3.9968944099378874</v>
      </c>
      <c r="O31" s="68"/>
      <c r="P31" s="68"/>
    </row>
    <row r="32" spans="3:36" ht="14.25" customHeight="1" x14ac:dyDescent="0.2">
      <c r="C32" s="68"/>
      <c r="D32" s="68" t="s">
        <v>96</v>
      </c>
      <c r="E32" s="68" t="s">
        <v>4</v>
      </c>
      <c r="F32" s="68" t="s">
        <v>13</v>
      </c>
      <c r="G32" s="94">
        <f t="shared" si="23"/>
        <v>0.95</v>
      </c>
      <c r="H32" s="94">
        <f t="shared" si="23"/>
        <v>0.4210526315789474</v>
      </c>
      <c r="I32" s="94">
        <f t="shared" si="25"/>
        <v>0.45454545454545453</v>
      </c>
      <c r="J32" s="94">
        <f t="shared" si="26"/>
        <v>0.125</v>
      </c>
      <c r="K32" s="94">
        <f t="shared" si="24"/>
        <v>1</v>
      </c>
      <c r="L32" s="94">
        <f t="shared" si="24"/>
        <v>1.2</v>
      </c>
      <c r="M32" s="68">
        <v>0.77400000000000002</v>
      </c>
      <c r="N32" s="104">
        <f>技能模板!J18</f>
        <v>3.5038759689922472</v>
      </c>
      <c r="O32" s="68"/>
      <c r="P32" s="68"/>
    </row>
    <row r="33" spans="3:16" ht="14.25" customHeight="1" x14ac:dyDescent="0.2">
      <c r="C33" s="68"/>
      <c r="D33" s="68" t="s">
        <v>97</v>
      </c>
      <c r="E33" s="68" t="s">
        <v>5</v>
      </c>
      <c r="F33" s="68" t="s">
        <v>148</v>
      </c>
      <c r="G33" s="94">
        <f t="shared" si="23"/>
        <v>0.36</v>
      </c>
      <c r="H33" s="94">
        <f t="shared" si="23"/>
        <v>0.55555555555555558</v>
      </c>
      <c r="I33" s="94">
        <f t="shared" si="25"/>
        <v>0.22727272727272727</v>
      </c>
      <c r="J33" s="94">
        <f t="shared" si="26"/>
        <v>0.125</v>
      </c>
      <c r="K33" s="94">
        <f t="shared" si="24"/>
        <v>1</v>
      </c>
      <c r="L33" s="94">
        <f t="shared" si="24"/>
        <v>0.9</v>
      </c>
      <c r="M33" s="68">
        <v>0.79800000000000004</v>
      </c>
      <c r="N33" s="104">
        <f>技能模板!J19</f>
        <v>2.5060150375939845</v>
      </c>
      <c r="O33" s="68"/>
      <c r="P33" s="68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G7" sqref="G7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07" t="s">
        <v>111</v>
      </c>
      <c r="B1" s="108"/>
      <c r="AB1" s="1" t="s">
        <v>151</v>
      </c>
      <c r="AC1" s="1">
        <v>1</v>
      </c>
      <c r="AD1" s="9">
        <v>4612980.6323862216</v>
      </c>
    </row>
    <row r="2" spans="1:35" ht="14.25" customHeight="1" x14ac:dyDescent="0.2">
      <c r="A2" s="109"/>
      <c r="B2" s="110"/>
      <c r="AB2" s="1" t="s">
        <v>151</v>
      </c>
      <c r="AC2" s="1">
        <v>2</v>
      </c>
      <c r="AD2" s="9">
        <v>4508614.5547304247</v>
      </c>
    </row>
    <row r="3" spans="1:35" ht="14.25" customHeight="1" x14ac:dyDescent="0.2">
      <c r="C3" s="3" t="s">
        <v>113</v>
      </c>
      <c r="D3" s="2" t="s">
        <v>183</v>
      </c>
      <c r="AB3" s="1" t="s">
        <v>152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66</v>
      </c>
      <c r="E4" s="3" t="s">
        <v>114</v>
      </c>
      <c r="F4" s="3" t="s">
        <v>316</v>
      </c>
      <c r="G4" s="1"/>
      <c r="H4" s="81" t="s">
        <v>161</v>
      </c>
      <c r="I4" s="14"/>
      <c r="J4" s="2" t="s">
        <v>315</v>
      </c>
      <c r="K4" s="1"/>
      <c r="L4" s="1"/>
      <c r="M4" s="1"/>
      <c r="N4" s="1"/>
      <c r="O4" s="1"/>
      <c r="AB4" s="1" t="s">
        <v>152</v>
      </c>
      <c r="AC4" s="1">
        <v>4</v>
      </c>
      <c r="AD4" s="9">
        <v>4445994.9081369452</v>
      </c>
    </row>
    <row r="5" spans="1:35" ht="14.25" customHeight="1" x14ac:dyDescent="0.2">
      <c r="D5" s="1" t="s">
        <v>115</v>
      </c>
      <c r="E5" s="1">
        <v>30</v>
      </c>
      <c r="F5" s="23">
        <f>E5/SUM($E$5:$E$8)</f>
        <v>0.3</v>
      </c>
      <c r="H5" s="82">
        <f>E5/SUM($E$5:$E$7)</f>
        <v>0.35294117647058826</v>
      </c>
      <c r="I5" s="83"/>
      <c r="J5" s="19"/>
      <c r="K5" s="19"/>
      <c r="L5" s="19"/>
      <c r="M5" s="19"/>
      <c r="N5" s="19"/>
      <c r="AB5" s="1" t="s">
        <v>153</v>
      </c>
      <c r="AC5" s="1">
        <v>5</v>
      </c>
      <c r="AD5" s="9">
        <v>5449698.3863924081</v>
      </c>
    </row>
    <row r="6" spans="1:35" ht="14.25" customHeight="1" x14ac:dyDescent="0.2">
      <c r="D6" s="1" t="s">
        <v>175</v>
      </c>
      <c r="E6" s="1">
        <v>30</v>
      </c>
      <c r="F6" s="23">
        <f>E6/SUM($E$5:$E$8)</f>
        <v>0.3</v>
      </c>
      <c r="G6" s="4">
        <f>F6/F5</f>
        <v>1</v>
      </c>
      <c r="H6" s="82">
        <f t="shared" ref="H6:H7" si="0">E6/SUM($E$5:$E$7)</f>
        <v>0.35294117647058826</v>
      </c>
      <c r="I6" s="84">
        <f>H6/H5</f>
        <v>1</v>
      </c>
      <c r="J6" s="33"/>
      <c r="K6" s="33"/>
      <c r="AB6" s="1" t="s">
        <v>153</v>
      </c>
      <c r="AC6" s="1">
        <v>6</v>
      </c>
      <c r="AD6" s="9">
        <v>5260050.3138521584</v>
      </c>
    </row>
    <row r="7" spans="1:35" ht="14.25" customHeight="1" x14ac:dyDescent="0.2">
      <c r="D7" s="1" t="s">
        <v>116</v>
      </c>
      <c r="E7" s="1">
        <v>25</v>
      </c>
      <c r="F7" s="23">
        <f>E7/SUM($E$5:$E$8)</f>
        <v>0.25</v>
      </c>
      <c r="G7" s="4">
        <f>F7/SUM($F$5:$F$6)</f>
        <v>0.41666666666666669</v>
      </c>
      <c r="H7" s="82">
        <f t="shared" si="0"/>
        <v>0.29411764705882354</v>
      </c>
      <c r="I7" s="84">
        <f>H7/SUM($H$5:$H$6)</f>
        <v>0.41666666666666663</v>
      </c>
      <c r="J7" s="33"/>
      <c r="K7" s="33"/>
      <c r="O7" s="1">
        <v>1.05</v>
      </c>
      <c r="AB7" s="1" t="s">
        <v>154</v>
      </c>
      <c r="AC7" s="1">
        <v>7</v>
      </c>
      <c r="AD7" s="9">
        <v>5111015.5549596818</v>
      </c>
    </row>
    <row r="8" spans="1:35" ht="14.25" customHeight="1" x14ac:dyDescent="0.2">
      <c r="D8" s="1" t="s">
        <v>117</v>
      </c>
      <c r="E8" s="1">
        <v>15</v>
      </c>
      <c r="F8" s="23">
        <f>E8/SUM($E$5:$E$8)</f>
        <v>0.15</v>
      </c>
      <c r="G8" s="4">
        <f>F8/SUM($F$5:$F$6)</f>
        <v>0.25</v>
      </c>
      <c r="H8" s="14"/>
      <c r="I8" s="85"/>
      <c r="J8" s="33"/>
      <c r="K8" s="33"/>
      <c r="O8" s="6">
        <f>POWER(O7,99)</f>
        <v>125.23929318695586</v>
      </c>
      <c r="AB8" s="1" t="s">
        <v>154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155</v>
      </c>
      <c r="AC9" s="1">
        <v>9</v>
      </c>
      <c r="AD9" s="9">
        <v>5037497.4251931254</v>
      </c>
    </row>
    <row r="10" spans="1:35" ht="14.25" customHeight="1" x14ac:dyDescent="0.2">
      <c r="E10" s="2" t="s">
        <v>106</v>
      </c>
      <c r="P10" s="25"/>
      <c r="AB10" s="1" t="s">
        <v>155</v>
      </c>
      <c r="AC10" s="1">
        <v>10</v>
      </c>
      <c r="AD10" s="9">
        <v>4892681.7205037549</v>
      </c>
    </row>
    <row r="11" spans="1:35" ht="14.25" customHeight="1" x14ac:dyDescent="0.2">
      <c r="E11" s="2" t="s">
        <v>107</v>
      </c>
      <c r="AB11" s="1" t="s">
        <v>156</v>
      </c>
      <c r="AC11" s="1">
        <v>11</v>
      </c>
      <c r="AD11" s="9">
        <v>3788488.6189054241</v>
      </c>
    </row>
    <row r="12" spans="1:35" ht="14.25" customHeight="1" x14ac:dyDescent="0.2">
      <c r="E12" s="2" t="s">
        <v>108</v>
      </c>
      <c r="K12" s="2" t="s">
        <v>119</v>
      </c>
      <c r="AB12" s="1" t="s">
        <v>156</v>
      </c>
      <c r="AC12" s="1">
        <v>12</v>
      </c>
      <c r="AD12" s="9">
        <v>3945037.7353891199</v>
      </c>
    </row>
    <row r="13" spans="1:35" ht="14.25" customHeight="1" x14ac:dyDescent="0.2">
      <c r="C13" s="3" t="s">
        <v>162</v>
      </c>
      <c r="D13" s="2" t="s">
        <v>191</v>
      </c>
      <c r="E13" s="2"/>
      <c r="L13" s="2"/>
      <c r="R13" s="3" t="s">
        <v>163</v>
      </c>
      <c r="S13" s="1" t="s">
        <v>246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126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1">
        <f>MAX($U$18:$U$117)</f>
        <v>513303.34971270675</v>
      </c>
      <c r="V15" s="31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5">
        <v>1.05</v>
      </c>
      <c r="F16" s="25">
        <v>1.05</v>
      </c>
      <c r="G16" s="25">
        <v>1.05</v>
      </c>
      <c r="L16" s="1">
        <v>0.7</v>
      </c>
      <c r="N16" s="31">
        <v>100000</v>
      </c>
      <c r="T16" s="1">
        <f>T18*H5</f>
        <v>82.720588235294116</v>
      </c>
      <c r="U16" s="20">
        <f>U18*F5</f>
        <v>2479.5437639474335</v>
      </c>
      <c r="W16" s="19">
        <f>角色设定!J26</f>
        <v>0.4</v>
      </c>
      <c r="X16" s="19">
        <f>角色设定!K26</f>
        <v>1.5</v>
      </c>
      <c r="AE16" s="21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164</v>
      </c>
      <c r="E17" s="1" t="s">
        <v>13</v>
      </c>
      <c r="F17" s="1" t="s">
        <v>14</v>
      </c>
      <c r="G17" s="1" t="s">
        <v>33</v>
      </c>
      <c r="H17" s="1" t="s">
        <v>35</v>
      </c>
      <c r="I17" s="1" t="s">
        <v>84</v>
      </c>
      <c r="J17" s="1" t="s">
        <v>11</v>
      </c>
      <c r="L17" s="1" t="s">
        <v>32</v>
      </c>
      <c r="M17" s="1" t="s">
        <v>34</v>
      </c>
      <c r="N17" s="1" t="s">
        <v>33</v>
      </c>
      <c r="O17" s="1" t="s">
        <v>35</v>
      </c>
      <c r="P17" s="1" t="s">
        <v>84</v>
      </c>
      <c r="Q17" s="1" t="s">
        <v>11</v>
      </c>
      <c r="S17" s="1" t="s">
        <v>164</v>
      </c>
      <c r="T17" s="1" t="s">
        <v>165</v>
      </c>
      <c r="U17" s="1" t="s">
        <v>166</v>
      </c>
      <c r="V17" s="1" t="s">
        <v>139</v>
      </c>
      <c r="W17" s="1" t="s">
        <v>140</v>
      </c>
      <c r="X17" s="1" t="s">
        <v>141</v>
      </c>
      <c r="Y17" s="1" t="s">
        <v>142</v>
      </c>
      <c r="Z17" s="1" t="s">
        <v>168</v>
      </c>
      <c r="AE17" s="1" t="s">
        <v>169</v>
      </c>
      <c r="AF17" s="1" t="s">
        <v>170</v>
      </c>
      <c r="AH17" s="1" t="s">
        <v>171</v>
      </c>
      <c r="AI17" s="1" t="s">
        <v>172</v>
      </c>
      <c r="AJ17" s="1" t="s">
        <v>173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5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5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1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5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5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1">
        <f t="shared" ref="AE19:AE82" si="12">AC19+AD19</f>
        <v>15394.53125</v>
      </c>
      <c r="AF19" s="21">
        <f>AE19-AE18</f>
        <v>733.07291666666606</v>
      </c>
      <c r="AG19" s="21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5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5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1">
        <f t="shared" si="12"/>
        <v>16164.2578125</v>
      </c>
      <c r="AF20" s="21">
        <f t="shared" ref="AF20:AF83" si="16">AE20-AE19</f>
        <v>769.7265625</v>
      </c>
      <c r="AG20" s="21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5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5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1">
        <f t="shared" si="12"/>
        <v>16972.470703125</v>
      </c>
      <c r="AF21" s="21">
        <f t="shared" si="16"/>
        <v>808.212890625</v>
      </c>
      <c r="AG21" s="21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5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5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1">
        <f t="shared" si="12"/>
        <v>17821.09423828125</v>
      </c>
      <c r="AF22" s="21">
        <f t="shared" si="16"/>
        <v>848.62353515625</v>
      </c>
      <c r="AG22" s="21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5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5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1">
        <f t="shared" si="12"/>
        <v>18712.148950195318</v>
      </c>
      <c r="AF23" s="21">
        <f t="shared" si="16"/>
        <v>891.05471191406832</v>
      </c>
      <c r="AG23" s="21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5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5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1">
        <f t="shared" si="12"/>
        <v>19647.756397705081</v>
      </c>
      <c r="AF24" s="21">
        <f t="shared" si="16"/>
        <v>935.60744750976301</v>
      </c>
      <c r="AG24" s="21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1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5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5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1">
        <f t="shared" si="12"/>
        <v>20630.144217590336</v>
      </c>
      <c r="AF25" s="21">
        <f t="shared" si="16"/>
        <v>982.38781988525443</v>
      </c>
      <c r="AG25" s="21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1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5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5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1">
        <f t="shared" si="12"/>
        <v>21661.65142846985</v>
      </c>
      <c r="AF26" s="21">
        <f t="shared" si="16"/>
        <v>1031.5072108795139</v>
      </c>
      <c r="AG26" s="21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1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5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5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1">
        <f t="shared" si="12"/>
        <v>22744.733999893342</v>
      </c>
      <c r="AF27" s="21">
        <f t="shared" si="16"/>
        <v>1083.0825714234925</v>
      </c>
      <c r="AG27" s="21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1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5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5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1">
        <f t="shared" si="12"/>
        <v>23881.970699888014</v>
      </c>
      <c r="AF28" s="21">
        <f t="shared" si="16"/>
        <v>1137.2366999946717</v>
      </c>
      <c r="AG28" s="21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1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5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5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1">
        <f t="shared" si="12"/>
        <v>25076.069234882416</v>
      </c>
      <c r="AF29" s="21">
        <f t="shared" si="16"/>
        <v>1194.0985349944021</v>
      </c>
      <c r="AG29" s="21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1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5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5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1">
        <f t="shared" si="12"/>
        <v>26329.872696626531</v>
      </c>
      <c r="AF30" s="21">
        <f t="shared" si="16"/>
        <v>1253.8034617441153</v>
      </c>
      <c r="AG30" s="21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5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5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1">
        <f t="shared" si="12"/>
        <v>27646.366331457866</v>
      </c>
      <c r="AF31" s="21">
        <f t="shared" si="16"/>
        <v>1316.4936348313349</v>
      </c>
      <c r="AG31" s="21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5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5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1">
        <f t="shared" si="12"/>
        <v>29028.684648030747</v>
      </c>
      <c r="AF32" s="21">
        <f t="shared" si="16"/>
        <v>1382.3183165728806</v>
      </c>
      <c r="AG32" s="21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5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5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1">
        <f t="shared" si="12"/>
        <v>30480.118880432296</v>
      </c>
      <c r="AF33" s="21">
        <f t="shared" si="16"/>
        <v>1451.4342324015488</v>
      </c>
      <c r="AG33" s="21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5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5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1">
        <f t="shared" si="12"/>
        <v>32004.124824453906</v>
      </c>
      <c r="AF34" s="21">
        <f t="shared" si="16"/>
        <v>1524.00594402161</v>
      </c>
      <c r="AG34" s="21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5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5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1">
        <f t="shared" si="12"/>
        <v>33604.331065676612</v>
      </c>
      <c r="AF35" s="21">
        <f t="shared" si="16"/>
        <v>1600.206241222706</v>
      </c>
      <c r="AG35" s="21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5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5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1">
        <f t="shared" si="12"/>
        <v>35284.547618960438</v>
      </c>
      <c r="AF36" s="21">
        <f t="shared" si="16"/>
        <v>1680.2165532838262</v>
      </c>
      <c r="AG36" s="21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5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5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1">
        <f t="shared" si="12"/>
        <v>37048.774999908463</v>
      </c>
      <c r="AF37" s="21">
        <f t="shared" si="16"/>
        <v>1764.2273809480248</v>
      </c>
      <c r="AG37" s="21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5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5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1">
        <f t="shared" si="12"/>
        <v>38901.21374990388</v>
      </c>
      <c r="AF38" s="21">
        <f t="shared" si="16"/>
        <v>1852.4387499954173</v>
      </c>
      <c r="AG38" s="21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5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5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1">
        <f t="shared" si="12"/>
        <v>40846.274437399072</v>
      </c>
      <c r="AF39" s="21">
        <f t="shared" si="16"/>
        <v>1945.0606874951918</v>
      </c>
      <c r="AG39" s="21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5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5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1">
        <f t="shared" si="12"/>
        <v>42888.588159269013</v>
      </c>
      <c r="AF40" s="21">
        <f t="shared" si="16"/>
        <v>2042.3137218699412</v>
      </c>
      <c r="AG40" s="21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5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5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1">
        <f t="shared" si="12"/>
        <v>45033.017567232484</v>
      </c>
      <c r="AF41" s="21">
        <f t="shared" si="16"/>
        <v>2144.429407963471</v>
      </c>
      <c r="AG41" s="21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5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5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1">
        <f t="shared" si="12"/>
        <v>47284.668445594107</v>
      </c>
      <c r="AF42" s="21">
        <f t="shared" si="16"/>
        <v>2251.6508783616227</v>
      </c>
      <c r="AG42" s="21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5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5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1">
        <f t="shared" si="12"/>
        <v>49648.901867873807</v>
      </c>
      <c r="AF43" s="21">
        <f t="shared" si="16"/>
        <v>2364.2334222796999</v>
      </c>
      <c r="AG43" s="21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5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5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1">
        <f t="shared" si="12"/>
        <v>52131.346961267496</v>
      </c>
      <c r="AF44" s="21">
        <f t="shared" si="16"/>
        <v>2482.4450933936896</v>
      </c>
      <c r="AG44" s="21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5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5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1">
        <f t="shared" si="12"/>
        <v>54737.914309330881</v>
      </c>
      <c r="AF45" s="21">
        <f t="shared" si="16"/>
        <v>2606.567348063385</v>
      </c>
      <c r="AG45" s="21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5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5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1">
        <f t="shared" si="12"/>
        <v>57474.810024797422</v>
      </c>
      <c r="AF46" s="21">
        <f t="shared" si="16"/>
        <v>2736.8957154665404</v>
      </c>
      <c r="AG46" s="21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5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5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1">
        <f t="shared" si="12"/>
        <v>60348.550526037296</v>
      </c>
      <c r="AF47" s="21">
        <f t="shared" si="16"/>
        <v>2873.740501239874</v>
      </c>
      <c r="AG47" s="21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5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5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1">
        <f t="shared" si="12"/>
        <v>63365.978052339138</v>
      </c>
      <c r="AF48" s="21">
        <f t="shared" si="16"/>
        <v>3017.4275263018426</v>
      </c>
      <c r="AG48" s="21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5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5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1">
        <f t="shared" si="12"/>
        <v>66534.276954956134</v>
      </c>
      <c r="AF49" s="21">
        <f t="shared" si="16"/>
        <v>3168.2989026169962</v>
      </c>
      <c r="AG49" s="21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5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5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1">
        <f t="shared" si="12"/>
        <v>69860.990802703935</v>
      </c>
      <c r="AF50" s="21">
        <f t="shared" si="16"/>
        <v>3326.7138477478002</v>
      </c>
      <c r="AG50" s="21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5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5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1">
        <f t="shared" si="12"/>
        <v>73354.040342839129</v>
      </c>
      <c r="AF51" s="21">
        <f t="shared" si="16"/>
        <v>3493.0495401351945</v>
      </c>
      <c r="AG51" s="21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5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5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1">
        <f t="shared" si="12"/>
        <v>77021.742359981072</v>
      </c>
      <c r="AF52" s="21">
        <f t="shared" si="16"/>
        <v>3667.7020171419426</v>
      </c>
      <c r="AG52" s="21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5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5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1">
        <f t="shared" si="12"/>
        <v>80872.829477980151</v>
      </c>
      <c r="AF53" s="21">
        <f t="shared" si="16"/>
        <v>3851.0871179990791</v>
      </c>
      <c r="AG53" s="21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5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5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1">
        <f t="shared" si="12"/>
        <v>84916.470951879135</v>
      </c>
      <c r="AF54" s="21">
        <f t="shared" si="16"/>
        <v>4043.6414738989843</v>
      </c>
      <c r="AG54" s="21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5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5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1">
        <f t="shared" si="12"/>
        <v>89162.294499473093</v>
      </c>
      <c r="AF55" s="21">
        <f t="shared" si="16"/>
        <v>4245.8235475939582</v>
      </c>
      <c r="AG55" s="21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5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5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1">
        <f t="shared" si="12"/>
        <v>93620.409224446747</v>
      </c>
      <c r="AF56" s="21">
        <f t="shared" si="16"/>
        <v>4458.1147249736532</v>
      </c>
      <c r="AG56" s="21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5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5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1">
        <f t="shared" si="12"/>
        <v>98301.429685669107</v>
      </c>
      <c r="AF57" s="21">
        <f t="shared" si="16"/>
        <v>4681.0204612223606</v>
      </c>
      <c r="AG57" s="21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5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5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1">
        <f t="shared" si="12"/>
        <v>103216.50116995255</v>
      </c>
      <c r="AF58" s="21">
        <f t="shared" si="16"/>
        <v>4915.0714842834423</v>
      </c>
      <c r="AG58" s="21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5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5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1">
        <f t="shared" si="12"/>
        <v>108377.32622845017</v>
      </c>
      <c r="AF59" s="21">
        <f t="shared" si="16"/>
        <v>5160.8250584976195</v>
      </c>
      <c r="AG59" s="21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5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5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1">
        <f t="shared" si="12"/>
        <v>113796.19253987269</v>
      </c>
      <c r="AF60" s="21">
        <f t="shared" si="16"/>
        <v>5418.8663114225201</v>
      </c>
      <c r="AG60" s="21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5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5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1">
        <f t="shared" si="12"/>
        <v>119486.00216686635</v>
      </c>
      <c r="AF61" s="21">
        <f t="shared" si="16"/>
        <v>5689.809626993665</v>
      </c>
      <c r="AG61" s="21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5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5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1">
        <f t="shared" si="12"/>
        <v>125460.3022752096</v>
      </c>
      <c r="AF62" s="21">
        <f t="shared" si="16"/>
        <v>5974.3001083432464</v>
      </c>
      <c r="AG62" s="21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5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5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1">
        <f t="shared" si="12"/>
        <v>131733.31738897014</v>
      </c>
      <c r="AF63" s="21">
        <f t="shared" si="16"/>
        <v>6273.0151137605426</v>
      </c>
      <c r="AG63" s="21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5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5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1">
        <f t="shared" si="12"/>
        <v>138319.98325841862</v>
      </c>
      <c r="AF64" s="21">
        <f t="shared" si="16"/>
        <v>6586.6658694484795</v>
      </c>
      <c r="AG64" s="21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5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5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1">
        <f t="shared" si="12"/>
        <v>145235.98242133961</v>
      </c>
      <c r="AF65" s="21">
        <f t="shared" si="16"/>
        <v>6915.9991629209835</v>
      </c>
      <c r="AG65" s="21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5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5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1">
        <f t="shared" si="12"/>
        <v>152497.78154240653</v>
      </c>
      <c r="AF66" s="21">
        <f t="shared" si="16"/>
        <v>7261.7991210669279</v>
      </c>
      <c r="AG66" s="21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5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5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1">
        <f t="shared" si="12"/>
        <v>160122.67061952691</v>
      </c>
      <c r="AF67" s="21">
        <f t="shared" si="16"/>
        <v>7624.8890771203733</v>
      </c>
      <c r="AG67" s="21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5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5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1">
        <f t="shared" si="12"/>
        <v>168128.80415050325</v>
      </c>
      <c r="AF68" s="21">
        <f t="shared" si="16"/>
        <v>8006.1335309763381</v>
      </c>
      <c r="AG68" s="21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5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5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1">
        <f t="shared" si="12"/>
        <v>176535.2443580284</v>
      </c>
      <c r="AF69" s="21">
        <f t="shared" si="16"/>
        <v>8406.4402075251564</v>
      </c>
      <c r="AG69" s="21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5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5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1">
        <f t="shared" si="12"/>
        <v>185362.00657592982</v>
      </c>
      <c r="AF70" s="21">
        <f t="shared" si="16"/>
        <v>8826.7622179014143</v>
      </c>
      <c r="AG70" s="21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5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5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1">
        <f t="shared" si="12"/>
        <v>194630.1069047263</v>
      </c>
      <c r="AF71" s="21">
        <f t="shared" si="16"/>
        <v>9268.100328796485</v>
      </c>
      <c r="AG71" s="21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5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5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1">
        <f t="shared" si="12"/>
        <v>204361.61224996261</v>
      </c>
      <c r="AF72" s="21">
        <f t="shared" si="16"/>
        <v>9731.5053452363063</v>
      </c>
      <c r="AG72" s="21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5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5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1">
        <f t="shared" si="12"/>
        <v>214579.6928624608</v>
      </c>
      <c r="AF73" s="21">
        <f t="shared" si="16"/>
        <v>10218.08061249819</v>
      </c>
      <c r="AG73" s="21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5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5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1">
        <f t="shared" si="12"/>
        <v>225308.67750558374</v>
      </c>
      <c r="AF74" s="21">
        <f t="shared" si="16"/>
        <v>10728.984643122938</v>
      </c>
      <c r="AG74" s="21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5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5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1">
        <f t="shared" si="12"/>
        <v>236574.11138086297</v>
      </c>
      <c r="AF75" s="21">
        <f t="shared" si="16"/>
        <v>11265.433875279239</v>
      </c>
      <c r="AG75" s="21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5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5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1">
        <f t="shared" si="12"/>
        <v>248402.81694990618</v>
      </c>
      <c r="AF76" s="21">
        <f t="shared" si="16"/>
        <v>11828.705569043203</v>
      </c>
      <c r="AG76" s="21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5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5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1">
        <f t="shared" si="12"/>
        <v>260822.95779740153</v>
      </c>
      <c r="AF77" s="21">
        <f t="shared" si="16"/>
        <v>12420.14084749535</v>
      </c>
      <c r="AG77" s="21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5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5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1">
        <f t="shared" si="12"/>
        <v>273864.10568727151</v>
      </c>
      <c r="AF78" s="21">
        <f t="shared" si="16"/>
        <v>13041.147889869986</v>
      </c>
      <c r="AG78" s="21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5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5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1">
        <f t="shared" si="12"/>
        <v>287557.31097163516</v>
      </c>
      <c r="AF79" s="21">
        <f t="shared" si="16"/>
        <v>13693.205284363648</v>
      </c>
      <c r="AG79" s="21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5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5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1">
        <f t="shared" si="12"/>
        <v>301935.17652021686</v>
      </c>
      <c r="AF80" s="21">
        <f t="shared" si="16"/>
        <v>14377.8655485817</v>
      </c>
      <c r="AG80" s="21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5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5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1">
        <f t="shared" si="12"/>
        <v>317031.93534622772</v>
      </c>
      <c r="AF81" s="21">
        <f t="shared" si="16"/>
        <v>15096.758826010861</v>
      </c>
      <c r="AG81" s="21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5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5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1">
        <f t="shared" si="12"/>
        <v>332883.53211353911</v>
      </c>
      <c r="AF82" s="21">
        <f t="shared" si="16"/>
        <v>15851.596767311392</v>
      </c>
      <c r="AG82" s="21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5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5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1">
        <f t="shared" ref="AE83:AE117" si="35">AC83+AD83</f>
        <v>349527.70871921617</v>
      </c>
      <c r="AF83" s="21">
        <f t="shared" si="16"/>
        <v>16644.176605677058</v>
      </c>
      <c r="AG83" s="21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5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5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1">
        <f t="shared" si="35"/>
        <v>367004.09415517689</v>
      </c>
      <c r="AF84" s="21">
        <f t="shared" ref="AF84:AF117" si="39">AE84-AE83</f>
        <v>17476.385435960721</v>
      </c>
      <c r="AG84" s="21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5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5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1">
        <f t="shared" si="35"/>
        <v>385354.2988629358</v>
      </c>
      <c r="AF85" s="21">
        <f t="shared" si="39"/>
        <v>18350.204707758909</v>
      </c>
      <c r="AG85" s="21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5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5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1">
        <f t="shared" si="35"/>
        <v>404622.01380608254</v>
      </c>
      <c r="AF86" s="21">
        <f t="shared" si="39"/>
        <v>19267.714943146741</v>
      </c>
      <c r="AG86" s="21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5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5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1">
        <f t="shared" si="35"/>
        <v>424853.11449638667</v>
      </c>
      <c r="AF87" s="21">
        <f t="shared" si="39"/>
        <v>20231.100690304127</v>
      </c>
      <c r="AG87" s="21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5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5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1">
        <f t="shared" si="35"/>
        <v>446095.77022120601</v>
      </c>
      <c r="AF88" s="21">
        <f t="shared" si="39"/>
        <v>21242.655724819342</v>
      </c>
      <c r="AG88" s="21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5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5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1">
        <f t="shared" si="35"/>
        <v>468400.55873226636</v>
      </c>
      <c r="AF89" s="21">
        <f t="shared" si="39"/>
        <v>22304.788511060353</v>
      </c>
      <c r="AG89" s="21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5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5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1">
        <f t="shared" si="35"/>
        <v>491820.58666887973</v>
      </c>
      <c r="AF90" s="21">
        <f t="shared" si="39"/>
        <v>23420.027936613362</v>
      </c>
      <c r="AG90" s="21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5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5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1">
        <f t="shared" si="35"/>
        <v>516411.61600232357</v>
      </c>
      <c r="AF91" s="21">
        <f t="shared" si="39"/>
        <v>24591.029333443847</v>
      </c>
      <c r="AG91" s="21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5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5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1">
        <f t="shared" si="35"/>
        <v>542232.19680243975</v>
      </c>
      <c r="AF92" s="21">
        <f t="shared" si="39"/>
        <v>25820.580800116179</v>
      </c>
      <c r="AG92" s="21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5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5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1">
        <f t="shared" si="35"/>
        <v>569343.8066425618</v>
      </c>
      <c r="AF93" s="21">
        <f t="shared" si="39"/>
        <v>27111.609840122052</v>
      </c>
      <c r="AG93" s="21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5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5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1">
        <f t="shared" si="35"/>
        <v>597810.99697468989</v>
      </c>
      <c r="AF94" s="21">
        <f t="shared" si="39"/>
        <v>28467.190332128084</v>
      </c>
      <c r="AG94" s="21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5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5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1">
        <f t="shared" si="35"/>
        <v>627701.54682342452</v>
      </c>
      <c r="AF95" s="21">
        <f t="shared" si="39"/>
        <v>29890.549848734634</v>
      </c>
      <c r="AG95" s="21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5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5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1">
        <f t="shared" si="35"/>
        <v>659086.6241645955</v>
      </c>
      <c r="AF96" s="21">
        <f t="shared" si="39"/>
        <v>31385.077341170982</v>
      </c>
      <c r="AG96" s="21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5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5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1">
        <f t="shared" si="35"/>
        <v>692040.9553728255</v>
      </c>
      <c r="AF97" s="21">
        <f t="shared" si="39"/>
        <v>32954.331208229996</v>
      </c>
      <c r="AG97" s="21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5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5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1">
        <f t="shared" si="35"/>
        <v>726643.00314146676</v>
      </c>
      <c r="AF98" s="21">
        <f t="shared" si="39"/>
        <v>34602.047768641263</v>
      </c>
      <c r="AG98" s="21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5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5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1">
        <f t="shared" si="35"/>
        <v>762975.15329854016</v>
      </c>
      <c r="AF99" s="21">
        <f t="shared" si="39"/>
        <v>36332.150157073396</v>
      </c>
      <c r="AG99" s="21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5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5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1">
        <f t="shared" si="35"/>
        <v>801123.91096346732</v>
      </c>
      <c r="AF100" s="21">
        <f t="shared" si="39"/>
        <v>38148.757664927165</v>
      </c>
      <c r="AG100" s="21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5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5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1">
        <f t="shared" si="35"/>
        <v>841180.10651164036</v>
      </c>
      <c r="AF101" s="21">
        <f t="shared" si="39"/>
        <v>40056.19554817304</v>
      </c>
      <c r="AG101" s="21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5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5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1">
        <f t="shared" si="35"/>
        <v>883239.11183722271</v>
      </c>
      <c r="AF102" s="21">
        <f t="shared" si="39"/>
        <v>42059.005325582344</v>
      </c>
      <c r="AG102" s="21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5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5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1">
        <f t="shared" si="35"/>
        <v>927401.06742908363</v>
      </c>
      <c r="AF103" s="21">
        <f t="shared" si="39"/>
        <v>44161.955591860926</v>
      </c>
      <c r="AG103" s="21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5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5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1">
        <f t="shared" si="35"/>
        <v>973771.12080053776</v>
      </c>
      <c r="AF104" s="21">
        <f t="shared" si="39"/>
        <v>46370.053371454123</v>
      </c>
      <c r="AG104" s="21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5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5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1">
        <f t="shared" si="35"/>
        <v>1022459.6768405649</v>
      </c>
      <c r="AF105" s="21">
        <f t="shared" si="39"/>
        <v>48688.556040027179</v>
      </c>
      <c r="AG105" s="21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5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5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1">
        <f t="shared" si="35"/>
        <v>1073582.6606825928</v>
      </c>
      <c r="AF106" s="21">
        <f t="shared" si="39"/>
        <v>51122.983842027839</v>
      </c>
      <c r="AG106" s="21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5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5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1">
        <f t="shared" si="35"/>
        <v>1127261.7937167226</v>
      </c>
      <c r="AF107" s="21">
        <f t="shared" si="39"/>
        <v>53679.13303412986</v>
      </c>
      <c r="AG107" s="21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5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5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1">
        <f t="shared" si="35"/>
        <v>1183624.883402559</v>
      </c>
      <c r="AF108" s="21">
        <f t="shared" si="39"/>
        <v>56363.089685836341</v>
      </c>
      <c r="AG108" s="21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5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5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1">
        <f t="shared" si="35"/>
        <v>1242806.1275726869</v>
      </c>
      <c r="AF109" s="21">
        <f t="shared" si="39"/>
        <v>59181.244170127902</v>
      </c>
      <c r="AG109" s="21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5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5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1">
        <f t="shared" si="35"/>
        <v>1304946.4339513211</v>
      </c>
      <c r="AF110" s="21">
        <f t="shared" si="39"/>
        <v>62140.306378634181</v>
      </c>
      <c r="AG110" s="21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5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5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1">
        <f t="shared" si="35"/>
        <v>1370193.7556488875</v>
      </c>
      <c r="AF111" s="21">
        <f t="shared" si="39"/>
        <v>65247.321697566425</v>
      </c>
      <c r="AG111" s="21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5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5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1">
        <f t="shared" si="35"/>
        <v>1438703.4434313313</v>
      </c>
      <c r="AF112" s="21">
        <f t="shared" si="39"/>
        <v>68509.687782443827</v>
      </c>
      <c r="AG112" s="21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5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5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1">
        <f t="shared" si="35"/>
        <v>1510638.6156028984</v>
      </c>
      <c r="AF113" s="21">
        <f t="shared" si="39"/>
        <v>71935.172171567101</v>
      </c>
      <c r="AG113" s="21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5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5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1">
        <f t="shared" si="35"/>
        <v>1586170.5463830428</v>
      </c>
      <c r="AF114" s="21">
        <f t="shared" si="39"/>
        <v>75531.930780144408</v>
      </c>
      <c r="AG114" s="21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5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5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1">
        <f t="shared" si="35"/>
        <v>1665479.0737021952</v>
      </c>
      <c r="AF115" s="21">
        <f t="shared" si="39"/>
        <v>79308.527319152374</v>
      </c>
      <c r="AG115" s="21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5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5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1">
        <f t="shared" si="35"/>
        <v>1748753.0273873052</v>
      </c>
      <c r="AF116" s="21">
        <f t="shared" si="39"/>
        <v>83273.953685109969</v>
      </c>
      <c r="AG116" s="21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5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5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1">
        <f t="shared" si="35"/>
        <v>1836190.6787566706</v>
      </c>
      <c r="AF117" s="21">
        <f t="shared" si="39"/>
        <v>87437.651369365398</v>
      </c>
      <c r="AG117" s="21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07" t="s">
        <v>177</v>
      </c>
      <c r="B1" s="108"/>
      <c r="AB1" s="9"/>
    </row>
    <row r="2" spans="1:33" ht="14.25" customHeight="1" x14ac:dyDescent="0.2">
      <c r="A2" s="109"/>
      <c r="B2" s="110"/>
      <c r="E2" s="23"/>
      <c r="AB2" s="9"/>
    </row>
    <row r="3" spans="1:33" ht="14.25" customHeight="1" x14ac:dyDescent="0.2">
      <c r="C3" s="3" t="s">
        <v>176</v>
      </c>
      <c r="D3" s="24" t="s">
        <v>114</v>
      </c>
      <c r="E3" s="3" t="s">
        <v>118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9"/>
      <c r="G6" s="19"/>
      <c r="H6" s="19"/>
      <c r="I6" s="19"/>
      <c r="J6" s="19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3"/>
      <c r="G7" s="33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3"/>
      <c r="G8" s="33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3"/>
      <c r="G9" s="33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5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0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6" t="s">
        <v>179</v>
      </c>
      <c r="D16" s="37" t="s">
        <v>178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160</v>
      </c>
      <c r="D17" s="1">
        <v>0.6</v>
      </c>
      <c r="E17" s="25"/>
      <c r="AC17" s="21"/>
    </row>
    <row r="18" spans="2:37" ht="14.25" customHeight="1" x14ac:dyDescent="0.2">
      <c r="C18" s="6" t="s">
        <v>180</v>
      </c>
      <c r="D18" s="1">
        <v>0.8</v>
      </c>
    </row>
    <row r="19" spans="2:37" ht="14.25" customHeight="1" x14ac:dyDescent="0.2">
      <c r="C19" s="6" t="s">
        <v>181</v>
      </c>
      <c r="D19" s="1">
        <v>1</v>
      </c>
      <c r="E19" s="6"/>
      <c r="F19" s="6"/>
      <c r="G19" s="6"/>
      <c r="H19" s="6"/>
      <c r="I19" s="25"/>
      <c r="J19" s="6"/>
      <c r="K19" s="6"/>
      <c r="L19" s="6"/>
      <c r="M19" s="6"/>
      <c r="N19" s="6"/>
      <c r="O19" s="6"/>
      <c r="P19" s="6"/>
      <c r="Q19" s="3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1"/>
      <c r="AF19" s="9"/>
      <c r="AG19" s="9"/>
      <c r="AH19" s="9"/>
    </row>
    <row r="20" spans="2:37" ht="14.25" customHeight="1" x14ac:dyDescent="0.2">
      <c r="C20" s="6" t="s">
        <v>182</v>
      </c>
      <c r="D20" s="1">
        <v>1.2</v>
      </c>
      <c r="E20" s="6"/>
      <c r="F20" s="6"/>
      <c r="G20" s="6"/>
      <c r="H20" s="6"/>
      <c r="I20" s="25"/>
      <c r="J20" s="6"/>
      <c r="K20" s="6"/>
      <c r="L20" s="6"/>
      <c r="M20" s="6"/>
      <c r="N20" s="6"/>
      <c r="O20" s="6"/>
      <c r="P20" s="6"/>
      <c r="Q20" s="3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1"/>
      <c r="AD20" s="21"/>
      <c r="AE20" s="21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5"/>
      <c r="J21" s="6"/>
      <c r="K21" s="6"/>
      <c r="L21" s="6"/>
      <c r="M21" s="6"/>
      <c r="N21" s="6"/>
      <c r="O21" s="6"/>
      <c r="P21" s="6"/>
      <c r="Q21" s="3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1"/>
      <c r="AD21" s="21"/>
      <c r="AE21" s="21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5"/>
      <c r="J22" s="6"/>
      <c r="K22" s="6"/>
      <c r="L22" s="6"/>
      <c r="M22" s="6"/>
      <c r="N22" s="6"/>
      <c r="O22" s="6"/>
      <c r="P22" s="6"/>
      <c r="Q22" s="3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1"/>
      <c r="AD22" s="21"/>
      <c r="AE22" s="21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5"/>
      <c r="J23" s="6"/>
      <c r="K23" s="6"/>
      <c r="L23" s="6"/>
      <c r="M23" s="6"/>
      <c r="N23" s="6"/>
      <c r="O23" s="6"/>
      <c r="P23" s="6"/>
      <c r="Q23" s="3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1"/>
      <c r="AD23" s="21"/>
      <c r="AE23" s="21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5"/>
      <c r="J24" s="6"/>
      <c r="K24" s="6"/>
      <c r="L24" s="6"/>
      <c r="M24" s="6"/>
      <c r="N24" s="6"/>
      <c r="O24" s="6"/>
      <c r="P24" s="6"/>
      <c r="Q24" s="35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1"/>
      <c r="AD24" s="21"/>
      <c r="AE24" s="21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5"/>
      <c r="J25" s="6"/>
      <c r="K25" s="6"/>
      <c r="L25" s="6"/>
      <c r="M25" s="6"/>
      <c r="N25" s="6"/>
      <c r="O25" s="6"/>
      <c r="P25" s="6"/>
      <c r="Q25" s="35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1"/>
      <c r="AD25" s="21"/>
      <c r="AE25" s="21"/>
      <c r="AF25" s="9"/>
      <c r="AG25" s="9"/>
      <c r="AH25" s="9"/>
      <c r="AI25" s="9"/>
      <c r="AJ25" s="9"/>
      <c r="AK25" s="9"/>
    </row>
    <row r="26" spans="2:37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/>
      <c r="M26" s="6"/>
      <c r="N26" s="6"/>
      <c r="O26" s="6"/>
      <c r="P26" s="6"/>
      <c r="Q26" s="3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1"/>
      <c r="AD26" s="21"/>
      <c r="AE26" s="21"/>
      <c r="AF26" s="9"/>
      <c r="AG26" s="9"/>
      <c r="AH26" s="9"/>
      <c r="AI26" s="9"/>
      <c r="AJ26" s="9"/>
      <c r="AK26" s="9"/>
    </row>
    <row r="27" spans="2:37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/>
      <c r="M27" s="6"/>
      <c r="N27" s="6"/>
      <c r="O27" s="6"/>
      <c r="P27" s="6"/>
      <c r="Q27" s="3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1"/>
      <c r="AD27" s="21"/>
      <c r="AE27" s="21"/>
      <c r="AF27" s="9"/>
      <c r="AG27" s="9"/>
      <c r="AH27" s="9"/>
      <c r="AI27" s="9"/>
      <c r="AJ27" s="9"/>
      <c r="AK27" s="9"/>
    </row>
    <row r="28" spans="2:37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/>
      <c r="M28" s="6"/>
      <c r="N28" s="6"/>
      <c r="O28" s="6"/>
      <c r="P28" s="6"/>
      <c r="Q28" s="3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1"/>
      <c r="AD28" s="21"/>
      <c r="AE28" s="21"/>
      <c r="AF28" s="9"/>
      <c r="AG28" s="9"/>
      <c r="AH28" s="9"/>
      <c r="AI28" s="9"/>
      <c r="AJ28" s="9"/>
      <c r="AK28" s="9"/>
    </row>
    <row r="29" spans="2:37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/>
      <c r="M29" s="6"/>
      <c r="N29" s="6"/>
      <c r="O29" s="6"/>
      <c r="P29" s="6"/>
      <c r="Q29" s="3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1"/>
      <c r="AD29" s="21"/>
      <c r="AE29" s="21"/>
      <c r="AF29" s="9"/>
      <c r="AG29" s="9"/>
      <c r="AH29" s="9"/>
      <c r="AI29" s="9"/>
      <c r="AJ29" s="9"/>
      <c r="AK29" s="9"/>
    </row>
    <row r="30" spans="2:37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/>
      <c r="M30" s="6"/>
      <c r="N30" s="6"/>
      <c r="O30" s="6"/>
      <c r="P30" s="6"/>
      <c r="Q30" s="3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1"/>
      <c r="AD30" s="21"/>
      <c r="AE30" s="21"/>
      <c r="AF30" s="9"/>
      <c r="AG30" s="9"/>
      <c r="AH30" s="9"/>
      <c r="AI30" s="9"/>
      <c r="AJ30" s="9"/>
      <c r="AK30" s="9"/>
    </row>
    <row r="31" spans="2:37" ht="14.25" customHeight="1" x14ac:dyDescent="0.2">
      <c r="B31" s="31"/>
      <c r="C31" s="6"/>
      <c r="E31" s="6"/>
      <c r="F31" s="6"/>
      <c r="G31" s="6"/>
      <c r="H31" s="6"/>
      <c r="I31" s="25"/>
      <c r="J31" s="6"/>
      <c r="K31" s="6"/>
      <c r="L31" s="6"/>
      <c r="M31" s="6"/>
      <c r="N31" s="6"/>
      <c r="O31" s="6"/>
      <c r="P31" s="6"/>
      <c r="Q31" s="3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1"/>
      <c r="AD31" s="21"/>
      <c r="AE31" s="21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5"/>
      <c r="J32" s="6"/>
      <c r="K32" s="6"/>
      <c r="L32" s="6"/>
      <c r="M32" s="6"/>
      <c r="N32" s="6"/>
      <c r="O32" s="6"/>
      <c r="P32" s="6"/>
      <c r="Q32" s="3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1"/>
      <c r="AD32" s="21"/>
      <c r="AE32" s="21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5"/>
      <c r="J33" s="6"/>
      <c r="K33" s="6"/>
      <c r="L33" s="6"/>
      <c r="M33" s="6"/>
      <c r="N33" s="6"/>
      <c r="O33" s="6"/>
      <c r="P33" s="6"/>
      <c r="Q33" s="3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1"/>
      <c r="AD33" s="21"/>
      <c r="AE33" s="21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5"/>
      <c r="J34" s="6"/>
      <c r="K34" s="6"/>
      <c r="L34" s="6"/>
      <c r="M34" s="6"/>
      <c r="N34" s="6"/>
      <c r="O34" s="6"/>
      <c r="P34" s="6"/>
      <c r="Q34" s="3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1"/>
      <c r="AD34" s="21"/>
      <c r="AE34" s="21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5"/>
      <c r="J35" s="6"/>
      <c r="K35" s="6"/>
      <c r="L35" s="6"/>
      <c r="M35" s="6"/>
      <c r="N35" s="6"/>
      <c r="O35" s="6"/>
      <c r="P35" s="6"/>
      <c r="Q35" s="3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1"/>
      <c r="AD35" s="21"/>
      <c r="AE35" s="21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5"/>
      <c r="J36" s="6"/>
      <c r="K36" s="6"/>
      <c r="L36" s="6"/>
      <c r="M36" s="6"/>
      <c r="N36" s="6"/>
      <c r="O36" s="6"/>
      <c r="P36" s="6"/>
      <c r="Q36" s="3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1"/>
      <c r="AD36" s="21"/>
      <c r="AE36" s="21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5"/>
      <c r="J37" s="6"/>
      <c r="K37" s="6"/>
      <c r="L37" s="6"/>
      <c r="M37" s="6"/>
      <c r="N37" s="6"/>
      <c r="O37" s="6"/>
      <c r="P37" s="6"/>
      <c r="Q37" s="3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1"/>
      <c r="AD37" s="21"/>
      <c r="AE37" s="21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5"/>
      <c r="J38" s="6"/>
      <c r="K38" s="6"/>
      <c r="L38" s="6"/>
      <c r="M38" s="6"/>
      <c r="N38" s="6"/>
      <c r="O38" s="6"/>
      <c r="P38" s="6"/>
      <c r="Q38" s="3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1"/>
      <c r="AD38" s="21"/>
      <c r="AE38" s="21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5"/>
      <c r="J39" s="6"/>
      <c r="K39" s="6"/>
      <c r="L39" s="6"/>
      <c r="M39" s="6"/>
      <c r="N39" s="6"/>
      <c r="O39" s="6"/>
      <c r="P39" s="6"/>
      <c r="Q39" s="3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1"/>
      <c r="AD39" s="21"/>
      <c r="AE39" s="21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5"/>
      <c r="J40" s="6"/>
      <c r="K40" s="6"/>
      <c r="L40" s="6"/>
      <c r="M40" s="6"/>
      <c r="N40" s="6"/>
      <c r="O40" s="6"/>
      <c r="P40" s="6"/>
      <c r="Q40" s="3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1"/>
      <c r="AD40" s="21"/>
      <c r="AE40" s="21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5"/>
      <c r="J41" s="6"/>
      <c r="K41" s="6"/>
      <c r="L41" s="6"/>
      <c r="M41" s="6"/>
      <c r="N41" s="6"/>
      <c r="O41" s="6"/>
      <c r="P41" s="6"/>
      <c r="Q41" s="3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1"/>
      <c r="AD41" s="21"/>
      <c r="AE41" s="21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5"/>
      <c r="J42" s="6"/>
      <c r="K42" s="6"/>
      <c r="L42" s="6"/>
      <c r="M42" s="6"/>
      <c r="N42" s="6"/>
      <c r="O42" s="6"/>
      <c r="P42" s="6"/>
      <c r="Q42" s="3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1"/>
      <c r="AD42" s="21"/>
      <c r="AE42" s="21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5"/>
      <c r="J43" s="6"/>
      <c r="K43" s="6"/>
      <c r="L43" s="6"/>
      <c r="M43" s="6"/>
      <c r="N43" s="6"/>
      <c r="O43" s="6"/>
      <c r="P43" s="6"/>
      <c r="Q43" s="3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1"/>
      <c r="AD43" s="21"/>
      <c r="AE43" s="21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5"/>
      <c r="J44" s="6"/>
      <c r="K44" s="6"/>
      <c r="L44" s="6"/>
      <c r="M44" s="6"/>
      <c r="N44" s="6"/>
      <c r="O44" s="6"/>
      <c r="P44" s="6"/>
      <c r="Q44" s="3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1"/>
      <c r="AD44" s="21"/>
      <c r="AE44" s="21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5"/>
      <c r="J45" s="6"/>
      <c r="K45" s="6"/>
      <c r="L45" s="6"/>
      <c r="M45" s="6"/>
      <c r="N45" s="6"/>
      <c r="O45" s="6"/>
      <c r="P45" s="6"/>
      <c r="Q45" s="3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1"/>
      <c r="AD45" s="21"/>
      <c r="AE45" s="21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5"/>
      <c r="J46" s="6"/>
      <c r="K46" s="6"/>
      <c r="L46" s="6"/>
      <c r="M46" s="6"/>
      <c r="N46" s="6"/>
      <c r="O46" s="6"/>
      <c r="P46" s="6"/>
      <c r="Q46" s="3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1"/>
      <c r="AD46" s="21"/>
      <c r="AE46" s="21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5"/>
      <c r="J47" s="6"/>
      <c r="K47" s="6"/>
      <c r="L47" s="6"/>
      <c r="M47" s="6"/>
      <c r="N47" s="6"/>
      <c r="O47" s="6"/>
      <c r="P47" s="6"/>
      <c r="Q47" s="35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1"/>
      <c r="AD47" s="21"/>
      <c r="AE47" s="21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5"/>
      <c r="J48" s="6"/>
      <c r="K48" s="6"/>
      <c r="L48" s="6"/>
      <c r="M48" s="6"/>
      <c r="N48" s="6"/>
      <c r="O48" s="6"/>
      <c r="P48" s="6"/>
      <c r="Q48" s="35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1"/>
      <c r="AD48" s="21"/>
      <c r="AE48" s="21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5"/>
      <c r="J49" s="6"/>
      <c r="K49" s="6"/>
      <c r="L49" s="6"/>
      <c r="M49" s="6"/>
      <c r="N49" s="6"/>
      <c r="O49" s="6"/>
      <c r="P49" s="6"/>
      <c r="Q49" s="3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1"/>
      <c r="AD49" s="21"/>
      <c r="AE49" s="21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5"/>
      <c r="J50" s="6"/>
      <c r="K50" s="6"/>
      <c r="L50" s="6"/>
      <c r="M50" s="6"/>
      <c r="N50" s="6"/>
      <c r="O50" s="6"/>
      <c r="P50" s="6"/>
      <c r="Q50" s="3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1"/>
      <c r="AD50" s="21"/>
      <c r="AE50" s="21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5"/>
      <c r="J51" s="6"/>
      <c r="K51" s="6"/>
      <c r="L51" s="6"/>
      <c r="M51" s="6"/>
      <c r="N51" s="6"/>
      <c r="O51" s="6"/>
      <c r="P51" s="6"/>
      <c r="Q51" s="3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1"/>
      <c r="AD51" s="21"/>
      <c r="AE51" s="21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5"/>
      <c r="J52" s="6"/>
      <c r="K52" s="6"/>
      <c r="L52" s="6"/>
      <c r="M52" s="6"/>
      <c r="N52" s="6"/>
      <c r="O52" s="6"/>
      <c r="P52" s="6"/>
      <c r="Q52" s="3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1"/>
      <c r="AD52" s="21"/>
      <c r="AE52" s="21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5"/>
      <c r="J53" s="6"/>
      <c r="K53" s="6"/>
      <c r="L53" s="6"/>
      <c r="M53" s="6"/>
      <c r="N53" s="6"/>
      <c r="O53" s="6"/>
      <c r="P53" s="6"/>
      <c r="Q53" s="3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1"/>
      <c r="AD53" s="21"/>
      <c r="AE53" s="21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5"/>
      <c r="J54" s="6"/>
      <c r="K54" s="6"/>
      <c r="L54" s="6"/>
      <c r="M54" s="6"/>
      <c r="N54" s="6"/>
      <c r="O54" s="6"/>
      <c r="P54" s="6"/>
      <c r="Q54" s="3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1"/>
      <c r="AD54" s="21"/>
      <c r="AE54" s="21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5"/>
      <c r="J55" s="6"/>
      <c r="K55" s="6"/>
      <c r="L55" s="6"/>
      <c r="M55" s="6"/>
      <c r="N55" s="6"/>
      <c r="O55" s="6"/>
      <c r="P55" s="6"/>
      <c r="Q55" s="3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1"/>
      <c r="AD55" s="21"/>
      <c r="AE55" s="21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5"/>
      <c r="J56" s="6"/>
      <c r="K56" s="6"/>
      <c r="L56" s="6"/>
      <c r="M56" s="6"/>
      <c r="N56" s="6"/>
      <c r="O56" s="6"/>
      <c r="P56" s="6"/>
      <c r="Q56" s="3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1"/>
      <c r="AD56" s="21"/>
      <c r="AE56" s="21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5"/>
      <c r="J57" s="6"/>
      <c r="K57" s="6"/>
      <c r="L57" s="6"/>
      <c r="M57" s="6"/>
      <c r="N57" s="6"/>
      <c r="O57" s="6"/>
      <c r="P57" s="6"/>
      <c r="Q57" s="3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1"/>
      <c r="AD57" s="21"/>
      <c r="AE57" s="21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5"/>
      <c r="J58" s="6"/>
      <c r="K58" s="6"/>
      <c r="L58" s="6"/>
      <c r="M58" s="6"/>
      <c r="N58" s="6"/>
      <c r="O58" s="6"/>
      <c r="P58" s="6"/>
      <c r="Q58" s="3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1"/>
      <c r="AD58" s="21"/>
      <c r="AE58" s="21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5"/>
      <c r="J59" s="6"/>
      <c r="K59" s="6"/>
      <c r="L59" s="6"/>
      <c r="M59" s="6"/>
      <c r="N59" s="6"/>
      <c r="O59" s="6"/>
      <c r="P59" s="6"/>
      <c r="Q59" s="3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1"/>
      <c r="AD59" s="21"/>
      <c r="AE59" s="21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5"/>
      <c r="J60" s="6"/>
      <c r="K60" s="6"/>
      <c r="L60" s="6"/>
      <c r="M60" s="6"/>
      <c r="N60" s="6"/>
      <c r="O60" s="6"/>
      <c r="P60" s="6"/>
      <c r="Q60" s="3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1"/>
      <c r="AD60" s="21"/>
      <c r="AE60" s="21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5"/>
      <c r="J61" s="6"/>
      <c r="K61" s="6"/>
      <c r="L61" s="6"/>
      <c r="M61" s="6"/>
      <c r="N61" s="6"/>
      <c r="O61" s="6"/>
      <c r="P61" s="6"/>
      <c r="Q61" s="3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1"/>
      <c r="AD61" s="21"/>
      <c r="AE61" s="21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5"/>
      <c r="J62" s="6"/>
      <c r="K62" s="6"/>
      <c r="L62" s="6"/>
      <c r="M62" s="6"/>
      <c r="N62" s="6"/>
      <c r="O62" s="6"/>
      <c r="P62" s="6"/>
      <c r="Q62" s="3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1"/>
      <c r="AD62" s="21"/>
      <c r="AE62" s="21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5"/>
      <c r="J63" s="6"/>
      <c r="K63" s="6"/>
      <c r="L63" s="6"/>
      <c r="M63" s="6"/>
      <c r="N63" s="6"/>
      <c r="O63" s="6"/>
      <c r="P63" s="6"/>
      <c r="Q63" s="3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1"/>
      <c r="AD63" s="21"/>
      <c r="AE63" s="21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5"/>
      <c r="J64" s="6"/>
      <c r="K64" s="6"/>
      <c r="L64" s="6"/>
      <c r="M64" s="6"/>
      <c r="N64" s="6"/>
      <c r="O64" s="6"/>
      <c r="P64" s="6"/>
      <c r="Q64" s="3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1"/>
      <c r="AD64" s="21"/>
      <c r="AE64" s="21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5"/>
      <c r="J65" s="6"/>
      <c r="K65" s="6"/>
      <c r="L65" s="6"/>
      <c r="M65" s="6"/>
      <c r="N65" s="6"/>
      <c r="O65" s="6"/>
      <c r="P65" s="6"/>
      <c r="Q65" s="3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1"/>
      <c r="AD65" s="21"/>
      <c r="AE65" s="21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5"/>
      <c r="J66" s="6"/>
      <c r="K66" s="6"/>
      <c r="L66" s="6"/>
      <c r="M66" s="6"/>
      <c r="N66" s="6"/>
      <c r="O66" s="6"/>
      <c r="P66" s="6"/>
      <c r="Q66" s="3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1"/>
      <c r="AD66" s="21"/>
      <c r="AE66" s="21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5"/>
      <c r="J67" s="6"/>
      <c r="K67" s="6"/>
      <c r="L67" s="6"/>
      <c r="M67" s="6"/>
      <c r="N67" s="6"/>
      <c r="O67" s="6"/>
      <c r="P67" s="6"/>
      <c r="Q67" s="3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1"/>
      <c r="AD67" s="21"/>
      <c r="AE67" s="21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5"/>
      <c r="J68" s="6"/>
      <c r="K68" s="6"/>
      <c r="L68" s="6"/>
      <c r="M68" s="6"/>
      <c r="N68" s="6"/>
      <c r="O68" s="6"/>
      <c r="P68" s="6"/>
      <c r="Q68" s="3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1"/>
      <c r="AD68" s="21"/>
      <c r="AE68" s="21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5"/>
      <c r="J69" s="6"/>
      <c r="K69" s="6"/>
      <c r="L69" s="6"/>
      <c r="M69" s="6"/>
      <c r="N69" s="6"/>
      <c r="O69" s="6"/>
      <c r="P69" s="6"/>
      <c r="Q69" s="3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1"/>
      <c r="AD69" s="21"/>
      <c r="AE69" s="21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5"/>
      <c r="J70" s="6"/>
      <c r="K70" s="6"/>
      <c r="L70" s="6"/>
      <c r="M70" s="6"/>
      <c r="N70" s="6"/>
      <c r="O70" s="6"/>
      <c r="P70" s="6"/>
      <c r="Q70" s="3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1"/>
      <c r="AD70" s="21"/>
      <c r="AE70" s="21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5"/>
      <c r="J71" s="6"/>
      <c r="K71" s="6"/>
      <c r="L71" s="6"/>
      <c r="M71" s="6"/>
      <c r="N71" s="6"/>
      <c r="O71" s="6"/>
      <c r="P71" s="6"/>
      <c r="Q71" s="35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1"/>
      <c r="AD71" s="21"/>
      <c r="AE71" s="21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5"/>
      <c r="J72" s="6"/>
      <c r="K72" s="6"/>
      <c r="L72" s="6"/>
      <c r="M72" s="6"/>
      <c r="N72" s="6"/>
      <c r="O72" s="6"/>
      <c r="P72" s="6"/>
      <c r="Q72" s="3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1"/>
      <c r="AD72" s="21"/>
      <c r="AE72" s="21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5"/>
      <c r="J73" s="6"/>
      <c r="K73" s="6"/>
      <c r="L73" s="6"/>
      <c r="M73" s="6"/>
      <c r="N73" s="6"/>
      <c r="O73" s="6"/>
      <c r="P73" s="6"/>
      <c r="Q73" s="3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1"/>
      <c r="AD73" s="21"/>
      <c r="AE73" s="21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5"/>
      <c r="J74" s="6"/>
      <c r="K74" s="6"/>
      <c r="L74" s="6"/>
      <c r="M74" s="6"/>
      <c r="N74" s="6"/>
      <c r="O74" s="6"/>
      <c r="P74" s="6"/>
      <c r="Q74" s="3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1"/>
      <c r="AD74" s="21"/>
      <c r="AE74" s="21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5"/>
      <c r="J75" s="6"/>
      <c r="K75" s="6"/>
      <c r="L75" s="6"/>
      <c r="M75" s="6"/>
      <c r="N75" s="6"/>
      <c r="O75" s="6"/>
      <c r="P75" s="6"/>
      <c r="Q75" s="3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1"/>
      <c r="AD75" s="21"/>
      <c r="AE75" s="21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5"/>
      <c r="J76" s="6"/>
      <c r="K76" s="6"/>
      <c r="L76" s="6"/>
      <c r="M76" s="6"/>
      <c r="N76" s="6"/>
      <c r="O76" s="6"/>
      <c r="P76" s="6"/>
      <c r="Q76" s="3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1"/>
      <c r="AD76" s="21"/>
      <c r="AE76" s="21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5"/>
      <c r="J77" s="6"/>
      <c r="K77" s="6"/>
      <c r="L77" s="6"/>
      <c r="M77" s="6"/>
      <c r="N77" s="6"/>
      <c r="O77" s="6"/>
      <c r="P77" s="6"/>
      <c r="Q77" s="3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1"/>
      <c r="AD77" s="21"/>
      <c r="AE77" s="21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5"/>
      <c r="J78" s="6"/>
      <c r="K78" s="6"/>
      <c r="L78" s="6"/>
      <c r="M78" s="6"/>
      <c r="N78" s="6"/>
      <c r="O78" s="6"/>
      <c r="P78" s="6"/>
      <c r="Q78" s="3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1"/>
      <c r="AD78" s="21"/>
      <c r="AE78" s="21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5"/>
      <c r="J79" s="6"/>
      <c r="K79" s="6"/>
      <c r="L79" s="6"/>
      <c r="M79" s="6"/>
      <c r="N79" s="6"/>
      <c r="O79" s="6"/>
      <c r="P79" s="6"/>
      <c r="Q79" s="3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1"/>
      <c r="AD79" s="21"/>
      <c r="AE79" s="21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5"/>
      <c r="J80" s="6"/>
      <c r="K80" s="6"/>
      <c r="L80" s="6"/>
      <c r="M80" s="6"/>
      <c r="N80" s="6"/>
      <c r="O80" s="6"/>
      <c r="P80" s="6"/>
      <c r="Q80" s="3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1"/>
      <c r="AD80" s="21"/>
      <c r="AE80" s="21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5"/>
      <c r="J81" s="6"/>
      <c r="K81" s="6"/>
      <c r="L81" s="6"/>
      <c r="M81" s="6"/>
      <c r="N81" s="6"/>
      <c r="O81" s="6"/>
      <c r="P81" s="6"/>
      <c r="Q81" s="3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1"/>
      <c r="AD81" s="21"/>
      <c r="AE81" s="21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5"/>
      <c r="J82" s="6"/>
      <c r="K82" s="6"/>
      <c r="L82" s="6"/>
      <c r="M82" s="6"/>
      <c r="N82" s="6"/>
      <c r="O82" s="6"/>
      <c r="P82" s="6"/>
      <c r="Q82" s="3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1"/>
      <c r="AD82" s="21"/>
      <c r="AE82" s="21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5"/>
      <c r="J83" s="6"/>
      <c r="K83" s="6"/>
      <c r="L83" s="6"/>
      <c r="M83" s="6"/>
      <c r="N83" s="6"/>
      <c r="O83" s="6"/>
      <c r="P83" s="6"/>
      <c r="Q83" s="3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1"/>
      <c r="AD83" s="21"/>
      <c r="AE83" s="21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5"/>
      <c r="J84" s="6"/>
      <c r="K84" s="6"/>
      <c r="L84" s="6"/>
      <c r="M84" s="6"/>
      <c r="N84" s="6"/>
      <c r="O84" s="6"/>
      <c r="P84" s="6"/>
      <c r="Q84" s="3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1"/>
      <c r="AD84" s="21"/>
      <c r="AE84" s="21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5"/>
      <c r="J85" s="6"/>
      <c r="K85" s="6"/>
      <c r="L85" s="6"/>
      <c r="M85" s="6"/>
      <c r="N85" s="6"/>
      <c r="O85" s="6"/>
      <c r="P85" s="6"/>
      <c r="Q85" s="3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1"/>
      <c r="AD85" s="21"/>
      <c r="AE85" s="21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5"/>
      <c r="J86" s="6"/>
      <c r="K86" s="6"/>
      <c r="L86" s="6"/>
      <c r="M86" s="6"/>
      <c r="N86" s="6"/>
      <c r="O86" s="6"/>
      <c r="P86" s="6"/>
      <c r="Q86" s="3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1"/>
      <c r="AD86" s="21"/>
      <c r="AE86" s="21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5"/>
      <c r="J87" s="6"/>
      <c r="K87" s="6"/>
      <c r="L87" s="6"/>
      <c r="M87" s="6"/>
      <c r="N87" s="6"/>
      <c r="O87" s="6"/>
      <c r="P87" s="6"/>
      <c r="Q87" s="3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1"/>
      <c r="AD87" s="21"/>
      <c r="AE87" s="21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5"/>
      <c r="J88" s="6"/>
      <c r="K88" s="6"/>
      <c r="L88" s="6"/>
      <c r="M88" s="6"/>
      <c r="N88" s="6"/>
      <c r="O88" s="6"/>
      <c r="P88" s="6"/>
      <c r="Q88" s="3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1"/>
      <c r="AD88" s="21"/>
      <c r="AE88" s="21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5"/>
      <c r="J89" s="6"/>
      <c r="K89" s="6"/>
      <c r="L89" s="6"/>
      <c r="M89" s="6"/>
      <c r="N89" s="6"/>
      <c r="O89" s="6"/>
      <c r="P89" s="6"/>
      <c r="Q89" s="3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1"/>
      <c r="AD89" s="21"/>
      <c r="AE89" s="21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5"/>
      <c r="J90" s="6"/>
      <c r="K90" s="6"/>
      <c r="L90" s="6"/>
      <c r="M90" s="6"/>
      <c r="N90" s="6"/>
      <c r="O90" s="6"/>
      <c r="P90" s="6"/>
      <c r="Q90" s="3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1"/>
      <c r="AD90" s="21"/>
      <c r="AE90" s="21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5"/>
      <c r="J91" s="6"/>
      <c r="K91" s="6"/>
      <c r="L91" s="6"/>
      <c r="M91" s="6"/>
      <c r="N91" s="6"/>
      <c r="O91" s="6"/>
      <c r="P91" s="6"/>
      <c r="Q91" s="3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1"/>
      <c r="AD91" s="21"/>
      <c r="AE91" s="21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5"/>
      <c r="J92" s="6"/>
      <c r="K92" s="6"/>
      <c r="L92" s="6"/>
      <c r="M92" s="6"/>
      <c r="N92" s="6"/>
      <c r="O92" s="6"/>
      <c r="P92" s="6"/>
      <c r="Q92" s="3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1"/>
      <c r="AD92" s="21"/>
      <c r="AE92" s="21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5"/>
      <c r="J93" s="6"/>
      <c r="K93" s="6"/>
      <c r="L93" s="6"/>
      <c r="M93" s="6"/>
      <c r="N93" s="6"/>
      <c r="O93" s="6"/>
      <c r="P93" s="6"/>
      <c r="Q93" s="35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1"/>
      <c r="AD93" s="21"/>
      <c r="AE93" s="21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5"/>
      <c r="J94" s="6"/>
      <c r="K94" s="6"/>
      <c r="L94" s="6"/>
      <c r="M94" s="6"/>
      <c r="N94" s="6"/>
      <c r="O94" s="6"/>
      <c r="P94" s="6"/>
      <c r="Q94" s="35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1"/>
      <c r="AD94" s="21"/>
      <c r="AE94" s="21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5"/>
      <c r="J95" s="6"/>
      <c r="K95" s="6"/>
      <c r="L95" s="6"/>
      <c r="M95" s="6"/>
      <c r="N95" s="6"/>
      <c r="O95" s="6"/>
      <c r="P95" s="6"/>
      <c r="Q95" s="3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1"/>
      <c r="AD95" s="21"/>
      <c r="AE95" s="21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5"/>
      <c r="J96" s="6"/>
      <c r="K96" s="6"/>
      <c r="L96" s="6"/>
      <c r="M96" s="6"/>
      <c r="N96" s="6"/>
      <c r="O96" s="6"/>
      <c r="P96" s="6"/>
      <c r="Q96" s="3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1"/>
      <c r="AD96" s="21"/>
      <c r="AE96" s="21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5"/>
      <c r="J97" s="6"/>
      <c r="K97" s="6"/>
      <c r="L97" s="6"/>
      <c r="M97" s="6"/>
      <c r="N97" s="6"/>
      <c r="O97" s="6"/>
      <c r="P97" s="6"/>
      <c r="Q97" s="3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1"/>
      <c r="AD97" s="21"/>
      <c r="AE97" s="21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5"/>
      <c r="J98" s="6"/>
      <c r="K98" s="6"/>
      <c r="L98" s="6"/>
      <c r="M98" s="6"/>
      <c r="N98" s="6"/>
      <c r="O98" s="6"/>
      <c r="P98" s="6"/>
      <c r="Q98" s="3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1"/>
      <c r="AD98" s="21"/>
      <c r="AE98" s="21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5"/>
      <c r="J99" s="6"/>
      <c r="K99" s="6"/>
      <c r="L99" s="6"/>
      <c r="M99" s="6"/>
      <c r="N99" s="6"/>
      <c r="O99" s="6"/>
      <c r="P99" s="6"/>
      <c r="Q99" s="3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1"/>
      <c r="AD99" s="21"/>
      <c r="AE99" s="21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5"/>
      <c r="J100" s="6"/>
      <c r="K100" s="6"/>
      <c r="L100" s="6"/>
      <c r="M100" s="6"/>
      <c r="N100" s="6"/>
      <c r="O100" s="6"/>
      <c r="P100" s="6"/>
      <c r="Q100" s="3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1"/>
      <c r="AD100" s="21"/>
      <c r="AE100" s="21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5"/>
      <c r="J101" s="6"/>
      <c r="K101" s="6"/>
      <c r="L101" s="6"/>
      <c r="M101" s="6"/>
      <c r="N101" s="6"/>
      <c r="O101" s="6"/>
      <c r="P101" s="6"/>
      <c r="Q101" s="3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1"/>
      <c r="AD101" s="21"/>
      <c r="AE101" s="21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5"/>
      <c r="J102" s="6"/>
      <c r="K102" s="6"/>
      <c r="L102" s="6"/>
      <c r="M102" s="6"/>
      <c r="N102" s="6"/>
      <c r="O102" s="6"/>
      <c r="P102" s="6"/>
      <c r="Q102" s="3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1"/>
      <c r="AD102" s="21"/>
      <c r="AE102" s="21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5"/>
      <c r="J103" s="6"/>
      <c r="K103" s="6"/>
      <c r="L103" s="6"/>
      <c r="M103" s="6"/>
      <c r="N103" s="6"/>
      <c r="O103" s="6"/>
      <c r="P103" s="6"/>
      <c r="Q103" s="3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1"/>
      <c r="AD103" s="21"/>
      <c r="AE103" s="21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5"/>
      <c r="J104" s="6"/>
      <c r="K104" s="6"/>
      <c r="L104" s="6"/>
      <c r="M104" s="6"/>
      <c r="N104" s="6"/>
      <c r="O104" s="6"/>
      <c r="P104" s="6"/>
      <c r="Q104" s="3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1"/>
      <c r="AD104" s="21"/>
      <c r="AE104" s="21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1"/>
      <c r="AD105" s="21"/>
      <c r="AE105" s="21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1"/>
      <c r="AD106" s="21"/>
      <c r="AE106" s="21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1"/>
      <c r="AD107" s="21"/>
      <c r="AE107" s="21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1"/>
      <c r="AD108" s="21"/>
      <c r="AE108" s="21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1"/>
      <c r="AD109" s="21"/>
      <c r="AE109" s="21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1"/>
      <c r="AD110" s="21"/>
      <c r="AE110" s="21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1"/>
      <c r="AD111" s="21"/>
      <c r="AE111" s="21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1"/>
      <c r="AD112" s="21"/>
      <c r="AE112" s="21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1"/>
      <c r="AD113" s="21"/>
      <c r="AE113" s="21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1"/>
      <c r="AD114" s="21"/>
      <c r="AE114" s="21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1"/>
      <c r="AD115" s="21"/>
      <c r="AE115" s="21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1"/>
      <c r="AD116" s="21"/>
      <c r="AE116" s="21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1"/>
      <c r="AD117" s="21"/>
      <c r="AE117" s="21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5"/>
      <c r="J118" s="6"/>
      <c r="K118" s="6"/>
      <c r="L118" s="6"/>
      <c r="M118" s="6"/>
      <c r="N118" s="6"/>
      <c r="O118" s="6"/>
      <c r="P118" s="6"/>
      <c r="Q118" s="35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1"/>
      <c r="AD118" s="21"/>
      <c r="AE118" s="21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P2" sqref="P2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07" t="s">
        <v>174</v>
      </c>
      <c r="B1" s="108"/>
      <c r="M1" s="3" t="s">
        <v>150</v>
      </c>
      <c r="N1" s="1" t="s">
        <v>246</v>
      </c>
      <c r="AC1" s="9"/>
    </row>
    <row r="2" spans="1:34" ht="14.25" customHeight="1" x14ac:dyDescent="0.2">
      <c r="A2" s="109"/>
      <c r="B2" s="110"/>
      <c r="M2" s="3" t="s">
        <v>179</v>
      </c>
      <c r="N2" s="1" t="s">
        <v>187</v>
      </c>
      <c r="O2" s="2" t="s">
        <v>192</v>
      </c>
      <c r="Y2" s="19">
        <f>角色设定!J26</f>
        <v>0.4</v>
      </c>
      <c r="Z2" s="19">
        <f>角色设定!K26</f>
        <v>1.5</v>
      </c>
      <c r="AC2" s="9"/>
    </row>
    <row r="3" spans="1:34" ht="14.25" customHeight="1" x14ac:dyDescent="0.2">
      <c r="C3" s="3" t="s">
        <v>184</v>
      </c>
      <c r="D3" s="2" t="s">
        <v>190</v>
      </c>
      <c r="L3" s="3" t="s">
        <v>185</v>
      </c>
      <c r="M3" s="3" t="s">
        <v>176</v>
      </c>
      <c r="N3" s="1">
        <v>1</v>
      </c>
      <c r="O3" s="126" t="str">
        <f>N2</f>
        <v>SSR</v>
      </c>
      <c r="P3" s="127"/>
      <c r="Q3" s="127"/>
      <c r="R3" s="127"/>
      <c r="S3" s="127"/>
      <c r="T3" s="34"/>
      <c r="U3" s="34"/>
      <c r="V3" s="126" t="s">
        <v>188</v>
      </c>
      <c r="W3" s="127"/>
      <c r="X3" s="127"/>
      <c r="Y3" s="127"/>
      <c r="Z3" s="127"/>
      <c r="AA3" s="127"/>
      <c r="AB3" s="128"/>
      <c r="AC3" s="9"/>
    </row>
    <row r="4" spans="1:34" s="3" customFormat="1" ht="14.25" customHeight="1" x14ac:dyDescent="0.2">
      <c r="D4" s="3" t="s">
        <v>150</v>
      </c>
      <c r="E4" s="3" t="s">
        <v>144</v>
      </c>
      <c r="F4" s="3" t="s">
        <v>146</v>
      </c>
      <c r="G4" s="3" t="s">
        <v>147</v>
      </c>
      <c r="H4" s="3" t="s">
        <v>139</v>
      </c>
      <c r="I4" s="3" t="s">
        <v>142</v>
      </c>
      <c r="J4" s="3" t="s">
        <v>167</v>
      </c>
      <c r="K4" s="1"/>
      <c r="L4" s="6">
        <f>MIN(L5:L104)</f>
        <v>1.4903929811649099</v>
      </c>
      <c r="M4" s="3" t="s">
        <v>186</v>
      </c>
      <c r="N4" s="3" t="s">
        <v>165</v>
      </c>
      <c r="O4" s="3" t="s">
        <v>166</v>
      </c>
      <c r="P4" s="3" t="s">
        <v>139</v>
      </c>
      <c r="Q4" s="3" t="s">
        <v>140</v>
      </c>
      <c r="R4" s="3" t="s">
        <v>141</v>
      </c>
      <c r="S4" s="3" t="s">
        <v>142</v>
      </c>
      <c r="T4" s="3" t="s">
        <v>83</v>
      </c>
      <c r="U4" s="3" t="s">
        <v>189</v>
      </c>
      <c r="V4" s="3" t="s">
        <v>165</v>
      </c>
      <c r="W4" s="3" t="s">
        <v>166</v>
      </c>
      <c r="X4" s="3" t="s">
        <v>139</v>
      </c>
      <c r="Y4" s="24" t="s">
        <v>140</v>
      </c>
      <c r="Z4" s="24" t="s">
        <v>141</v>
      </c>
      <c r="AA4" s="3" t="s">
        <v>142</v>
      </c>
      <c r="AB4" s="3" t="s">
        <v>167</v>
      </c>
      <c r="AC4" s="9"/>
    </row>
    <row r="5" spans="1:34" ht="14.25" customHeight="1" x14ac:dyDescent="0.2">
      <c r="D5" s="30" t="s">
        <v>246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45.496323529411768</v>
      </c>
      <c r="O5" s="6">
        <f>VLOOKUP($N$2,角色品星!$C$16:$D$20,2,0)*VLOOKUP($N$3,角色品星!$C$3:$E$14,3,0)*W5</f>
        <v>1363.7490701710883</v>
      </c>
      <c r="P5" s="6">
        <f>VLOOKUP($N$2,角色品星!$C$16:$D$20,2,0)*VLOOKUP($N$3,角色品星!$C$3:$E$14,3,0)*X5</f>
        <v>453.75000000000006</v>
      </c>
      <c r="Q5" s="23">
        <f>Y5</f>
        <v>0.05</v>
      </c>
      <c r="R5" s="23">
        <f t="shared" ref="R5:S5" si="0">Z5</f>
        <v>1.5</v>
      </c>
      <c r="S5" s="23">
        <f t="shared" si="0"/>
        <v>0.9</v>
      </c>
      <c r="T5" s="38">
        <f>N5*(1+Q5*(R5-1))*S5*战斗公式!$E$38+(P5*战斗公式!$E$39+1)*O5*战斗公式!$E$40</f>
        <v>2419.1960429740484</v>
      </c>
      <c r="U5" s="38">
        <f>T6-T5</f>
        <v>120.69628167757583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0" t="s">
        <v>247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3.0042784680733443</v>
      </c>
      <c r="M6" s="1">
        <v>2</v>
      </c>
      <c r="N6" s="6">
        <f>VLOOKUP($N$2,角色品星!$C$16:$D$20,2,0)*VLOOKUP($N$3,角色品星!$C$3:$E$14,3,0)*V6</f>
        <v>47.771139705882355</v>
      </c>
      <c r="O6" s="6">
        <f>VLOOKUP($N$2,角色品星!$C$16:$D$20,2,0)*VLOOKUP($N$3,角色品星!$C$3:$E$14,3,0)*W6</f>
        <v>1431.3509226326942</v>
      </c>
      <c r="P6" s="6">
        <f>VLOOKUP($N$2,角色品星!$C$16:$D$20,2,0)*VLOOKUP($N$3,角色品星!$C$3:$E$14,3,0)*X6</f>
        <v>476.43750000000006</v>
      </c>
      <c r="Q6" s="23">
        <f t="shared" ref="Q6:Q69" si="3">Y6</f>
        <v>0.05</v>
      </c>
      <c r="R6" s="23">
        <f t="shared" ref="R6:R69" si="4">Z6</f>
        <v>1.5</v>
      </c>
      <c r="S6" s="23">
        <f t="shared" ref="S6:S69" si="5">AA6</f>
        <v>0.9</v>
      </c>
      <c r="T6" s="38">
        <f>N6*(1+Q6*(R6-1))*S6*战斗公式!$E$38+(P6*战斗公式!$E$39+1)*O6*战斗公式!$E$40</f>
        <v>2539.8923246516242</v>
      </c>
      <c r="U6" s="38">
        <f t="shared" ref="U6:U69" si="6">T7-T6</f>
        <v>126.70432837923499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0" t="s">
        <v>248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0.16500000000000001</v>
      </c>
      <c r="G7" s="6">
        <f>VLOOKUP($D7,角色设定!$AB:$AJ,MATCH(G$4,角色设定!$AB$9:$AJ$9,0),0)*IF($E7=G$4,角色成长!$F$5,角色成长!$H$5)</f>
        <v>0.32085561497326204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50.159696691176485</v>
      </c>
      <c r="O7" s="6">
        <f>VLOOKUP($N$2,角色品星!$C$16:$D$20,2,0)*VLOOKUP($N$3,角色品星!$C$3:$E$14,3,0)*W7</f>
        <v>1502.2733846457811</v>
      </c>
      <c r="P7" s="6">
        <f>VLOOKUP($N$2,角色品星!$C$16:$D$20,2,0)*VLOOKUP($N$3,角色品星!$C$3:$E$14,3,0)*X7</f>
        <v>500.25937500000009</v>
      </c>
      <c r="Q7" s="23">
        <f t="shared" si="3"/>
        <v>0.05</v>
      </c>
      <c r="R7" s="23">
        <f t="shared" si="4"/>
        <v>1.5</v>
      </c>
      <c r="S7" s="23">
        <f t="shared" si="5"/>
        <v>0.9</v>
      </c>
      <c r="T7" s="38">
        <f>N7*(1+Q7*(R7-1))*S7*战斗公式!$E$38+(P7*战斗公式!$E$39+1)*O7*战斗公式!$E$40</f>
        <v>2666.5966530308592</v>
      </c>
      <c r="U7" s="38">
        <f t="shared" si="6"/>
        <v>133.0100717725968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0" t="s">
        <v>249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0.18</v>
      </c>
      <c r="G8" s="6">
        <f>VLOOKUP($D8,角色设定!$AB:$AJ,MATCH(G$4,角色设定!$AB$9:$AJ$9,0),0)*IF($E8=G$4,角色成长!$F$5,角色成长!$H$5)</f>
        <v>0.29411764705882354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3.0016361853185378</v>
      </c>
      <c r="M8" s="1">
        <v>4</v>
      </c>
      <c r="N8" s="6">
        <f>VLOOKUP($N$2,角色品星!$C$16:$D$20,2,0)*VLOOKUP($N$3,角色品星!$C$3:$E$14,3,0)*V8</f>
        <v>52.667681525735311</v>
      </c>
      <c r="O8" s="6">
        <f>VLOOKUP($N$2,角色品星!$C$16:$D$20,2,0)*VLOOKUP($N$3,角色品星!$C$3:$E$14,3,0)*W8</f>
        <v>1576.6764741470781</v>
      </c>
      <c r="P8" s="6">
        <f>VLOOKUP($N$2,角色品星!$C$16:$D$20,2,0)*VLOOKUP($N$3,角色品星!$C$3:$E$14,3,0)*X8</f>
        <v>525.27234375000012</v>
      </c>
      <c r="Q8" s="23">
        <f t="shared" si="3"/>
        <v>0.05</v>
      </c>
      <c r="R8" s="23">
        <f t="shared" si="4"/>
        <v>1.5</v>
      </c>
      <c r="S8" s="23">
        <f t="shared" si="5"/>
        <v>0.9</v>
      </c>
      <c r="T8" s="38">
        <f>N8*(1+Q8*(R8-1))*S8*战斗公式!$E$38+(P8*战斗公式!$E$39+1)*O8*战斗公式!$E$40</f>
        <v>2799.606724803456</v>
      </c>
      <c r="U8" s="38">
        <f t="shared" si="6"/>
        <v>139.62812527818369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0" t="s">
        <v>250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0.315</v>
      </c>
      <c r="G9" s="6">
        <f>VLOOKUP($D9,角色设定!$AB:$AJ,MATCH(G$4,角色设定!$AB$9:$AJ$9,0),0)*IF($E9=G$4,角色成长!$F$5,角色成长!$H$5)</f>
        <v>0.13445378151260504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3.0002170738152523</v>
      </c>
      <c r="M9" s="1">
        <v>5</v>
      </c>
      <c r="N9" s="6">
        <f>VLOOKUP($N$2,角色品星!$C$16:$D$20,2,0)*VLOOKUP($N$3,角色品星!$C$3:$E$14,3,0)*V9</f>
        <v>55.301065602022071</v>
      </c>
      <c r="O9" s="6">
        <f>VLOOKUP($N$2,角色品星!$C$16:$D$20,2,0)*VLOOKUP($N$3,角色品星!$C$3:$E$14,3,0)*W9</f>
        <v>1654.7276068277895</v>
      </c>
      <c r="P9" s="6">
        <f>VLOOKUP($N$2,角色品星!$C$16:$D$20,2,0)*VLOOKUP($N$3,角色品星!$C$3:$E$14,3,0)*X9</f>
        <v>551.53596093750002</v>
      </c>
      <c r="Q9" s="23">
        <f t="shared" si="3"/>
        <v>0.05</v>
      </c>
      <c r="R9" s="23">
        <f t="shared" si="4"/>
        <v>1.5</v>
      </c>
      <c r="S9" s="23">
        <f t="shared" si="5"/>
        <v>0.9</v>
      </c>
      <c r="T9" s="38">
        <f>N9*(1+Q9*(R9-1))*S9*战斗公式!$E$38+(P9*战斗公式!$E$39+1)*O9*战斗公式!$E$40</f>
        <v>2939.2348500816397</v>
      </c>
      <c r="U9" s="38">
        <f t="shared" si="6"/>
        <v>146.57380608337917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0" t="s">
        <v>251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</v>
      </c>
      <c r="G10" s="6">
        <f>VLOOKUP($D10,角色设定!$AB:$AJ,MATCH(G$4,角色设定!$AB$9:$AJ$9,0),0)*IF($E10=G$4,角色成长!$F$5,角色成长!$H$5)</f>
        <v>0.14117647058823532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58.066118882123185</v>
      </c>
      <c r="O10" s="6">
        <f>VLOOKUP($N$2,角色品星!$C$16:$D$20,2,0)*VLOOKUP($N$3,角色品星!$C$3:$E$14,3,0)*W10</f>
        <v>1736.6019062342848</v>
      </c>
      <c r="P10" s="6">
        <f>VLOOKUP($N$2,角色品星!$C$16:$D$20,2,0)*VLOOKUP($N$3,角色品星!$C$3:$E$14,3,0)*X10</f>
        <v>579.11275898437509</v>
      </c>
      <c r="Q10" s="23">
        <f t="shared" si="3"/>
        <v>0.05</v>
      </c>
      <c r="R10" s="23">
        <f t="shared" si="4"/>
        <v>1.5</v>
      </c>
      <c r="S10" s="23">
        <f t="shared" si="5"/>
        <v>0.9</v>
      </c>
      <c r="T10" s="38">
        <f>N10*(1+Q10*(R10-1))*S10*战斗公式!$E$38+(P10*战斗公式!$E$39+1)*O10*战斗公式!$E$40</f>
        <v>3085.8086561650189</v>
      </c>
      <c r="U10" s="38">
        <f t="shared" si="6"/>
        <v>153.86316771394468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0" t="s">
        <v>252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0.28799999999999998</v>
      </c>
      <c r="G11" s="6">
        <f>VLOOKUP($D11,角色设定!$AB:$AJ,MATCH(G$4,角色设定!$AB$9:$AJ$9,0),0)*IF($E11=G$4,角色成长!$F$5,角色成长!$H$5)</f>
        <v>0.1470588235294118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60.969424826229329</v>
      </c>
      <c r="O11" s="6">
        <f>VLOOKUP($N$2,角色品星!$C$16:$D$20,2,0)*VLOOKUP($N$3,角色品星!$C$3:$E$14,3,0)*W11</f>
        <v>1822.4825235586516</v>
      </c>
      <c r="P11" s="6">
        <f>VLOOKUP($N$2,角色品星!$C$16:$D$20,2,0)*VLOOKUP($N$3,角色品星!$C$3:$E$14,3,0)*X11</f>
        <v>608.0683969335937</v>
      </c>
      <c r="Q11" s="23">
        <f t="shared" si="3"/>
        <v>0.05</v>
      </c>
      <c r="R11" s="23">
        <f t="shared" si="4"/>
        <v>1.5</v>
      </c>
      <c r="S11" s="23">
        <f t="shared" si="5"/>
        <v>0.9</v>
      </c>
      <c r="T11" s="38">
        <f>N11*(1+Q11*(R11-1))*S11*战斗公式!$E$38+(P11*战斗公式!$E$39+1)*O11*战斗公式!$E$40</f>
        <v>3239.6718238789636</v>
      </c>
      <c r="U11" s="38">
        <f t="shared" si="6"/>
        <v>161.51303398735945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0" t="s">
        <v>253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0.29400000000000004</v>
      </c>
      <c r="G12" s="6">
        <f>VLOOKUP($D12,角色设定!$AB:$AJ,MATCH(G$4,角色设定!$AB$9:$AJ$9,0),0)*IF($E12=G$4,角色成长!$F$5,角色成长!$H$5)</f>
        <v>0.14405762304921971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2.9955291945383888</v>
      </c>
      <c r="M12" s="1">
        <v>8</v>
      </c>
      <c r="N12" s="6">
        <f>VLOOKUP($N$2,角色品星!$C$16:$D$20,2,0)*VLOOKUP($N$3,角色品星!$C$3:$E$14,3,0)*V12</f>
        <v>64.017896067540832</v>
      </c>
      <c r="O12" s="6">
        <f>VLOOKUP($N$2,角色品星!$C$16:$D$20,2,0)*VLOOKUP($N$3,角色品星!$C$3:$E$14,3,0)*W12</f>
        <v>1912.5609670552749</v>
      </c>
      <c r="P12" s="6">
        <f>VLOOKUP($N$2,角色品星!$C$16:$D$20,2,0)*VLOOKUP($N$3,角色品星!$C$3:$E$14,3,0)*X12</f>
        <v>638.47181678027368</v>
      </c>
      <c r="Q12" s="23">
        <f t="shared" si="3"/>
        <v>0.05</v>
      </c>
      <c r="R12" s="23">
        <f t="shared" si="4"/>
        <v>1.5</v>
      </c>
      <c r="S12" s="23">
        <f t="shared" si="5"/>
        <v>0.9</v>
      </c>
      <c r="T12" s="38">
        <f>N12*(1+Q12*(R12-1))*S12*战斗公式!$E$38+(P12*战斗公式!$E$39+1)*O12*战斗公式!$E$40</f>
        <v>3401.184857866323</v>
      </c>
      <c r="U12" s="38">
        <f t="shared" si="6"/>
        <v>169.54103439499886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0" t="s">
        <v>254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0.28199999999999992</v>
      </c>
      <c r="G13" s="6">
        <f>VLOOKUP($D13,角色设定!$AB:$AJ,MATCH(G$4,角色设定!$AB$9:$AJ$9,0),0)*IF($E13=G$4,角色成长!$F$5,角色成长!$H$5)</f>
        <v>0.15018773466833546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2.9938114404672604</v>
      </c>
      <c r="M13" s="1">
        <v>9</v>
      </c>
      <c r="N13" s="6">
        <f>VLOOKUP($N$2,角色品星!$C$16:$D$20,2,0)*VLOOKUP($N$3,角色品星!$C$3:$E$14,3,0)*V13</f>
        <v>67.218790870917843</v>
      </c>
      <c r="O13" s="6">
        <f>VLOOKUP($N$2,角色品星!$C$16:$D$20,2,0)*VLOOKUP($N$3,角色品星!$C$3:$E$14,3,0)*W13</f>
        <v>2007.0374409673345</v>
      </c>
      <c r="P13" s="6">
        <f>VLOOKUP($N$2,角色品星!$C$16:$D$20,2,0)*VLOOKUP($N$3,角色品星!$C$3:$E$14,3,0)*X13</f>
        <v>670.3954076192872</v>
      </c>
      <c r="Q13" s="23">
        <f t="shared" si="3"/>
        <v>0.05</v>
      </c>
      <c r="R13" s="23">
        <f t="shared" si="4"/>
        <v>1.5</v>
      </c>
      <c r="S13" s="23">
        <f t="shared" si="5"/>
        <v>0.9</v>
      </c>
      <c r="T13" s="38">
        <f>N13*(1+Q13*(R13-1))*S13*战斗公式!$E$38+(P13*战斗公式!$E$39+1)*O13*战斗公式!$E$40</f>
        <v>3570.7258922613219</v>
      </c>
      <c r="U13" s="38">
        <f t="shared" si="6"/>
        <v>177.96564096076145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0" t="s">
        <v>255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0.27</v>
      </c>
      <c r="G14" s="6">
        <f>VLOOKUP($D14,角色设定!$AB:$AJ,MATCH(G$4,角色设定!$AB$9:$AJ$9,0),0)*IF($E14=G$4,角色成长!$F$5,角色成长!$H$5)</f>
        <v>0.15686274509803921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70.579730414463754</v>
      </c>
      <c r="O14" s="6">
        <f>VLOOKUP($N$2,角色品星!$C$16:$D$20,2,0)*VLOOKUP($N$3,角色品星!$C$3:$E$14,3,0)*W14</f>
        <v>2106.1211937883568</v>
      </c>
      <c r="P14" s="6">
        <f>VLOOKUP($N$2,角色品星!$C$16:$D$20,2,0)*VLOOKUP($N$3,角色品星!$C$3:$E$14,3,0)*X14</f>
        <v>703.91517800025167</v>
      </c>
      <c r="Q14" s="23">
        <f t="shared" si="3"/>
        <v>0.05</v>
      </c>
      <c r="R14" s="23">
        <f t="shared" si="4"/>
        <v>1.5</v>
      </c>
      <c r="S14" s="23">
        <f t="shared" si="5"/>
        <v>0.9</v>
      </c>
      <c r="T14" s="38">
        <f>N14*(1+Q14*(R14-1))*S14*战斗公式!$E$38+(P14*战斗公式!$E$39+1)*O14*战斗公式!$E$40</f>
        <v>3748.6915332220833</v>
      </c>
      <c r="U14" s="38">
        <f t="shared" si="6"/>
        <v>186.80620662418551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0" t="s">
        <v>256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0.12705882352941178</v>
      </c>
      <c r="G15" s="6">
        <f>VLOOKUP($D15,角色设定!$AB:$AJ,MATCH(G$4,角色设定!$AB$9:$AJ$9,0),0)*IF($E15=G$4,角色成长!$F$5,角色成长!$H$5)</f>
        <v>0.19607843137254904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74.108716935186948</v>
      </c>
      <c r="O15" s="6">
        <f>VLOOKUP($N$2,角色品星!$C$16:$D$20,2,0)*VLOOKUP($N$3,角色品星!$C$3:$E$14,3,0)*W15</f>
        <v>2210.0308756179547</v>
      </c>
      <c r="P15" s="6">
        <f>VLOOKUP($N$2,角色品星!$C$16:$D$20,2,0)*VLOOKUP($N$3,角色品星!$C$3:$E$14,3,0)*X15</f>
        <v>739.11093690026416</v>
      </c>
      <c r="Q15" s="23">
        <f t="shared" si="3"/>
        <v>0.05</v>
      </c>
      <c r="R15" s="23">
        <f t="shared" si="4"/>
        <v>1.5</v>
      </c>
      <c r="S15" s="23">
        <f t="shared" si="5"/>
        <v>0.9</v>
      </c>
      <c r="T15" s="38">
        <f>N15*(1+Q15*(R15-1))*S15*战斗公式!$E$38+(P15*战斗公式!$E$39+1)*O15*战斗公式!$E$40</f>
        <v>3935.4977398462688</v>
      </c>
      <c r="U15" s="38">
        <f t="shared" si="6"/>
        <v>196.08300519656405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5"/>
      <c r="F16" s="25"/>
      <c r="G16" s="25"/>
      <c r="L16" s="6">
        <f t="shared" si="2"/>
        <v>2.9881394865885373</v>
      </c>
      <c r="M16" s="1">
        <v>12</v>
      </c>
      <c r="N16" s="6">
        <f>VLOOKUP($N$2,角色品星!$C$16:$D$20,2,0)*VLOOKUP($N$3,角色品星!$C$3:$E$14,3,0)*V16</f>
        <v>77.814152781946291</v>
      </c>
      <c r="O16" s="6">
        <f>VLOOKUP($N$2,角色品星!$C$16:$D$20,2,0)*VLOOKUP($N$3,角色品星!$C$3:$E$14,3,0)*W16</f>
        <v>2318.9949042971843</v>
      </c>
      <c r="P16" s="6">
        <f>VLOOKUP($N$2,角色品星!$C$16:$D$20,2,0)*VLOOKUP($N$3,角色品星!$C$3:$E$14,3,0)*X16</f>
        <v>776.06648374527731</v>
      </c>
      <c r="Q16" s="23">
        <f t="shared" si="3"/>
        <v>0.05</v>
      </c>
      <c r="R16" s="23">
        <f t="shared" si="4"/>
        <v>1.5</v>
      </c>
      <c r="S16" s="23">
        <f t="shared" si="5"/>
        <v>0.9</v>
      </c>
      <c r="T16" s="38">
        <f>N16*(1+Q16*(R16-1))*S16*战斗公式!$E$38+(P16*战斗公式!$E$39+1)*O16*战斗公式!$E$40</f>
        <v>4131.5807450428329</v>
      </c>
      <c r="U16" s="38">
        <f t="shared" si="6"/>
        <v>205.8172729387552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1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81.704860421043605</v>
      </c>
      <c r="O17" s="6">
        <f>VLOOKUP($N$2,角色品星!$C$16:$D$20,2,0)*VLOOKUP($N$3,角色品星!$C$3:$E$14,3,0)*W17</f>
        <v>2433.2518399267437</v>
      </c>
      <c r="P17" s="6">
        <f>VLOOKUP($N$2,角色品星!$C$16:$D$20,2,0)*VLOOKUP($N$3,角色品星!$C$3:$E$14,3,0)*X17</f>
        <v>814.86980793254122</v>
      </c>
      <c r="Q17" s="23">
        <f t="shared" si="3"/>
        <v>0.05</v>
      </c>
      <c r="R17" s="23">
        <f t="shared" si="4"/>
        <v>1.5</v>
      </c>
      <c r="S17" s="23">
        <f t="shared" si="5"/>
        <v>0.9</v>
      </c>
      <c r="T17" s="38">
        <f>N17*(1+Q17*(R17-1))*S17*战斗公式!$E$38+(P17*战斗公式!$E$39+1)*O17*战斗公式!$E$40</f>
        <v>4337.3980179815881</v>
      </c>
      <c r="U17" s="38">
        <f t="shared" si="6"/>
        <v>216.03125180969619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5"/>
      <c r="J18" s="6"/>
      <c r="K18" s="6"/>
      <c r="L18" s="6">
        <f t="shared" si="2"/>
        <v>2.9838839254433931</v>
      </c>
      <c r="M18" s="1">
        <v>14</v>
      </c>
      <c r="N18" s="6">
        <f>VLOOKUP($N$2,角色品星!$C$16:$D$20,2,0)*VLOOKUP($N$3,角色品星!$C$3:$E$14,3,0)*V18</f>
        <v>85.79010344209577</v>
      </c>
      <c r="O18" s="6">
        <f>VLOOKUP($N$2,角色品星!$C$16:$D$20,2,0)*VLOOKUP($N$3,角色品星!$C$3:$E$14,3,0)*W18</f>
        <v>2553.0507672800081</v>
      </c>
      <c r="P18" s="6">
        <f>VLOOKUP($N$2,角色品星!$C$16:$D$20,2,0)*VLOOKUP($N$3,角色品星!$C$3:$E$14,3,0)*X18</f>
        <v>855.6132983291684</v>
      </c>
      <c r="Q18" s="23">
        <f t="shared" si="3"/>
        <v>0.05</v>
      </c>
      <c r="R18" s="23">
        <f t="shared" si="4"/>
        <v>1.5</v>
      </c>
      <c r="S18" s="23">
        <f t="shared" si="5"/>
        <v>0.9</v>
      </c>
      <c r="T18" s="38">
        <f>N18*(1+Q18*(R18-1))*S18*战斗公式!$E$38+(P18*战斗公式!$E$39+1)*O18*战斗公式!$E$40</f>
        <v>4553.4292697912842</v>
      </c>
      <c r="U18" s="38">
        <f t="shared" si="6"/>
        <v>226.74823443452897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1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5"/>
      <c r="J19" s="6"/>
      <c r="K19" s="6"/>
      <c r="L19" s="6">
        <f t="shared" si="2"/>
        <v>2.981600272384453</v>
      </c>
      <c r="M19" s="1">
        <v>15</v>
      </c>
      <c r="N19" s="6">
        <f>VLOOKUP($N$2,角色品星!$C$16:$D$20,2,0)*VLOOKUP($N$3,角色品星!$C$3:$E$14,3,0)*V19</f>
        <v>90.079608614200538</v>
      </c>
      <c r="O19" s="6">
        <f>VLOOKUP($N$2,角色品星!$C$16:$D$20,2,0)*VLOOKUP($N$3,角色品星!$C$3:$E$14,3,0)*W19</f>
        <v>2678.6516855217092</v>
      </c>
      <c r="P19" s="6">
        <f>VLOOKUP($N$2,角色品星!$C$16:$D$20,2,0)*VLOOKUP($N$3,角色品星!$C$3:$E$14,3,0)*X19</f>
        <v>898.39396324562676</v>
      </c>
      <c r="Q19" s="23">
        <f t="shared" si="3"/>
        <v>0.05</v>
      </c>
      <c r="R19" s="23">
        <f t="shared" si="4"/>
        <v>1.5</v>
      </c>
      <c r="S19" s="23">
        <f t="shared" si="5"/>
        <v>0.9</v>
      </c>
      <c r="T19" s="38">
        <f>N19*(1+Q19*(R19-1))*S19*战斗公式!$E$38+(P19*战斗公式!$E$39+1)*O19*战斗公式!$E$40</f>
        <v>4780.1775042258132</v>
      </c>
      <c r="U19" s="38">
        <f t="shared" si="6"/>
        <v>237.99261084145201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1"/>
      <c r="AE19" s="21"/>
      <c r="AF19" s="21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5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94.583589044910568</v>
      </c>
      <c r="O20" s="6">
        <f>VLOOKUP($N$2,角色品星!$C$16:$D$20,2,0)*VLOOKUP($N$3,角色品星!$C$3:$E$14,3,0)*W20</f>
        <v>2810.3259045314844</v>
      </c>
      <c r="P20" s="6">
        <f>VLOOKUP($N$2,角色品星!$C$16:$D$20,2,0)*VLOOKUP($N$3,角色品星!$C$3:$E$14,3,0)*X20</f>
        <v>943.31366140790828</v>
      </c>
      <c r="Q20" s="23">
        <f t="shared" si="3"/>
        <v>0.05</v>
      </c>
      <c r="R20" s="23">
        <f t="shared" si="4"/>
        <v>1.5</v>
      </c>
      <c r="S20" s="23">
        <f t="shared" si="5"/>
        <v>0.9</v>
      </c>
      <c r="T20" s="38">
        <f>N20*(1+Q20*(R20-1))*S20*战斗公式!$E$38+(P20*战斗公式!$E$39+1)*O20*战斗公式!$E$40</f>
        <v>5018.1701150672652</v>
      </c>
      <c r="U20" s="38">
        <f t="shared" si="6"/>
        <v>249.78991701602172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1"/>
      <c r="AE20" s="21"/>
      <c r="AF20" s="21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5"/>
      <c r="J21" s="6"/>
      <c r="K21" s="6"/>
      <c r="L21" s="6">
        <f t="shared" si="2"/>
        <v>2.9766965494483317</v>
      </c>
      <c r="M21" s="1">
        <v>17</v>
      </c>
      <c r="N21" s="6">
        <f>VLOOKUP($N$2,角色品星!$C$16:$D$20,2,0)*VLOOKUP($N$3,角色品星!$C$3:$E$14,3,0)*V21</f>
        <v>99.3127684971561</v>
      </c>
      <c r="O21" s="6">
        <f>VLOOKUP($N$2,角色品星!$C$16:$D$20,2,0)*VLOOKUP($N$3,角色品星!$C$3:$E$14,3,0)*W21</f>
        <v>2948.3564470084116</v>
      </c>
      <c r="P21" s="6">
        <f>VLOOKUP($N$2,角色品星!$C$16:$D$20,2,0)*VLOOKUP($N$3,角色品星!$C$3:$E$14,3,0)*X21</f>
        <v>990.47934447830357</v>
      </c>
      <c r="Q21" s="23">
        <f t="shared" si="3"/>
        <v>0.05</v>
      </c>
      <c r="R21" s="23">
        <f t="shared" si="4"/>
        <v>1.5</v>
      </c>
      <c r="S21" s="23">
        <f t="shared" si="5"/>
        <v>0.9</v>
      </c>
      <c r="T21" s="38">
        <f>N21*(1+Q21*(R21-1))*S21*战斗公式!$E$38+(P21*战斗公式!$E$39+1)*O21*战斗公式!$E$40</f>
        <v>5267.9600320832869</v>
      </c>
      <c r="U21" s="38">
        <f t="shared" si="6"/>
        <v>262.16688532160515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1"/>
      <c r="AE21" s="21"/>
      <c r="AF21" s="21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5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104.27840692201394</v>
      </c>
      <c r="O22" s="6">
        <f>VLOOKUP($N$2,角色品星!$C$16:$D$20,2,0)*VLOOKUP($N$3,角色品星!$C$3:$E$14,3,0)*W22</f>
        <v>3093.0384553975878</v>
      </c>
      <c r="P22" s="6">
        <f>VLOOKUP($N$2,角色品星!$C$16:$D$20,2,0)*VLOOKUP($N$3,角色品星!$C$3:$E$14,3,0)*X22</f>
        <v>1040.0033117022188</v>
      </c>
      <c r="Q22" s="23">
        <f t="shared" si="3"/>
        <v>0.05</v>
      </c>
      <c r="R22" s="23">
        <f t="shared" si="4"/>
        <v>1.5</v>
      </c>
      <c r="S22" s="23">
        <f t="shared" si="5"/>
        <v>0.9</v>
      </c>
      <c r="T22" s="38">
        <f>N22*(1+Q22*(R22-1))*S22*战斗公式!$E$38+(P22*战斗公式!$E$39+1)*O22*战斗公式!$E$40</f>
        <v>5530.1269174048921</v>
      </c>
      <c r="U22" s="38">
        <f t="shared" si="6"/>
        <v>275.15149683412528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1"/>
      <c r="AE22" s="21"/>
      <c r="AF22" s="21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5"/>
      <c r="J23" s="6"/>
      <c r="K23" s="6"/>
      <c r="L23" s="6">
        <f t="shared" si="2"/>
        <v>2.9713088557115461</v>
      </c>
      <c r="M23" s="1">
        <v>19</v>
      </c>
      <c r="N23" s="6">
        <f>VLOOKUP($N$2,角色品星!$C$16:$D$20,2,0)*VLOOKUP($N$3,角色品星!$C$3:$E$14,3,0)*V23</f>
        <v>109.49232726811465</v>
      </c>
      <c r="O23" s="6">
        <f>VLOOKUP($N$2,角色品星!$C$16:$D$20,2,0)*VLOOKUP($N$3,角色品星!$C$3:$E$14,3,0)*W23</f>
        <v>3244.6796025316453</v>
      </c>
      <c r="P23" s="6">
        <f>VLOOKUP($N$2,角色品星!$C$16:$D$20,2,0)*VLOOKUP($N$3,角色品星!$C$3:$E$14,3,0)*X23</f>
        <v>1092.0034772873298</v>
      </c>
      <c r="Q23" s="23">
        <f t="shared" si="3"/>
        <v>0.05</v>
      </c>
      <c r="R23" s="23">
        <f t="shared" si="4"/>
        <v>1.5</v>
      </c>
      <c r="S23" s="23">
        <f t="shared" si="5"/>
        <v>0.9</v>
      </c>
      <c r="T23" s="38">
        <f>N23*(1+Q23*(R23-1))*S23*战斗公式!$E$38+(P23*战斗公式!$E$39+1)*O23*战斗公式!$E$40</f>
        <v>5805.2784142390174</v>
      </c>
      <c r="U23" s="38">
        <f t="shared" si="6"/>
        <v>288.77303563901842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1"/>
      <c r="AE23" s="21"/>
      <c r="AF23" s="21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5"/>
      <c r="J24" s="6"/>
      <c r="K24" s="6"/>
      <c r="L24" s="6">
        <f t="shared" si="2"/>
        <v>2.9684193847626958</v>
      </c>
      <c r="M24" s="1">
        <v>20</v>
      </c>
      <c r="N24" s="6">
        <f>VLOOKUP($N$2,角色品星!$C$16:$D$20,2,0)*VLOOKUP($N$3,角色品星!$C$3:$E$14,3,0)*V24</f>
        <v>114.96694363152037</v>
      </c>
      <c r="O24" s="6">
        <f>VLOOKUP($N$2,角色品星!$C$16:$D$20,2,0)*VLOOKUP($N$3,角色品星!$C$3:$E$14,3,0)*W24</f>
        <v>3403.6005047183789</v>
      </c>
      <c r="P24" s="6">
        <f>VLOOKUP($N$2,角色品星!$C$16:$D$20,2,0)*VLOOKUP($N$3,角色品星!$C$3:$E$14,3,0)*X24</f>
        <v>1146.6036511516963</v>
      </c>
      <c r="Q24" s="23">
        <f t="shared" si="3"/>
        <v>0.05</v>
      </c>
      <c r="R24" s="23">
        <f t="shared" si="4"/>
        <v>1.5</v>
      </c>
      <c r="S24" s="23">
        <f t="shared" si="5"/>
        <v>0.9</v>
      </c>
      <c r="T24" s="38">
        <f>N24*(1+Q24*(R24-1))*S24*战斗公式!$E$38+(P24*战斗公式!$E$39+1)*O24*战斗公式!$E$40</f>
        <v>6094.0514498780358</v>
      </c>
      <c r="U24" s="38">
        <f t="shared" si="6"/>
        <v>303.06214513762279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1"/>
      <c r="AE24" s="21"/>
      <c r="AF24" s="21"/>
      <c r="AG24" s="9"/>
      <c r="AH24" s="9"/>
      <c r="AI24" s="9"/>
      <c r="AJ24" s="9"/>
      <c r="AK24" s="9"/>
      <c r="AL24" s="9"/>
    </row>
    <row r="25" spans="2:38" ht="14.25" customHeight="1" x14ac:dyDescent="0.2">
      <c r="B25" s="31"/>
      <c r="C25" s="6"/>
      <c r="E25" s="6"/>
      <c r="F25" s="6"/>
      <c r="G25" s="6"/>
      <c r="H25" s="6"/>
      <c r="I25" s="25"/>
      <c r="J25" s="6"/>
      <c r="K25" s="6"/>
      <c r="L25" s="6">
        <f t="shared" si="2"/>
        <v>2.9653914823788621</v>
      </c>
      <c r="M25" s="1">
        <v>21</v>
      </c>
      <c r="N25" s="6">
        <f>VLOOKUP($N$2,角色品星!$C$16:$D$20,2,0)*VLOOKUP($N$3,角色品星!$C$3:$E$14,3,0)*V25</f>
        <v>120.71529081309639</v>
      </c>
      <c r="O25" s="6">
        <f>VLOOKUP($N$2,角色品星!$C$16:$D$20,2,0)*VLOOKUP($N$3,角色品星!$C$3:$E$14,3,0)*W25</f>
        <v>3570.1351358292322</v>
      </c>
      <c r="P25" s="6">
        <f>VLOOKUP($N$2,角色品星!$C$16:$D$20,2,0)*VLOOKUP($N$3,角色品星!$C$3:$E$14,3,0)*X25</f>
        <v>1203.9338337092813</v>
      </c>
      <c r="Q25" s="23">
        <f t="shared" si="3"/>
        <v>0.05</v>
      </c>
      <c r="R25" s="23">
        <f t="shared" si="4"/>
        <v>1.5</v>
      </c>
      <c r="S25" s="23">
        <f t="shared" si="5"/>
        <v>0.9</v>
      </c>
      <c r="T25" s="38">
        <f>N25*(1+Q25*(R25-1))*S25*战斗公式!$E$38+(P25*战斗公式!$E$39+1)*O25*战斗公式!$E$40</f>
        <v>6397.1135950156586</v>
      </c>
      <c r="U25" s="38">
        <f t="shared" si="6"/>
        <v>318.0508864097319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1"/>
      <c r="AE25" s="21"/>
      <c r="AF25" s="21"/>
      <c r="AG25" s="9"/>
      <c r="AH25" s="9"/>
      <c r="AI25" s="9"/>
      <c r="AJ25" s="9"/>
      <c r="AK25" s="9"/>
      <c r="AL25" s="9"/>
    </row>
    <row r="26" spans="2:38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126.7510553537512</v>
      </c>
      <c r="O26" s="6">
        <f>VLOOKUP($N$2,角色品星!$C$16:$D$20,2,0)*VLOOKUP($N$3,角色品星!$C$3:$E$14,3,0)*W26</f>
        <v>3744.6312407516934</v>
      </c>
      <c r="P26" s="6">
        <f>VLOOKUP($N$2,角色品星!$C$16:$D$20,2,0)*VLOOKUP($N$3,角色品星!$C$3:$E$14,3,0)*X26</f>
        <v>1264.1305253947451</v>
      </c>
      <c r="Q26" s="23">
        <f t="shared" si="3"/>
        <v>0.05</v>
      </c>
      <c r="R26" s="23">
        <f t="shared" si="4"/>
        <v>1.5</v>
      </c>
      <c r="S26" s="23">
        <f t="shared" si="5"/>
        <v>0.9</v>
      </c>
      <c r="T26" s="38">
        <f>N26*(1+Q26*(R26-1))*S26*战斗公式!$E$38+(P26*战斗公式!$E$39+1)*O26*战斗公式!$E$40</f>
        <v>6715.1644814253905</v>
      </c>
      <c r="U26" s="38">
        <f t="shared" si="6"/>
        <v>333.77279867848847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1"/>
      <c r="AE26" s="21"/>
      <c r="AF26" s="21"/>
      <c r="AG26" s="9"/>
      <c r="AH26" s="9"/>
      <c r="AI26" s="9"/>
      <c r="AJ26" s="9"/>
      <c r="AK26" s="9"/>
      <c r="AL26" s="9"/>
    </row>
    <row r="27" spans="2:38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133.08860812143874</v>
      </c>
      <c r="O27" s="6">
        <f>VLOOKUP($N$2,角色品星!$C$16:$D$20,2,0)*VLOOKUP($N$3,角色品星!$C$3:$E$14,3,0)*W27</f>
        <v>3927.4507463608779</v>
      </c>
      <c r="P27" s="6">
        <f>VLOOKUP($N$2,角色品星!$C$16:$D$20,2,0)*VLOOKUP($N$3,角色品星!$C$3:$E$14,3,0)*X27</f>
        <v>1327.3370516644823</v>
      </c>
      <c r="Q27" s="23">
        <f t="shared" si="3"/>
        <v>0.05</v>
      </c>
      <c r="R27" s="23">
        <f t="shared" si="4"/>
        <v>1.5</v>
      </c>
      <c r="S27" s="23">
        <f t="shared" si="5"/>
        <v>0.9</v>
      </c>
      <c r="T27" s="38">
        <f>N27*(1+Q27*(R27-1))*S27*战斗公式!$E$38+(P27*战斗公式!$E$39+1)*O27*战斗公式!$E$40</f>
        <v>7048.9372801038789</v>
      </c>
      <c r="U27" s="38">
        <f t="shared" si="6"/>
        <v>350.26296192305381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1"/>
      <c r="AE27" s="21"/>
      <c r="AF27" s="21"/>
      <c r="AG27" s="9"/>
      <c r="AH27" s="9"/>
      <c r="AI27" s="9"/>
      <c r="AJ27" s="9"/>
      <c r="AK27" s="9"/>
      <c r="AL27" s="9"/>
    </row>
    <row r="28" spans="2:38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>
        <f t="shared" si="2"/>
        <v>2.9554126636131972</v>
      </c>
      <c r="M28" s="1">
        <v>24</v>
      </c>
      <c r="N28" s="6">
        <f>VLOOKUP($N$2,角色品星!$C$16:$D$20,2,0)*VLOOKUP($N$3,角色品星!$C$3:$E$14,3,0)*V28</f>
        <v>139.74303852751072</v>
      </c>
      <c r="O28" s="6">
        <f>VLOOKUP($N$2,角色品星!$C$16:$D$20,2,0)*VLOOKUP($N$3,角色品星!$C$3:$E$14,3,0)*W28</f>
        <v>4118.9701679408272</v>
      </c>
      <c r="P28" s="6">
        <f>VLOOKUP($N$2,角色品星!$C$16:$D$20,2,0)*VLOOKUP($N$3,角色品星!$C$3:$E$14,3,0)*X28</f>
        <v>1393.7039042477068</v>
      </c>
      <c r="Q28" s="23">
        <f t="shared" si="3"/>
        <v>0.05</v>
      </c>
      <c r="R28" s="23">
        <f t="shared" si="4"/>
        <v>1.5</v>
      </c>
      <c r="S28" s="23">
        <f t="shared" si="5"/>
        <v>0.9</v>
      </c>
      <c r="T28" s="38">
        <f>N28*(1+Q28*(R28-1))*S28*战斗公式!$E$38+(P28*战斗公式!$E$39+1)*O28*战斗公式!$E$40</f>
        <v>7399.2002420269328</v>
      </c>
      <c r="U28" s="38">
        <f t="shared" si="6"/>
        <v>367.55806168408799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1"/>
      <c r="AE28" s="21"/>
      <c r="AF28" s="21"/>
      <c r="AG28" s="9"/>
      <c r="AH28" s="9"/>
      <c r="AI28" s="9"/>
      <c r="AJ28" s="9"/>
      <c r="AK28" s="9"/>
      <c r="AL28" s="9"/>
    </row>
    <row r="29" spans="2:38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>
        <f t="shared" si="2"/>
        <v>2.9517651937804135</v>
      </c>
      <c r="M29" s="1">
        <v>25</v>
      </c>
      <c r="N29" s="6">
        <f>VLOOKUP($N$2,角色品星!$C$16:$D$20,2,0)*VLOOKUP($N$3,角色品星!$C$3:$E$14,3,0)*V29</f>
        <v>146.73019045388622</v>
      </c>
      <c r="O29" s="6">
        <f>VLOOKUP($N$2,角色品星!$C$16:$D$20,2,0)*VLOOKUP($N$3,角色品星!$C$3:$E$14,3,0)*W29</f>
        <v>4319.5810087439622</v>
      </c>
      <c r="P29" s="6">
        <f>VLOOKUP($N$2,角色品星!$C$16:$D$20,2,0)*VLOOKUP($N$3,角色品星!$C$3:$E$14,3,0)*X29</f>
        <v>1463.3890994600918</v>
      </c>
      <c r="Q29" s="23">
        <f t="shared" si="3"/>
        <v>0.05</v>
      </c>
      <c r="R29" s="23">
        <f t="shared" si="4"/>
        <v>1.5</v>
      </c>
      <c r="S29" s="23">
        <f t="shared" si="5"/>
        <v>0.9</v>
      </c>
      <c r="T29" s="38">
        <f>N29*(1+Q29*(R29-1))*S29*战斗公式!$E$38+(P29*战斗公式!$E$39+1)*O29*战斗公式!$E$40</f>
        <v>7766.7583037110207</v>
      </c>
      <c r="U29" s="38">
        <f t="shared" si="6"/>
        <v>385.6964561065779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1"/>
      <c r="AE29" s="21"/>
      <c r="AF29" s="21"/>
      <c r="AG29" s="9"/>
      <c r="AH29" s="9"/>
      <c r="AI29" s="9"/>
      <c r="AJ29" s="9"/>
      <c r="AK29" s="9"/>
      <c r="AL29" s="9"/>
    </row>
    <row r="30" spans="2:38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154.06669997658054</v>
      </c>
      <c r="O30" s="6">
        <f>VLOOKUP($N$2,角色品星!$C$16:$D$20,2,0)*VLOOKUP($N$3,角色品星!$C$3:$E$14,3,0)*W30</f>
        <v>4529.6901501167777</v>
      </c>
      <c r="P30" s="6">
        <f>VLOOKUP($N$2,角色品星!$C$16:$D$20,2,0)*VLOOKUP($N$3,角色品星!$C$3:$E$14,3,0)*X30</f>
        <v>1536.5585544330963</v>
      </c>
      <c r="Q30" s="23">
        <f t="shared" si="3"/>
        <v>0.05</v>
      </c>
      <c r="R30" s="23">
        <f t="shared" si="4"/>
        <v>1.5</v>
      </c>
      <c r="S30" s="23">
        <f t="shared" si="5"/>
        <v>0.9</v>
      </c>
      <c r="T30" s="38">
        <f>N30*(1+Q30*(R30-1))*S30*战斗公式!$E$38+(P30*战斗公式!$E$39+1)*O30*战斗公式!$E$40</f>
        <v>8152.4547598175986</v>
      </c>
      <c r="U30" s="38">
        <f t="shared" si="6"/>
        <v>404.71824526416185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1"/>
      <c r="AE30" s="21"/>
      <c r="AF30" s="21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5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161.77003497540954</v>
      </c>
      <c r="O31" s="6">
        <f>VLOOKUP($N$2,角色品星!$C$16:$D$20,2,0)*VLOOKUP($N$3,角色品星!$C$3:$E$14,3,0)*W31</f>
        <v>4749.7202293410201</v>
      </c>
      <c r="P31" s="6">
        <f>VLOOKUP($N$2,角色品星!$C$16:$D$20,2,0)*VLOOKUP($N$3,角色品星!$C$3:$E$14,3,0)*X31</f>
        <v>1613.3864821547515</v>
      </c>
      <c r="Q31" s="23">
        <f t="shared" si="3"/>
        <v>0.05</v>
      </c>
      <c r="R31" s="23">
        <f t="shared" si="4"/>
        <v>1.5</v>
      </c>
      <c r="S31" s="23">
        <f t="shared" si="5"/>
        <v>0.9</v>
      </c>
      <c r="T31" s="38">
        <f>N31*(1+Q31*(R31-1))*S31*战斗公式!$E$38+(P31*战斗公式!$E$39+1)*O31*战斗公式!$E$40</f>
        <v>8557.1730050817605</v>
      </c>
      <c r="U31" s="38">
        <f t="shared" si="6"/>
        <v>424.66534280924861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1"/>
      <c r="AE31" s="21"/>
      <c r="AF31" s="21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5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169.85853672418008</v>
      </c>
      <c r="O32" s="6">
        <f>VLOOKUP($N$2,角色品星!$C$16:$D$20,2,0)*VLOOKUP($N$3,角色品星!$C$3:$E$14,3,0)*W32</f>
        <v>4980.1100020417589</v>
      </c>
      <c r="P32" s="6">
        <f>VLOOKUP($N$2,角色品星!$C$16:$D$20,2,0)*VLOOKUP($N$3,角色品星!$C$3:$E$14,3,0)*X32</f>
        <v>1694.0558062624891</v>
      </c>
      <c r="Q32" s="23">
        <f t="shared" si="3"/>
        <v>0.05</v>
      </c>
      <c r="R32" s="23">
        <f t="shared" si="4"/>
        <v>1.5</v>
      </c>
      <c r="S32" s="23">
        <f t="shared" si="5"/>
        <v>0.9</v>
      </c>
      <c r="T32" s="38">
        <f>N32*(1+Q32*(R32-1))*S32*战斗公式!$E$38+(P32*战斗公式!$E$39+1)*O32*战斗公式!$E$40</f>
        <v>8981.8383478910091</v>
      </c>
      <c r="U32" s="38">
        <f t="shared" si="6"/>
        <v>445.58154999339422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1"/>
      <c r="AE32" s="21"/>
      <c r="AF32" s="21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5"/>
      <c r="J33" s="6"/>
      <c r="K33" s="6"/>
      <c r="L33" s="6">
        <f t="shared" si="2"/>
        <v>2.9353700360176327</v>
      </c>
      <c r="M33" s="1">
        <v>29</v>
      </c>
      <c r="N33" s="6">
        <f>VLOOKUP($N$2,角色品星!$C$16:$D$20,2,0)*VLOOKUP($N$3,角色品星!$C$3:$E$14,3,0)*V33</f>
        <v>178.35146356038905</v>
      </c>
      <c r="O33" s="6">
        <f>VLOOKUP($N$2,角色品星!$C$16:$D$20,2,0)*VLOOKUP($N$3,角色品星!$C$3:$E$14,3,0)*W33</f>
        <v>5221.3146856968324</v>
      </c>
      <c r="P33" s="6">
        <f>VLOOKUP($N$2,角色品星!$C$16:$D$20,2,0)*VLOOKUP($N$3,角色品星!$C$3:$E$14,3,0)*X33</f>
        <v>1778.7585965756134</v>
      </c>
      <c r="Q33" s="23">
        <f t="shared" si="3"/>
        <v>0.05</v>
      </c>
      <c r="R33" s="23">
        <f t="shared" si="4"/>
        <v>1.5</v>
      </c>
      <c r="S33" s="23">
        <f t="shared" si="5"/>
        <v>0.9</v>
      </c>
      <c r="T33" s="38">
        <f>N33*(1+Q33*(R33-1))*S33*战斗公式!$E$38+(P33*战斗公式!$E$39+1)*O33*战斗公式!$E$40</f>
        <v>9427.4198978844033</v>
      </c>
      <c r="U33" s="38">
        <f t="shared" si="6"/>
        <v>467.51263210318939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1"/>
      <c r="AE33" s="21"/>
      <c r="AF33" s="21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5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187.26903673840857</v>
      </c>
      <c r="O34" s="6">
        <f>VLOOKUP($N$2,角色品星!$C$16:$D$20,2,0)*VLOOKUP($N$3,角色品星!$C$3:$E$14,3,0)*W34</f>
        <v>5473.8062804460496</v>
      </c>
      <c r="P34" s="6">
        <f>VLOOKUP($N$2,角色品星!$C$16:$D$20,2,0)*VLOOKUP($N$3,角色品星!$C$3:$E$14,3,0)*X34</f>
        <v>1867.6965264043943</v>
      </c>
      <c r="Q34" s="23">
        <f t="shared" si="3"/>
        <v>0.05</v>
      </c>
      <c r="R34" s="23">
        <f t="shared" si="4"/>
        <v>1.5</v>
      </c>
      <c r="S34" s="23">
        <f t="shared" si="5"/>
        <v>0.9</v>
      </c>
      <c r="T34" s="38">
        <f>N34*(1+Q34*(R34-1))*S34*战斗公式!$E$38+(P34*战斗公式!$E$39+1)*O34*战斗公式!$E$40</f>
        <v>9894.9325299875927</v>
      </c>
      <c r="U34" s="38">
        <f t="shared" si="6"/>
        <v>490.50639735823461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1"/>
      <c r="AE34" s="21"/>
      <c r="AF34" s="21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5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196.63248857532889</v>
      </c>
      <c r="O35" s="6">
        <f>VLOOKUP($N$2,角色品星!$C$16:$D$20,2,0)*VLOOKUP($N$3,角色品星!$C$3:$E$14,3,0)*W35</f>
        <v>5738.0738630435917</v>
      </c>
      <c r="P35" s="6">
        <f>VLOOKUP($N$2,角色品星!$C$16:$D$20,2,0)*VLOOKUP($N$3,角色品星!$C$3:$E$14,3,0)*X35</f>
        <v>1961.0813527246132</v>
      </c>
      <c r="Q35" s="23">
        <f t="shared" si="3"/>
        <v>0.05</v>
      </c>
      <c r="R35" s="23">
        <f t="shared" si="4"/>
        <v>1.5</v>
      </c>
      <c r="S35" s="23">
        <f t="shared" si="5"/>
        <v>0.9</v>
      </c>
      <c r="T35" s="38">
        <f>N35*(1+Q35*(R35-1))*S35*战斗公式!$E$38+(P35*战斗公式!$E$39+1)*O35*战斗公式!$E$40</f>
        <v>10385.438927345827</v>
      </c>
      <c r="U35" s="38">
        <f t="shared" si="6"/>
        <v>514.61277831992993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1"/>
      <c r="AE35" s="21"/>
      <c r="AF35" s="21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5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206.46411300409542</v>
      </c>
      <c r="O36" s="6">
        <f>VLOOKUP($N$2,角色品星!$C$16:$D$20,2,0)*VLOOKUP($N$3,角色品星!$C$3:$E$14,3,0)*W36</f>
        <v>6014.6238494238496</v>
      </c>
      <c r="P36" s="6">
        <f>VLOOKUP($N$2,角色品星!$C$16:$D$20,2,0)*VLOOKUP($N$3,角色品星!$C$3:$E$14,3,0)*X36</f>
        <v>2059.1354203608444</v>
      </c>
      <c r="Q36" s="23">
        <f t="shared" si="3"/>
        <v>0.05</v>
      </c>
      <c r="R36" s="23">
        <f t="shared" si="4"/>
        <v>1.5</v>
      </c>
      <c r="S36" s="23">
        <f t="shared" si="5"/>
        <v>0.9</v>
      </c>
      <c r="T36" s="38">
        <f>N36*(1+Q36*(R36-1))*S36*战斗公式!$E$38+(P36*战斗公式!$E$39+1)*O36*战斗公式!$E$40</f>
        <v>10900.051705665757</v>
      </c>
      <c r="U36" s="38">
        <f t="shared" si="6"/>
        <v>539.88391586254329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1"/>
      <c r="AE36" s="21"/>
      <c r="AF36" s="21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5"/>
      <c r="J37" s="6"/>
      <c r="K37" s="6"/>
      <c r="L37" s="6">
        <f t="shared" si="2"/>
        <v>2.9156852081037568</v>
      </c>
      <c r="M37" s="1">
        <v>33</v>
      </c>
      <c r="N37" s="6">
        <f>VLOOKUP($N$2,角色品星!$C$16:$D$20,2,0)*VLOOKUP($N$3,角色品星!$C$3:$E$14,3,0)*V37</f>
        <v>216.78731865430018</v>
      </c>
      <c r="O37" s="6">
        <f>VLOOKUP($N$2,角色品星!$C$16:$D$20,2,0)*VLOOKUP($N$3,角色品星!$C$3:$E$14,3,0)*W37</f>
        <v>6303.9802209600566</v>
      </c>
      <c r="P37" s="6">
        <f>VLOOKUP($N$2,角色品星!$C$16:$D$20,2,0)*VLOOKUP($N$3,角色品星!$C$3:$E$14,3,0)*X37</f>
        <v>2162.0921913788866</v>
      </c>
      <c r="Q37" s="23">
        <f t="shared" si="3"/>
        <v>0.05</v>
      </c>
      <c r="R37" s="23">
        <f t="shared" si="4"/>
        <v>1.5</v>
      </c>
      <c r="S37" s="23">
        <f t="shared" si="5"/>
        <v>0.9</v>
      </c>
      <c r="T37" s="38">
        <f>N37*(1+Q37*(R37-1))*S37*战斗公式!$E$38+(P37*战斗公式!$E$39+1)*O37*战斗公式!$E$40</f>
        <v>11439.935621528301</v>
      </c>
      <c r="U37" s="38">
        <f t="shared" si="6"/>
        <v>566.37424576256308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1"/>
      <c r="AE37" s="21"/>
      <c r="AF37" s="21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5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227.62668458701515</v>
      </c>
      <c r="O38" s="6">
        <f>VLOOKUP($N$2,角色品星!$C$16:$D$20,2,0)*VLOOKUP($N$3,角色品星!$C$3:$E$14,3,0)*W38</f>
        <v>6606.6847090883948</v>
      </c>
      <c r="P38" s="6">
        <f>VLOOKUP($N$2,角色品星!$C$16:$D$20,2,0)*VLOOKUP($N$3,角色品星!$C$3:$E$14,3,0)*X38</f>
        <v>2270.1968009478314</v>
      </c>
      <c r="Q38" s="23">
        <f t="shared" si="3"/>
        <v>0.05</v>
      </c>
      <c r="R38" s="23">
        <f t="shared" si="4"/>
        <v>1.5</v>
      </c>
      <c r="S38" s="23">
        <f t="shared" si="5"/>
        <v>0.9</v>
      </c>
      <c r="T38" s="38">
        <f>N38*(1+Q38*(R38-1))*S38*战斗公式!$E$38+(P38*战斗公式!$E$39+1)*O38*战斗公式!$E$40</f>
        <v>12006.309867290864</v>
      </c>
      <c r="U38" s="38">
        <f t="shared" si="6"/>
        <v>594.14058796714562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1"/>
      <c r="AE38" s="21"/>
      <c r="AF38" s="21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5"/>
      <c r="J39" s="6"/>
      <c r="K39" s="6"/>
      <c r="L39" s="6">
        <f t="shared" si="2"/>
        <v>2.9044249042566928</v>
      </c>
      <c r="M39" s="1">
        <v>35</v>
      </c>
      <c r="N39" s="6">
        <f>VLOOKUP($N$2,角色品星!$C$16:$D$20,2,0)*VLOOKUP($N$3,角色品星!$C$3:$E$14,3,0)*V39</f>
        <v>239.00801881636588</v>
      </c>
      <c r="O39" s="6">
        <f>VLOOKUP($N$2,角色品星!$C$16:$D$20,2,0)*VLOOKUP($N$3,角色品星!$C$3:$E$14,3,0)*W39</f>
        <v>6923.296932548591</v>
      </c>
      <c r="P39" s="6">
        <f>VLOOKUP($N$2,角色品星!$C$16:$D$20,2,0)*VLOOKUP($N$3,角色品星!$C$3:$E$14,3,0)*X39</f>
        <v>2383.7066409952222</v>
      </c>
      <c r="Q39" s="23">
        <f t="shared" si="3"/>
        <v>0.05</v>
      </c>
      <c r="R39" s="23">
        <f t="shared" si="4"/>
        <v>1.5</v>
      </c>
      <c r="S39" s="23">
        <f t="shared" si="5"/>
        <v>0.9</v>
      </c>
      <c r="T39" s="38">
        <f>N39*(1+Q39*(R39-1))*S39*战斗公式!$E$38+(P39*战斗公式!$E$39+1)*O39*战斗公式!$E$40</f>
        <v>12600.450455258009</v>
      </c>
      <c r="U39" s="38">
        <f t="shared" si="6"/>
        <v>623.24223861004248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1"/>
      <c r="AE39" s="21"/>
      <c r="AF39" s="21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5"/>
      <c r="J40" s="6"/>
      <c r="K40" s="6"/>
      <c r="L40" s="6">
        <f t="shared" si="2"/>
        <v>2.8984049488292385</v>
      </c>
      <c r="M40" s="1">
        <v>36</v>
      </c>
      <c r="N40" s="6">
        <f>VLOOKUP($N$2,角色品星!$C$16:$D$20,2,0)*VLOOKUP($N$3,角色品星!$C$3:$E$14,3,0)*V40</f>
        <v>250.95841975718429</v>
      </c>
      <c r="O40" s="6">
        <f>VLOOKUP($N$2,角色品星!$C$16:$D$20,2,0)*VLOOKUP($N$3,角色品星!$C$3:$E$14,3,0)*W40</f>
        <v>7254.3944810585581</v>
      </c>
      <c r="P40" s="6">
        <f>VLOOKUP($N$2,角色品星!$C$16:$D$20,2,0)*VLOOKUP($N$3,角色品星!$C$3:$E$14,3,0)*X40</f>
        <v>2502.8919730449838</v>
      </c>
      <c r="Q40" s="23">
        <f t="shared" si="3"/>
        <v>0.05</v>
      </c>
      <c r="R40" s="23">
        <f t="shared" si="4"/>
        <v>1.5</v>
      </c>
      <c r="S40" s="23">
        <f t="shared" si="5"/>
        <v>0.9</v>
      </c>
      <c r="T40" s="38">
        <f>N40*(1+Q40*(R40-1))*S40*战斗公式!$E$38+(P40*战斗公式!$E$39+1)*O40*战斗公式!$E$40</f>
        <v>13223.692693868052</v>
      </c>
      <c r="U40" s="38">
        <f t="shared" si="6"/>
        <v>653.74106485208904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1"/>
      <c r="AE40" s="21"/>
      <c r="AF40" s="21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5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263.50634074504342</v>
      </c>
      <c r="O41" s="6">
        <f>VLOOKUP($N$2,角色品星!$C$16:$D$20,2,0)*VLOOKUP($N$3,角色品星!$C$3:$E$14,3,0)*W41</f>
        <v>7600.5729387974552</v>
      </c>
      <c r="P41" s="6">
        <f>VLOOKUP($N$2,角色品星!$C$16:$D$20,2,0)*VLOOKUP($N$3,角色品星!$C$3:$E$14,3,0)*X41</f>
        <v>2628.0365716972333</v>
      </c>
      <c r="Q41" s="23">
        <f t="shared" si="3"/>
        <v>0.05</v>
      </c>
      <c r="R41" s="23">
        <f t="shared" si="4"/>
        <v>1.5</v>
      </c>
      <c r="S41" s="23">
        <f t="shared" si="5"/>
        <v>0.9</v>
      </c>
      <c r="T41" s="38">
        <f>N41*(1+Q41*(R41-1))*S41*战斗公式!$E$38+(P41*战斗公式!$E$39+1)*O41*战斗公式!$E$40</f>
        <v>13877.433758720141</v>
      </c>
      <c r="U41" s="38">
        <f t="shared" si="6"/>
        <v>685.70160263432081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1"/>
      <c r="AE41" s="21"/>
      <c r="AF41" s="21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5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276.68165778229564</v>
      </c>
      <c r="O42" s="6">
        <f>VLOOKUP($N$2,角色品星!$C$16:$D$20,2,0)*VLOOKUP($N$3,角色品星!$C$3:$E$14,3,0)*W42</f>
        <v>7962.4458406224676</v>
      </c>
      <c r="P42" s="6">
        <f>VLOOKUP($N$2,角色品星!$C$16:$D$20,2,0)*VLOOKUP($N$3,角色品星!$C$3:$E$14,3,0)*X42</f>
        <v>2759.4384002820948</v>
      </c>
      <c r="Q42" s="23">
        <f t="shared" si="3"/>
        <v>0.05</v>
      </c>
      <c r="R42" s="23">
        <f t="shared" si="4"/>
        <v>1.5</v>
      </c>
      <c r="S42" s="23">
        <f t="shared" si="5"/>
        <v>0.9</v>
      </c>
      <c r="T42" s="38">
        <f>N42*(1+Q42*(R42-1))*S42*战斗公式!$E$38+(P42*战斗公式!$E$39+1)*O42*战斗公式!$E$40</f>
        <v>14563.135361354462</v>
      </c>
      <c r="U42" s="38">
        <f t="shared" si="6"/>
        <v>719.19115744575356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1"/>
      <c r="AE42" s="21"/>
      <c r="AF42" s="21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5"/>
      <c r="J43" s="6"/>
      <c r="K43" s="6"/>
      <c r="L43" s="6">
        <f t="shared" si="2"/>
        <v>2.8786549475122367</v>
      </c>
      <c r="M43" s="1">
        <v>39</v>
      </c>
      <c r="N43" s="6">
        <f>VLOOKUP($N$2,角色品星!$C$16:$D$20,2,0)*VLOOKUP($N$3,角色品星!$C$3:$E$14,3,0)*V43</f>
        <v>290.5157406714103</v>
      </c>
      <c r="O43" s="6">
        <f>VLOOKUP($N$2,角色品星!$C$16:$D$20,2,0)*VLOOKUP($N$3,角色品星!$C$3:$E$14,3,0)*W43</f>
        <v>8340.6445534936684</v>
      </c>
      <c r="P43" s="6">
        <f>VLOOKUP($N$2,角色品星!$C$16:$D$20,2,0)*VLOOKUP($N$3,角色品星!$C$3:$E$14,3,0)*X43</f>
        <v>2897.4103202961992</v>
      </c>
      <c r="Q43" s="23">
        <f t="shared" si="3"/>
        <v>0.05</v>
      </c>
      <c r="R43" s="23">
        <f t="shared" si="4"/>
        <v>1.5</v>
      </c>
      <c r="S43" s="23">
        <f t="shared" si="5"/>
        <v>0.9</v>
      </c>
      <c r="T43" s="38">
        <f>N43*(1+Q43*(R43-1))*S43*战斗公式!$E$38+(P43*战斗公式!$E$39+1)*O43*战斗公式!$E$40</f>
        <v>15282.326518800215</v>
      </c>
      <c r="U43" s="38">
        <f t="shared" si="6"/>
        <v>754.27990822444917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1"/>
      <c r="AE43" s="21"/>
      <c r="AF43" s="21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5"/>
      <c r="J44" s="6"/>
      <c r="K44" s="6"/>
      <c r="L44" s="6">
        <f t="shared" si="2"/>
        <v>2.8714699743915082</v>
      </c>
      <c r="M44" s="1">
        <v>40</v>
      </c>
      <c r="N44" s="6">
        <f>VLOOKUP($N$2,角色品星!$C$16:$D$20,2,0)*VLOOKUP($N$3,角色品星!$C$3:$E$14,3,0)*V44</f>
        <v>305.04152770498098</v>
      </c>
      <c r="O44" s="6">
        <f>VLOOKUP($N$2,角色品星!$C$16:$D$20,2,0)*VLOOKUP($N$3,角色品星!$C$3:$E$14,3,0)*W44</f>
        <v>8735.8180751337513</v>
      </c>
      <c r="P44" s="6">
        <f>VLOOKUP($N$2,角色品星!$C$16:$D$20,2,0)*VLOOKUP($N$3,角色品星!$C$3:$E$14,3,0)*X44</f>
        <v>3042.2808363110098</v>
      </c>
      <c r="Q44" s="23">
        <f t="shared" si="3"/>
        <v>0.05</v>
      </c>
      <c r="R44" s="23">
        <f t="shared" si="4"/>
        <v>1.5</v>
      </c>
      <c r="S44" s="23">
        <f t="shared" si="5"/>
        <v>0.9</v>
      </c>
      <c r="T44" s="38">
        <f>N44*(1+Q44*(R44-1))*S44*战斗公式!$E$38+(P44*战斗公式!$E$39+1)*O44*战斗公式!$E$40</f>
        <v>16036.606427024664</v>
      </c>
      <c r="U44" s="38">
        <f t="shared" si="6"/>
        <v>791.04101453031035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1"/>
      <c r="AE44" s="21"/>
      <c r="AF44" s="21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5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320.29360409023002</v>
      </c>
      <c r="O45" s="6">
        <f>VLOOKUP($N$2,角色品星!$C$16:$D$20,2,0)*VLOOKUP($N$3,角色品星!$C$3:$E$14,3,0)*W45</f>
        <v>9148.6327415106207</v>
      </c>
      <c r="P45" s="6">
        <f>VLOOKUP($N$2,角色品星!$C$16:$D$20,2,0)*VLOOKUP($N$3,角色品星!$C$3:$E$14,3,0)*X45</f>
        <v>3194.3948781265603</v>
      </c>
      <c r="Q45" s="23">
        <f t="shared" si="3"/>
        <v>0.05</v>
      </c>
      <c r="R45" s="23">
        <f t="shared" si="4"/>
        <v>1.5</v>
      </c>
      <c r="S45" s="23">
        <f t="shared" si="5"/>
        <v>0.9</v>
      </c>
      <c r="T45" s="38">
        <f>N45*(1+Q45*(R45-1))*S45*战斗公式!$E$38+(P45*战斗公式!$E$39+1)*O45*战斗公式!$E$40</f>
        <v>16827.647441554975</v>
      </c>
      <c r="U45" s="38">
        <f t="shared" si="6"/>
        <v>829.55072715270944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1"/>
      <c r="AE45" s="21"/>
      <c r="AF45" s="21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5"/>
      <c r="J46" s="6"/>
      <c r="K46" s="6"/>
      <c r="L46" s="6">
        <f t="shared" si="2"/>
        <v>2.8561253605883352</v>
      </c>
      <c r="M46" s="1">
        <v>42</v>
      </c>
      <c r="N46" s="6">
        <f>VLOOKUP($N$2,角色品星!$C$16:$D$20,2,0)*VLOOKUP($N$3,角色品星!$C$3:$E$14,3,0)*V46</f>
        <v>336.30828429474144</v>
      </c>
      <c r="O46" s="6">
        <f>VLOOKUP($N$2,角色品星!$C$16:$D$20,2,0)*VLOOKUP($N$3,角色品星!$C$3:$E$14,3,0)*W46</f>
        <v>9579.7718343082888</v>
      </c>
      <c r="P46" s="6">
        <f>VLOOKUP($N$2,角色品星!$C$16:$D$20,2,0)*VLOOKUP($N$3,角色品星!$C$3:$E$14,3,0)*X46</f>
        <v>3354.1146220328878</v>
      </c>
      <c r="Q46" s="23">
        <f t="shared" si="3"/>
        <v>0.05</v>
      </c>
      <c r="R46" s="23">
        <f t="shared" si="4"/>
        <v>1.5</v>
      </c>
      <c r="S46" s="23">
        <f t="shared" si="5"/>
        <v>0.9</v>
      </c>
      <c r="T46" s="38">
        <f>N46*(1+Q46*(R46-1))*S46*战斗公式!$E$38+(P46*战斗公式!$E$39+1)*O46*战斗公式!$E$40</f>
        <v>17657.198168707684</v>
      </c>
      <c r="U46" s="38">
        <f t="shared" si="6"/>
        <v>869.88850234327037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1"/>
      <c r="AE46" s="21"/>
      <c r="AF46" s="21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5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353.12369850947863</v>
      </c>
      <c r="O47" s="6">
        <f>VLOOKUP($N$2,角色品星!$C$16:$D$20,2,0)*VLOOKUP($N$3,角色品星!$C$3:$E$14,3,0)*W47</f>
        <v>10029.935079152337</v>
      </c>
      <c r="P47" s="6">
        <f>VLOOKUP($N$2,角色品星!$C$16:$D$20,2,0)*VLOOKUP($N$3,角色品星!$C$3:$E$14,3,0)*X47</f>
        <v>3521.8203531345325</v>
      </c>
      <c r="Q47" s="23">
        <f t="shared" si="3"/>
        <v>0.05</v>
      </c>
      <c r="R47" s="23">
        <f t="shared" si="4"/>
        <v>1.5</v>
      </c>
      <c r="S47" s="23">
        <f t="shared" si="5"/>
        <v>0.9</v>
      </c>
      <c r="T47" s="38">
        <f>N47*(1+Q47*(R47-1))*S47*战斗公式!$E$38+(P47*战斗公式!$E$39+1)*O47*战斗公式!$E$40</f>
        <v>18527.086671050954</v>
      </c>
      <c r="U47" s="38">
        <f t="shared" si="6"/>
        <v>912.13711989869262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1"/>
      <c r="AE47" s="21"/>
      <c r="AF47" s="21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5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370.77988343495258</v>
      </c>
      <c r="O48" s="6">
        <f>VLOOKUP($N$2,角色品星!$C$16:$D$20,2,0)*VLOOKUP($N$3,角色品星!$C$3:$E$14,3,0)*W48</f>
        <v>10499.838024990275</v>
      </c>
      <c r="P48" s="6">
        <f>VLOOKUP($N$2,角色品星!$C$16:$D$20,2,0)*VLOOKUP($N$3,角色品星!$C$3:$E$14,3,0)*X48</f>
        <v>3697.9113707912593</v>
      </c>
      <c r="Q48" s="23">
        <f t="shared" si="3"/>
        <v>0.05</v>
      </c>
      <c r="R48" s="23">
        <f t="shared" si="4"/>
        <v>1.5</v>
      </c>
      <c r="S48" s="23">
        <f t="shared" si="5"/>
        <v>0.9</v>
      </c>
      <c r="T48" s="38">
        <f>N48*(1+Q48*(R48-1))*S48*战斗公式!$E$38+(P48*战斗公式!$E$39+1)*O48*战斗公式!$E$40</f>
        <v>19439.223790949647</v>
      </c>
      <c r="U48" s="38">
        <f t="shared" si="6"/>
        <v>956.38280535608646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1"/>
      <c r="AE48" s="21"/>
      <c r="AF48" s="21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5"/>
      <c r="J49" s="6"/>
      <c r="K49" s="6"/>
      <c r="L49" s="6">
        <f t="shared" si="2"/>
        <v>2.83048100676297</v>
      </c>
      <c r="M49" s="1">
        <v>45</v>
      </c>
      <c r="N49" s="6">
        <f>VLOOKUP($N$2,角色品星!$C$16:$D$20,2,0)*VLOOKUP($N$3,角色品星!$C$3:$E$14,3,0)*V49</f>
        <v>389.3188776067002</v>
      </c>
      <c r="O49" s="6">
        <f>VLOOKUP($N$2,角色品星!$C$16:$D$20,2,0)*VLOOKUP($N$3,角色品星!$C$3:$E$14,3,0)*W49</f>
        <v>10990.211294703349</v>
      </c>
      <c r="P49" s="6">
        <f>VLOOKUP($N$2,角色品星!$C$16:$D$20,2,0)*VLOOKUP($N$3,角色品星!$C$3:$E$14,3,0)*X49</f>
        <v>3882.8069393308215</v>
      </c>
      <c r="Q49" s="23">
        <f t="shared" si="3"/>
        <v>0.05</v>
      </c>
      <c r="R49" s="23">
        <f t="shared" si="4"/>
        <v>1.5</v>
      </c>
      <c r="S49" s="23">
        <f t="shared" si="5"/>
        <v>0.9</v>
      </c>
      <c r="T49" s="38">
        <f>N49*(1+Q49*(R49-1))*S49*战斗公式!$E$38+(P49*战斗公式!$E$39+1)*O49*战斗公式!$E$40</f>
        <v>20395.606596305734</v>
      </c>
      <c r="U49" s="38">
        <f t="shared" si="6"/>
        <v>1002.7153566088273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1"/>
      <c r="AE49" s="21"/>
      <c r="AF49" s="21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5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408.78482148703517</v>
      </c>
      <c r="O50" s="6">
        <f>VLOOKUP($N$2,角色品星!$C$16:$D$20,2,0)*VLOOKUP($N$3,角色品星!$C$3:$E$14,3,0)*W50</f>
        <v>11501.7996967575</v>
      </c>
      <c r="P50" s="6">
        <f>VLOOKUP($N$2,角色品星!$C$16:$D$20,2,0)*VLOOKUP($N$3,角色品星!$C$3:$E$14,3,0)*X50</f>
        <v>4076.9472862973639</v>
      </c>
      <c r="Q50" s="23">
        <f t="shared" si="3"/>
        <v>0.05</v>
      </c>
      <c r="R50" s="23">
        <f t="shared" si="4"/>
        <v>1.5</v>
      </c>
      <c r="S50" s="23">
        <f t="shared" si="5"/>
        <v>0.9</v>
      </c>
      <c r="T50" s="38">
        <f>N50*(1+Q50*(R50-1))*S50*战斗公式!$E$38+(P50*战斗公式!$E$39+1)*O50*战斗公式!$E$40</f>
        <v>21398.321952914561</v>
      </c>
      <c r="U50" s="38">
        <f t="shared" si="6"/>
        <v>1051.2282753020736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1"/>
      <c r="AE50" s="21"/>
      <c r="AF50" s="21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5"/>
      <c r="J51" s="6"/>
      <c r="K51" s="6"/>
      <c r="L51" s="6">
        <f t="shared" si="2"/>
        <v>2.8114782814394239</v>
      </c>
      <c r="M51" s="1">
        <v>47</v>
      </c>
      <c r="N51" s="6">
        <f>VLOOKUP($N$2,角色品星!$C$16:$D$20,2,0)*VLOOKUP($N$3,角色品星!$C$3:$E$14,3,0)*V51</f>
        <v>429.22406256138697</v>
      </c>
      <c r="O51" s="6">
        <f>VLOOKUP($N$2,角色品星!$C$16:$D$20,2,0)*VLOOKUP($N$3,角色品星!$C$3:$E$14,3,0)*W51</f>
        <v>12035.361187498354</v>
      </c>
      <c r="P51" s="6">
        <f>VLOOKUP($N$2,角色品星!$C$16:$D$20,2,0)*VLOOKUP($N$3,角色品星!$C$3:$E$14,3,0)*X51</f>
        <v>4280.7946506122307</v>
      </c>
      <c r="Q51" s="23">
        <f t="shared" si="3"/>
        <v>0.05</v>
      </c>
      <c r="R51" s="23">
        <f t="shared" si="4"/>
        <v>1.5</v>
      </c>
      <c r="S51" s="23">
        <f t="shared" si="5"/>
        <v>0.9</v>
      </c>
      <c r="T51" s="38">
        <f>N51*(1+Q51*(R51-1))*S51*战斗公式!$E$38+(P51*战斗公式!$E$39+1)*O51*战斗公式!$E$40</f>
        <v>22449.550228216634</v>
      </c>
      <c r="U51" s="38">
        <f t="shared" si="6"/>
        <v>1102.0189034257855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1"/>
      <c r="AE51" s="21"/>
      <c r="AF51" s="21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5"/>
      <c r="J52" s="6"/>
      <c r="K52" s="6"/>
      <c r="L52" s="6">
        <f t="shared" si="2"/>
        <v>2.8013636544198812</v>
      </c>
      <c r="M52" s="1">
        <v>48</v>
      </c>
      <c r="N52" s="6">
        <f>VLOOKUP($N$2,角色品星!$C$16:$D$20,2,0)*VLOOKUP($N$3,角色品星!$C$3:$E$14,3,0)*V52</f>
        <v>450.68526568945634</v>
      </c>
      <c r="O52" s="6">
        <f>VLOOKUP($N$2,角色品星!$C$16:$D$20,2,0)*VLOOKUP($N$3,角色品星!$C$3:$E$14,3,0)*W52</f>
        <v>12591.665673573172</v>
      </c>
      <c r="P52" s="6">
        <f>VLOOKUP($N$2,角色品星!$C$16:$D$20,2,0)*VLOOKUP($N$3,角色品星!$C$3:$E$14,3,0)*X52</f>
        <v>4494.8343831428447</v>
      </c>
      <c r="Q52" s="23">
        <f t="shared" si="3"/>
        <v>0.05</v>
      </c>
      <c r="R52" s="23">
        <f t="shared" si="4"/>
        <v>1.5</v>
      </c>
      <c r="S52" s="23">
        <f t="shared" si="5"/>
        <v>0.9</v>
      </c>
      <c r="T52" s="38">
        <f>N52*(1+Q52*(R52-1))*S52*战斗公式!$E$38+(P52*战斗公式!$E$39+1)*O52*战斗公式!$E$40</f>
        <v>23551.56913164242</v>
      </c>
      <c r="U52" s="38">
        <f t="shared" si="6"/>
        <v>1155.1885655900041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1"/>
      <c r="AE52" s="21"/>
      <c r="AF52" s="21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5"/>
      <c r="J53" s="6"/>
      <c r="K53" s="6"/>
      <c r="L53" s="6">
        <f t="shared" si="2"/>
        <v>2.790821327686011</v>
      </c>
      <c r="M53" s="1">
        <v>49</v>
      </c>
      <c r="N53" s="6">
        <f>VLOOKUP($N$2,角色品星!$C$16:$D$20,2,0)*VLOOKUP($N$3,角色品星!$C$3:$E$14,3,0)*V53</f>
        <v>473.21952897392924</v>
      </c>
      <c r="O53" s="6">
        <f>VLOOKUP($N$2,角色品星!$C$16:$D$20,2,0)*VLOOKUP($N$3,角色品星!$C$3:$E$14,3,0)*W53</f>
        <v>13171.493643936015</v>
      </c>
      <c r="P53" s="6">
        <f>VLOOKUP($N$2,角色品星!$C$16:$D$20,2,0)*VLOOKUP($N$3,角色品星!$C$3:$E$14,3,0)*X53</f>
        <v>4719.5761022999859</v>
      </c>
      <c r="Q53" s="23">
        <f t="shared" si="3"/>
        <v>0.05</v>
      </c>
      <c r="R53" s="23">
        <f t="shared" si="4"/>
        <v>1.5</v>
      </c>
      <c r="S53" s="23">
        <f t="shared" si="5"/>
        <v>0.9</v>
      </c>
      <c r="T53" s="38">
        <f>N53*(1+Q53*(R53-1))*S53*战斗公式!$E$38+(P53*战斗公式!$E$39+1)*O53*战斗公式!$E$40</f>
        <v>24706.757697232424</v>
      </c>
      <c r="U53" s="38">
        <f t="shared" si="6"/>
        <v>1210.8427175416873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1"/>
      <c r="AE53" s="21"/>
      <c r="AF53" s="21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5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496.88050542262567</v>
      </c>
      <c r="O54" s="6">
        <f>VLOOKUP($N$2,角色品星!$C$16:$D$20,2,0)*VLOOKUP($N$3,角色品星!$C$3:$E$14,3,0)*W54</f>
        <v>13775.634620977406</v>
      </c>
      <c r="P54" s="6">
        <f>VLOOKUP($N$2,角色品星!$C$16:$D$20,2,0)*VLOOKUP($N$3,角色品星!$C$3:$E$14,3,0)*X54</f>
        <v>4955.5549074149849</v>
      </c>
      <c r="Q54" s="23">
        <f t="shared" si="3"/>
        <v>0.05</v>
      </c>
      <c r="R54" s="23">
        <f t="shared" si="4"/>
        <v>1.5</v>
      </c>
      <c r="S54" s="23">
        <f t="shared" si="5"/>
        <v>0.9</v>
      </c>
      <c r="T54" s="38">
        <f>N54*(1+Q54*(R54-1))*S54*战斗公式!$E$38+(P54*战斗公式!$E$39+1)*O54*战斗公式!$E$40</f>
        <v>25917.600414774111</v>
      </c>
      <c r="U54" s="38">
        <f t="shared" si="6"/>
        <v>1269.0911015668098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1"/>
      <c r="AE54" s="21"/>
      <c r="AF54" s="21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5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521.72453069375695</v>
      </c>
      <c r="O55" s="6">
        <f>VLOOKUP($N$2,角色品星!$C$16:$D$20,2,0)*VLOOKUP($N$3,角色品星!$C$3:$E$14,3,0)*W55</f>
        <v>14404.885420533179</v>
      </c>
      <c r="P55" s="6">
        <f>VLOOKUP($N$2,角色品星!$C$16:$D$20,2,0)*VLOOKUP($N$3,角色品星!$C$3:$E$14,3,0)*X55</f>
        <v>5203.3326527857344</v>
      </c>
      <c r="Q55" s="23">
        <f t="shared" si="3"/>
        <v>0.05</v>
      </c>
      <c r="R55" s="23">
        <f t="shared" si="4"/>
        <v>1.5</v>
      </c>
      <c r="S55" s="23">
        <f t="shared" si="5"/>
        <v>0.9</v>
      </c>
      <c r="T55" s="38">
        <f>N55*(1+Q55*(R55-1))*S55*战斗公式!$E$38+(P55*战斗公式!$E$39+1)*O55*战斗公式!$E$40</f>
        <v>27186.691516340921</v>
      </c>
      <c r="U55" s="38">
        <f t="shared" si="6"/>
        <v>1330.0479095148039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1"/>
      <c r="AE55" s="21"/>
      <c r="AF55" s="21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5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547.8107572284448</v>
      </c>
      <c r="O56" s="6">
        <f>VLOOKUP($N$2,角色品星!$C$16:$D$20,2,0)*VLOOKUP($N$3,角色品星!$C$3:$E$14,3,0)*W56</f>
        <v>15060.048210888177</v>
      </c>
      <c r="P56" s="6">
        <f>VLOOKUP($N$2,角色品星!$C$16:$D$20,2,0)*VLOOKUP($N$3,角色品星!$C$3:$E$14,3,0)*X56</f>
        <v>5463.4992854250213</v>
      </c>
      <c r="Q56" s="23">
        <f t="shared" si="3"/>
        <v>0.05</v>
      </c>
      <c r="R56" s="23">
        <f t="shared" si="4"/>
        <v>1.5</v>
      </c>
      <c r="S56" s="23">
        <f t="shared" si="5"/>
        <v>0.9</v>
      </c>
      <c r="T56" s="38">
        <f>N56*(1+Q56*(R56-1))*S56*战斗公式!$E$38+(P56*战斗公式!$E$39+1)*O56*战斗公式!$E$40</f>
        <v>28516.739425855725</v>
      </c>
      <c r="U56" s="38">
        <f t="shared" si="6"/>
        <v>1393.8319542853205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1"/>
      <c r="AE56" s="21"/>
      <c r="AF56" s="21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5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575.20129508986702</v>
      </c>
      <c r="O57" s="6">
        <f>VLOOKUP($N$2,角色品星!$C$16:$D$20,2,0)*VLOOKUP($N$3,角色品星!$C$3:$E$14,3,0)*W57</f>
        <v>15741.928361416001</v>
      </c>
      <c r="P57" s="6">
        <f>VLOOKUP($N$2,角色品星!$C$16:$D$20,2,0)*VLOOKUP($N$3,角色品星!$C$3:$E$14,3,0)*X57</f>
        <v>5736.6742496962725</v>
      </c>
      <c r="Q57" s="23">
        <f t="shared" si="3"/>
        <v>0.05</v>
      </c>
      <c r="R57" s="23">
        <f t="shared" si="4"/>
        <v>1.5</v>
      </c>
      <c r="S57" s="23">
        <f t="shared" si="5"/>
        <v>0.9</v>
      </c>
      <c r="T57" s="38">
        <f>N57*(1+Q57*(R57-1))*S57*战斗公式!$E$38+(P57*战斗公式!$E$39+1)*O57*战斗公式!$E$40</f>
        <v>29910.571380141046</v>
      </c>
      <c r="U57" s="38">
        <f t="shared" si="6"/>
        <v>1460.5668507314258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1"/>
      <c r="AE57" s="21"/>
      <c r="AF57" s="21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5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603.96135984436046</v>
      </c>
      <c r="O58" s="6">
        <f>VLOOKUP($N$2,角色品星!$C$16:$D$20,2,0)*VLOOKUP($N$3,角色品星!$C$3:$E$14,3,0)*W58</f>
        <v>16451.332072207631</v>
      </c>
      <c r="P58" s="6">
        <f>VLOOKUP($N$2,角色品星!$C$16:$D$20,2,0)*VLOOKUP($N$3,角色品星!$C$3:$E$14,3,0)*X58</f>
        <v>6023.5079621810855</v>
      </c>
      <c r="Q58" s="23">
        <f t="shared" si="3"/>
        <v>0.05</v>
      </c>
      <c r="R58" s="23">
        <f t="shared" si="4"/>
        <v>1.5</v>
      </c>
      <c r="S58" s="23">
        <f t="shared" si="5"/>
        <v>0.9</v>
      </c>
      <c r="T58" s="38">
        <f>N58*(1+Q58*(R58-1))*S58*战斗公式!$E$38+(P58*战斗公式!$E$39+1)*O58*战斗公式!$E$40</f>
        <v>31371.138230872471</v>
      </c>
      <c r="U58" s="38">
        <f t="shared" si="6"/>
        <v>1530.3812070559361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1"/>
      <c r="AE58" s="21"/>
      <c r="AF58" s="21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5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634.15942783657829</v>
      </c>
      <c r="O59" s="6">
        <f>VLOOKUP($N$2,角色品星!$C$16:$D$20,2,0)*VLOOKUP($N$3,角色品星!$C$3:$E$14,3,0)*W59</f>
        <v>17189.063776956496</v>
      </c>
      <c r="P59" s="6">
        <f>VLOOKUP($N$2,角色品星!$C$16:$D$20,2,0)*VLOOKUP($N$3,角色品星!$C$3:$E$14,3,0)*X59</f>
        <v>6324.6833602901397</v>
      </c>
      <c r="Q59" s="23">
        <f t="shared" si="3"/>
        <v>0.05</v>
      </c>
      <c r="R59" s="23">
        <f t="shared" si="4"/>
        <v>1.5</v>
      </c>
      <c r="S59" s="23">
        <f t="shared" si="5"/>
        <v>0.9</v>
      </c>
      <c r="T59" s="38">
        <f>N59*(1+Q59*(R59-1))*S59*战斗公式!$E$38+(P59*战斗公式!$E$39+1)*O59*战斗公式!$E$40</f>
        <v>32901.519437928408</v>
      </c>
      <c r="U59" s="38">
        <f t="shared" si="6"/>
        <v>1603.4088279123971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1"/>
      <c r="AE59" s="21"/>
      <c r="AF59" s="21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5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665.86739922840729</v>
      </c>
      <c r="O60" s="6">
        <f>VLOOKUP($N$2,角色品星!$C$16:$D$20,2,0)*VLOOKUP($N$3,角色品星!$C$3:$E$14,3,0)*W60</f>
        <v>17955.923312506482</v>
      </c>
      <c r="P60" s="6">
        <f>VLOOKUP($N$2,角色品星!$C$16:$D$20,2,0)*VLOOKUP($N$3,角色品星!$C$3:$E$14,3,0)*X60</f>
        <v>6640.9175283046479</v>
      </c>
      <c r="Q60" s="23">
        <f t="shared" si="3"/>
        <v>0.05</v>
      </c>
      <c r="R60" s="23">
        <f t="shared" si="4"/>
        <v>1.5</v>
      </c>
      <c r="S60" s="23">
        <f t="shared" si="5"/>
        <v>0.9</v>
      </c>
      <c r="T60" s="38">
        <f>N60*(1+Q60*(R60-1))*S60*战斗公式!$E$38+(P60*战斗公式!$E$39+1)*O60*战斗公式!$E$40</f>
        <v>34504.928265840805</v>
      </c>
      <c r="U60" s="38">
        <f t="shared" si="6"/>
        <v>1679.7889305650242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1"/>
      <c r="AE60" s="21"/>
      <c r="AF60" s="21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5"/>
      <c r="J61" s="6"/>
      <c r="K61" s="6"/>
      <c r="L61" s="6">
        <f t="shared" si="2"/>
        <v>2.6893447966694017</v>
      </c>
      <c r="M61" s="1">
        <v>57</v>
      </c>
      <c r="N61" s="6">
        <f>VLOOKUP($N$2,角色品星!$C$16:$D$20,2,0)*VLOOKUP($N$3,角色品星!$C$3:$E$14,3,0)*V61</f>
        <v>699.16076918982753</v>
      </c>
      <c r="O61" s="6">
        <f>VLOOKUP($N$2,角色品星!$C$16:$D$20,2,0)*VLOOKUP($N$3,角色品星!$C$3:$E$14,3,0)*W61</f>
        <v>18752.70284984956</v>
      </c>
      <c r="P61" s="6">
        <f>VLOOKUP($N$2,角色品星!$C$16:$D$20,2,0)*VLOOKUP($N$3,角色品星!$C$3:$E$14,3,0)*X61</f>
        <v>6972.9634047198788</v>
      </c>
      <c r="Q61" s="23">
        <f t="shared" si="3"/>
        <v>0.05</v>
      </c>
      <c r="R61" s="23">
        <f t="shared" si="4"/>
        <v>1.5</v>
      </c>
      <c r="S61" s="23">
        <f t="shared" si="5"/>
        <v>0.9</v>
      </c>
      <c r="T61" s="38">
        <f>N61*(1+Q61*(R61-1))*S61*战斗公式!$E$38+(P61*战斗公式!$E$39+1)*O61*战斗公式!$E$40</f>
        <v>36184.717196405829</v>
      </c>
      <c r="U61" s="38">
        <f t="shared" si="6"/>
        <v>1759.6663756158378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1"/>
      <c r="AE61" s="21"/>
      <c r="AF61" s="21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5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734.11880764931891</v>
      </c>
      <c r="O62" s="6">
        <f>VLOOKUP($N$2,角色品星!$C$16:$D$20,2,0)*VLOOKUP($N$3,角色品星!$C$3:$E$14,3,0)*W62</f>
        <v>19580.183582998798</v>
      </c>
      <c r="P62" s="6">
        <f>VLOOKUP($N$2,角色品星!$C$16:$D$20,2,0)*VLOOKUP($N$3,角色品星!$C$3:$E$14,3,0)*X62</f>
        <v>7321.6115749558749</v>
      </c>
      <c r="Q62" s="23">
        <f t="shared" si="3"/>
        <v>0.05</v>
      </c>
      <c r="R62" s="23">
        <f t="shared" si="4"/>
        <v>1.5</v>
      </c>
      <c r="S62" s="23">
        <f t="shared" si="5"/>
        <v>0.9</v>
      </c>
      <c r="T62" s="38">
        <f>N62*(1+Q62*(R62-1))*S62*战斗公式!$E$38+(P62*战斗公式!$E$39+1)*O62*战斗公式!$E$40</f>
        <v>37944.383572021667</v>
      </c>
      <c r="U62" s="38">
        <f t="shared" si="6"/>
        <v>1843.1919139679303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1"/>
      <c r="AE62" s="21"/>
      <c r="AF62" s="21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5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770.82474803178502</v>
      </c>
      <c r="O63" s="6">
        <f>VLOOKUP($N$2,角色品星!$C$16:$D$20,2,0)*VLOOKUP($N$3,角色品星!$C$3:$E$14,3,0)*W63</f>
        <v>20439.132174075072</v>
      </c>
      <c r="P63" s="6">
        <f>VLOOKUP($N$2,角色品星!$C$16:$D$20,2,0)*VLOOKUP($N$3,角色品星!$C$3:$E$14,3,0)*X63</f>
        <v>7687.6921537036687</v>
      </c>
      <c r="Q63" s="23">
        <f t="shared" si="3"/>
        <v>0.05</v>
      </c>
      <c r="R63" s="23">
        <f t="shared" si="4"/>
        <v>1.5</v>
      </c>
      <c r="S63" s="23">
        <f t="shared" si="5"/>
        <v>0.9</v>
      </c>
      <c r="T63" s="38">
        <f>N63*(1+Q63*(R63-1))*S63*战斗公式!$E$38+(P63*战斗公式!$E$39+1)*O63*战斗公式!$E$40</f>
        <v>39787.575485989597</v>
      </c>
      <c r="U63" s="38">
        <f t="shared" si="6"/>
        <v>1930.5224518643954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1"/>
      <c r="AE63" s="21"/>
      <c r="AF63" s="21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5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809.36598543337436</v>
      </c>
      <c r="O64" s="6">
        <f>VLOOKUP($N$2,角色品星!$C$16:$D$20,2,0)*VLOOKUP($N$3,角色品星!$C$3:$E$14,3,0)*W64</f>
        <v>21330.296955145281</v>
      </c>
      <c r="P64" s="6">
        <f>VLOOKUP($N$2,角色品星!$C$16:$D$20,2,0)*VLOOKUP($N$3,角色品星!$C$3:$E$14,3,0)*X64</f>
        <v>8072.076761388852</v>
      </c>
      <c r="Q64" s="23">
        <f t="shared" si="3"/>
        <v>0.05</v>
      </c>
      <c r="R64" s="23">
        <f t="shared" si="4"/>
        <v>1.5</v>
      </c>
      <c r="S64" s="23">
        <f t="shared" si="5"/>
        <v>0.9</v>
      </c>
      <c r="T64" s="38">
        <f>N64*(1+Q64*(R64-1))*S64*战斗公式!$E$38+(P64*战斗公式!$E$39+1)*O64*战斗公式!$E$40</f>
        <v>41718.097937853992</v>
      </c>
      <c r="U64" s="38">
        <f t="shared" si="6"/>
        <v>2021.8213360161171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1"/>
      <c r="AE64" s="21"/>
      <c r="AF64" s="21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5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849.83428470504282</v>
      </c>
      <c r="O65" s="6">
        <f>VLOOKUP($N$2,角色品星!$C$16:$D$20,2,0)*VLOOKUP($N$3,角色品星!$C$3:$E$14,3,0)*W65</f>
        <v>22254.40388984351</v>
      </c>
      <c r="P65" s="6">
        <f>VLOOKUP($N$2,角色品星!$C$16:$D$20,2,0)*VLOOKUP($N$3,角色品星!$C$3:$E$14,3,0)*X65</f>
        <v>8475.6805994582937</v>
      </c>
      <c r="Q65" s="23">
        <f t="shared" si="3"/>
        <v>0.05</v>
      </c>
      <c r="R65" s="23">
        <f t="shared" si="4"/>
        <v>1.5</v>
      </c>
      <c r="S65" s="23">
        <f t="shared" si="5"/>
        <v>0.9</v>
      </c>
      <c r="T65" s="38">
        <f>N65*(1+Q65*(R65-1))*S65*战斗公式!$E$38+(P65*战斗公式!$E$39+1)*O65*战斗公式!$E$40</f>
        <v>43739.919273870109</v>
      </c>
      <c r="U65" s="38">
        <f t="shared" si="6"/>
        <v>2117.2586610127619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1"/>
      <c r="AE65" s="21"/>
      <c r="AF65" s="21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5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892.32599894029522</v>
      </c>
      <c r="O66" s="6">
        <f>VLOOKUP($N$2,角色品星!$C$16:$D$20,2,0)*VLOOKUP($N$3,角色品星!$C$3:$E$14,3,0)*W66</f>
        <v>23212.152300600654</v>
      </c>
      <c r="P66" s="6">
        <f>VLOOKUP($N$2,角色品星!$C$16:$D$20,2,0)*VLOOKUP($N$3,角色品星!$C$3:$E$14,3,0)*X66</f>
        <v>8899.4646294312097</v>
      </c>
      <c r="Q66" s="23">
        <f t="shared" si="3"/>
        <v>0.05</v>
      </c>
      <c r="R66" s="23">
        <f t="shared" si="4"/>
        <v>1.5</v>
      </c>
      <c r="S66" s="23">
        <f t="shared" si="5"/>
        <v>0.9</v>
      </c>
      <c r="T66" s="38">
        <f>N66*(1+Q66*(R66-1))*S66*战斗公式!$E$38+(P66*战斗公式!$E$39+1)*O66*战斗公式!$E$40</f>
        <v>45857.177934882871</v>
      </c>
      <c r="U66" s="38">
        <f t="shared" si="6"/>
        <v>2217.0116013905936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1"/>
      <c r="AE66" s="21"/>
      <c r="AF66" s="21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5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936.94229888730956</v>
      </c>
      <c r="O67" s="6">
        <f>VLOOKUP($N$2,角色品星!$C$16:$D$20,2,0)*VLOOKUP($N$3,角色品星!$C$3:$E$14,3,0)*W67</f>
        <v>24204.210370400619</v>
      </c>
      <c r="P67" s="6">
        <f>VLOOKUP($N$2,角色品星!$C$16:$D$20,2,0)*VLOOKUP($N$3,角色品星!$C$3:$E$14,3,0)*X67</f>
        <v>9344.4378609027663</v>
      </c>
      <c r="Q67" s="23">
        <f t="shared" si="3"/>
        <v>0.05</v>
      </c>
      <c r="R67" s="23">
        <f t="shared" si="4"/>
        <v>1.5</v>
      </c>
      <c r="S67" s="23">
        <f t="shared" si="5"/>
        <v>0.9</v>
      </c>
      <c r="T67" s="38">
        <f>N67*(1+Q67*(R67-1))*S67*战斗公式!$E$38+(P67*战斗公式!$E$39+1)*O67*战斗公式!$E$40</f>
        <v>48074.189536273465</v>
      </c>
      <c r="U67" s="38">
        <f t="shared" si="6"/>
        <v>2321.264770914313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1"/>
      <c r="AE67" s="21"/>
      <c r="AF67" s="21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5"/>
      <c r="J68" s="6"/>
      <c r="K68" s="6"/>
      <c r="L68" s="6">
        <f t="shared" si="2"/>
        <v>2.5715537497327308</v>
      </c>
      <c r="M68" s="1">
        <v>64</v>
      </c>
      <c r="N68" s="6">
        <f>VLOOKUP($N$2,角色品星!$C$16:$D$20,2,0)*VLOOKUP($N$3,角色品星!$C$3:$E$14,3,0)*V68</f>
        <v>983.78941383167546</v>
      </c>
      <c r="O68" s="6">
        <f>VLOOKUP($N$2,角色品星!$C$16:$D$20,2,0)*VLOOKUP($N$3,角色品星!$C$3:$E$14,3,0)*W68</f>
        <v>25231.210431366471</v>
      </c>
      <c r="P68" s="6">
        <f>VLOOKUP($N$2,角色品星!$C$16:$D$20,2,0)*VLOOKUP($N$3,角色品星!$C$3:$E$14,3,0)*X68</f>
        <v>9811.6597539479098</v>
      </c>
      <c r="Q68" s="23">
        <f t="shared" si="3"/>
        <v>0.05</v>
      </c>
      <c r="R68" s="23">
        <f t="shared" si="4"/>
        <v>1.5</v>
      </c>
      <c r="S68" s="23">
        <f t="shared" si="5"/>
        <v>0.9</v>
      </c>
      <c r="T68" s="38">
        <f>N68*(1+Q68*(R68-1))*S68*战斗公式!$E$38+(P68*战斗公式!$E$39+1)*O68*战斗公式!$E$40</f>
        <v>50395.454307187778</v>
      </c>
      <c r="U68" s="38">
        <f t="shared" si="6"/>
        <v>2430.2106118026713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1"/>
      <c r="AE68" s="21"/>
      <c r="AF68" s="21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5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1032.9788845232595</v>
      </c>
      <c r="O69" s="6">
        <f>VLOOKUP($N$2,角色品星!$C$16:$D$20,2,0)*VLOOKUP($N$3,角色品星!$C$3:$E$14,3,0)*W69</f>
        <v>26293.744056142084</v>
      </c>
      <c r="P69" s="6">
        <f>VLOOKUP($N$2,角色品星!$C$16:$D$20,2,0)*VLOOKUP($N$3,角色品星!$C$3:$E$14,3,0)*X69</f>
        <v>10302.242741645305</v>
      </c>
      <c r="Q69" s="23">
        <f t="shared" si="3"/>
        <v>0.05</v>
      </c>
      <c r="R69" s="23">
        <f t="shared" si="4"/>
        <v>1.5</v>
      </c>
      <c r="S69" s="23">
        <f t="shared" si="5"/>
        <v>0.9</v>
      </c>
      <c r="T69" s="38">
        <f>N69*(1+Q69*(R69-1))*S69*战斗公式!$E$38+(P69*战斗公式!$E$39+1)*O69*战斗公式!$E$40</f>
        <v>52825.664918990449</v>
      </c>
      <c r="U69" s="38">
        <f t="shared" si="6"/>
        <v>2544.0498168019913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1"/>
      <c r="AE69" s="21"/>
      <c r="AF69" s="21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5"/>
      <c r="J70" s="6"/>
      <c r="K70" s="6"/>
      <c r="L70" s="6">
        <f t="shared" ref="L70:L104" si="9">O70/P70</f>
        <v>2.5322601762674908</v>
      </c>
      <c r="M70" s="1">
        <v>66</v>
      </c>
      <c r="N70" s="6">
        <f>VLOOKUP($N$2,角色品星!$C$16:$D$20,2,0)*VLOOKUP($N$3,角色品星!$C$3:$E$14,3,0)*V70</f>
        <v>1084.6278287494224</v>
      </c>
      <c r="O70" s="6">
        <f>VLOOKUP($N$2,角色品星!$C$16:$D$20,2,0)*VLOOKUP($N$3,角色品星!$C$3:$E$14,3,0)*W70</f>
        <v>27392.356971954679</v>
      </c>
      <c r="P70" s="6">
        <f>VLOOKUP($N$2,角色品星!$C$16:$D$20,2,0)*VLOOKUP($N$3,角色品星!$C$3:$E$14,3,0)*X70</f>
        <v>10817.35487872757</v>
      </c>
      <c r="Q70" s="23">
        <f t="shared" ref="Q70:Q104" si="10">Y70</f>
        <v>0.05</v>
      </c>
      <c r="R70" s="23">
        <f t="shared" ref="R70:R104" si="11">Z70</f>
        <v>1.5</v>
      </c>
      <c r="S70" s="23">
        <f t="shared" ref="S70:S104" si="12">AA70</f>
        <v>0.9</v>
      </c>
      <c r="T70" s="38">
        <f>N70*(1+Q70*(R70-1))*S70*战斗公式!$E$38+(P70*战斗公式!$E$39+1)*O70*战斗公式!$E$40</f>
        <v>55369.71473579244</v>
      </c>
      <c r="U70" s="38">
        <f t="shared" ref="U70:U104" si="13">T71-T70</f>
        <v>2662.9917871646758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1"/>
      <c r="AE70" s="21"/>
      <c r="AF70" s="21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5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1138.8592201868935</v>
      </c>
      <c r="O71" s="6">
        <f>VLOOKUP($N$2,角色品星!$C$16:$D$20,2,0)*VLOOKUP($N$3,角色品星!$C$3:$E$14,3,0)*W71</f>
        <v>28527.543821385872</v>
      </c>
      <c r="P71" s="6">
        <f>VLOOKUP($N$2,角色品星!$C$16:$D$20,2,0)*VLOOKUP($N$3,角色品星!$C$3:$E$14,3,0)*X71</f>
        <v>11358.222622663949</v>
      </c>
      <c r="Q71" s="23">
        <f t="shared" si="10"/>
        <v>0.05</v>
      </c>
      <c r="R71" s="23">
        <f t="shared" si="11"/>
        <v>1.5</v>
      </c>
      <c r="S71" s="23">
        <f t="shared" si="12"/>
        <v>0.9</v>
      </c>
      <c r="T71" s="38">
        <f>N71*(1+Q71*(R71-1))*S71*战斗公式!$E$38+(P71*战斗公式!$E$39+1)*O71*战斗公式!$E$40</f>
        <v>58032.706522957116</v>
      </c>
      <c r="U71" s="38">
        <f t="shared" si="13"/>
        <v>2787.2551297362807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1"/>
      <c r="AE71" s="21"/>
      <c r="AF71" s="21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5"/>
      <c r="J72" s="6"/>
      <c r="K72" s="6"/>
      <c r="L72" s="6">
        <f t="shared" si="9"/>
        <v>2.4903077066992618</v>
      </c>
      <c r="M72" s="1">
        <v>68</v>
      </c>
      <c r="N72" s="6">
        <f>VLOOKUP($N$2,角色品星!$C$16:$D$20,2,0)*VLOOKUP($N$3,角色品星!$C$3:$E$14,3,0)*V72</f>
        <v>1195.8021811962381</v>
      </c>
      <c r="O72" s="6">
        <f>VLOOKUP($N$2,角色品星!$C$16:$D$20,2,0)*VLOOKUP($N$3,角色品星!$C$3:$E$14,3,0)*W72</f>
        <v>29699.742798207237</v>
      </c>
      <c r="P72" s="6">
        <f>VLOOKUP($N$2,角色品星!$C$16:$D$20,2,0)*VLOOKUP($N$3,角色品星!$C$3:$E$14,3,0)*X72</f>
        <v>11926.133753797149</v>
      </c>
      <c r="Q72" s="23">
        <f t="shared" si="10"/>
        <v>0.05</v>
      </c>
      <c r="R72" s="23">
        <f t="shared" si="11"/>
        <v>1.5</v>
      </c>
      <c r="S72" s="23">
        <f t="shared" si="12"/>
        <v>0.9</v>
      </c>
      <c r="T72" s="38">
        <f>N72*(1+Q72*(R72-1))*S72*战斗公式!$E$38+(P72*战斗公式!$E$39+1)*O72*战斗公式!$E$40</f>
        <v>60819.961652693397</v>
      </c>
      <c r="U72" s="38">
        <f t="shared" si="13"/>
        <v>2917.0681964747273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1"/>
      <c r="AE72" s="21"/>
      <c r="AF72" s="21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5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1255.5922902560503</v>
      </c>
      <c r="O73" s="6">
        <f>VLOOKUP($N$2,角色品星!$C$16:$D$20,2,0)*VLOOKUP($N$3,角色品星!$C$3:$E$14,3,0)*W73</f>
        <v>30909.330191095472</v>
      </c>
      <c r="P73" s="6">
        <f>VLOOKUP($N$2,角色品星!$C$16:$D$20,2,0)*VLOOKUP($N$3,角色品星!$C$3:$E$14,3,0)*X73</f>
        <v>12522.440441487004</v>
      </c>
      <c r="Q73" s="23">
        <f t="shared" si="10"/>
        <v>0.05</v>
      </c>
      <c r="R73" s="23">
        <f t="shared" si="11"/>
        <v>1.5</v>
      </c>
      <c r="S73" s="23">
        <f t="shared" si="12"/>
        <v>0.9</v>
      </c>
      <c r="T73" s="38">
        <f>N73*(1+Q73*(R73-1))*S73*战斗公式!$E$38+(P73*战斗公式!$E$39+1)*O73*战斗公式!$E$40</f>
        <v>63737.029849168124</v>
      </c>
      <c r="U73" s="38">
        <f t="shared" si="13"/>
        <v>3052.6696698236119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1"/>
      <c r="AE73" s="21"/>
      <c r="AF73" s="21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5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1318.3719047688523</v>
      </c>
      <c r="O74" s="6">
        <f>VLOOKUP($N$2,角色品星!$C$16:$D$20,2,0)*VLOOKUP($N$3,角色品星!$C$3:$E$14,3,0)*W74</f>
        <v>32156.614872572973</v>
      </c>
      <c r="P74" s="6">
        <f>VLOOKUP($N$2,角色品星!$C$16:$D$20,2,0)*VLOOKUP($N$3,角色品星!$C$3:$E$14,3,0)*X74</f>
        <v>13148.562463561353</v>
      </c>
      <c r="Q74" s="23">
        <f t="shared" si="10"/>
        <v>0.05</v>
      </c>
      <c r="R74" s="23">
        <f t="shared" si="11"/>
        <v>1.5</v>
      </c>
      <c r="S74" s="23">
        <f t="shared" si="12"/>
        <v>0.9</v>
      </c>
      <c r="T74" s="38">
        <f>N74*(1+Q74*(R74-1))*S74*战斗公式!$E$38+(P74*战斗公式!$E$39+1)*O74*战斗公式!$E$40</f>
        <v>66789.699518991736</v>
      </c>
      <c r="U74" s="38">
        <f t="shared" si="13"/>
        <v>3194.3091974302806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1"/>
      <c r="AE74" s="21"/>
      <c r="AF74" s="21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5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1384.2905000072951</v>
      </c>
      <c r="O75" s="6">
        <f>VLOOKUP($N$2,角色品星!$C$16:$D$20,2,0)*VLOOKUP($N$3,角色品星!$C$3:$E$14,3,0)*W75</f>
        <v>33441.832775047573</v>
      </c>
      <c r="P75" s="6">
        <f>VLOOKUP($N$2,角色品星!$C$16:$D$20,2,0)*VLOOKUP($N$3,角色品星!$C$3:$E$14,3,0)*X75</f>
        <v>13805.990586739421</v>
      </c>
      <c r="Q75" s="23">
        <f t="shared" si="10"/>
        <v>0.05</v>
      </c>
      <c r="R75" s="23">
        <f t="shared" si="11"/>
        <v>1.5</v>
      </c>
      <c r="S75" s="23">
        <f t="shared" si="12"/>
        <v>0.9</v>
      </c>
      <c r="T75" s="38">
        <f>N75*(1+Q75*(R75-1))*S75*战斗公式!$E$38+(P75*战斗公式!$E$39+1)*O75*战斗公式!$E$40</f>
        <v>69984.008716422017</v>
      </c>
      <c r="U75" s="38">
        <f t="shared" si="13"/>
        <v>3342.2480797314493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1"/>
      <c r="AE75" s="21"/>
      <c r="AF75" s="21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5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1453.5050250076599</v>
      </c>
      <c r="O76" s="6">
        <f>VLOOKUP($N$2,角色品星!$C$16:$D$20,2,0)*VLOOKUP($N$3,角色品星!$C$3:$E$14,3,0)*W76</f>
        <v>34765.141400267363</v>
      </c>
      <c r="P76" s="6">
        <f>VLOOKUP($N$2,角色品星!$C$16:$D$20,2,0)*VLOOKUP($N$3,角色品星!$C$3:$E$14,3,0)*X76</f>
        <v>14496.290116076394</v>
      </c>
      <c r="Q76" s="23">
        <f t="shared" si="10"/>
        <v>0.05</v>
      </c>
      <c r="R76" s="23">
        <f t="shared" si="11"/>
        <v>1.5</v>
      </c>
      <c r="S76" s="23">
        <f t="shared" si="12"/>
        <v>0.9</v>
      </c>
      <c r="T76" s="38">
        <f>N76*(1+Q76*(R76-1))*S76*战斗公式!$E$38+(P76*战斗公式!$E$39+1)*O76*战斗公式!$E$40</f>
        <v>73326.256796153466</v>
      </c>
      <c r="U76" s="38">
        <f t="shared" si="13"/>
        <v>3496.7600139273272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1"/>
      <c r="AE76" s="21"/>
      <c r="AF76" s="21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5"/>
      <c r="J77" s="6"/>
      <c r="K77" s="6"/>
      <c r="L77" s="6">
        <f t="shared" si="9"/>
        <v>2.3734554955254148</v>
      </c>
      <c r="M77" s="1">
        <v>73</v>
      </c>
      <c r="N77" s="6">
        <f>VLOOKUP($N$2,角色品星!$C$16:$D$20,2,0)*VLOOKUP($N$3,角色品星!$C$3:$E$14,3,0)*V77</f>
        <v>1526.1802762580428</v>
      </c>
      <c r="O77" s="6">
        <f>VLOOKUP($N$2,角色品星!$C$16:$D$20,2,0)*VLOOKUP($N$3,角色品星!$C$3:$E$14,3,0)*W77</f>
        <v>36126.614412768875</v>
      </c>
      <c r="P77" s="6">
        <f>VLOOKUP($N$2,角色品星!$C$16:$D$20,2,0)*VLOOKUP($N$3,角色品星!$C$3:$E$14,3,0)*X77</f>
        <v>15221.104621880211</v>
      </c>
      <c r="Q77" s="23">
        <f t="shared" si="10"/>
        <v>0.05</v>
      </c>
      <c r="R77" s="23">
        <f t="shared" si="11"/>
        <v>1.5</v>
      </c>
      <c r="S77" s="23">
        <f t="shared" si="12"/>
        <v>0.9</v>
      </c>
      <c r="T77" s="38">
        <f>N77*(1+Q77*(R77-1))*S77*战斗公式!$E$38+(P77*战斗公式!$E$39+1)*O77*战斗公式!$E$40</f>
        <v>76823.016810080793</v>
      </c>
      <c r="U77" s="38">
        <f t="shared" si="13"/>
        <v>3658.131897815183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1"/>
      <c r="AE77" s="21"/>
      <c r="AF77" s="21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5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1602.4892900709449</v>
      </c>
      <c r="O78" s="6">
        <f>VLOOKUP($N$2,角色品星!$C$16:$D$20,2,0)*VLOOKUP($N$3,角色品星!$C$3:$E$14,3,0)*W78</f>
        <v>37526.236371876555</v>
      </c>
      <c r="P78" s="6">
        <f>VLOOKUP($N$2,角色品星!$C$16:$D$20,2,0)*VLOOKUP($N$3,角色品星!$C$3:$E$14,3,0)*X78</f>
        <v>15982.15985297422</v>
      </c>
      <c r="Q78" s="23">
        <f t="shared" si="10"/>
        <v>0.05</v>
      </c>
      <c r="R78" s="23">
        <f t="shared" si="11"/>
        <v>1.5</v>
      </c>
      <c r="S78" s="23">
        <f t="shared" si="12"/>
        <v>0.9</v>
      </c>
      <c r="T78" s="38">
        <f>N78*(1+Q78*(R78-1))*S78*战斗公式!$E$38+(P78*战斗公式!$E$39+1)*O78*战斗公式!$E$40</f>
        <v>80481.148707895976</v>
      </c>
      <c r="U78" s="38">
        <f t="shared" si="13"/>
        <v>3826.6646968623681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1"/>
      <c r="AE78" s="21"/>
      <c r="AF78" s="21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5"/>
      <c r="J79" s="6"/>
      <c r="K79" s="6"/>
      <c r="L79" s="6">
        <f t="shared" si="9"/>
        <v>2.321868527386699</v>
      </c>
      <c r="M79" s="1">
        <v>75</v>
      </c>
      <c r="N79" s="6">
        <f>VLOOKUP($N$2,角色品星!$C$16:$D$20,2,0)*VLOOKUP($N$3,角色品星!$C$3:$E$14,3,0)*V79</f>
        <v>1682.6137545744923</v>
      </c>
      <c r="O79" s="6">
        <f>VLOOKUP($N$2,角色品星!$C$16:$D$20,2,0)*VLOOKUP($N$3,角色品星!$C$3:$E$14,3,0)*W79</f>
        <v>38963.897660398274</v>
      </c>
      <c r="P79" s="6">
        <f>VLOOKUP($N$2,角色品星!$C$16:$D$20,2,0)*VLOOKUP($N$3,角色品星!$C$3:$E$14,3,0)*X79</f>
        <v>16781.26784562293</v>
      </c>
      <c r="Q79" s="23">
        <f t="shared" si="10"/>
        <v>0.05</v>
      </c>
      <c r="R79" s="23">
        <f t="shared" si="11"/>
        <v>1.5</v>
      </c>
      <c r="S79" s="23">
        <f t="shared" si="12"/>
        <v>0.9</v>
      </c>
      <c r="T79" s="38">
        <f>N79*(1+Q79*(R79-1))*S79*战斗公式!$E$38+(P79*战斗公式!$E$39+1)*O79*战斗公式!$E$40</f>
        <v>84307.813404758344</v>
      </c>
      <c r="U79" s="38">
        <f t="shared" si="13"/>
        <v>4002.6743777570373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1"/>
      <c r="AE79" s="21"/>
      <c r="AF79" s="21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5"/>
      <c r="J80" s="6"/>
      <c r="K80" s="6"/>
      <c r="L80" s="6">
        <f t="shared" si="9"/>
        <v>2.2950413999168768</v>
      </c>
      <c r="M80" s="1">
        <v>76</v>
      </c>
      <c r="N80" s="6">
        <f>VLOOKUP($N$2,角色品星!$C$16:$D$20,2,0)*VLOOKUP($N$3,角色品星!$C$3:$E$14,3,0)*V80</f>
        <v>1766.7444423032171</v>
      </c>
      <c r="O80" s="6">
        <f>VLOOKUP($N$2,角色品星!$C$16:$D$20,2,0)*VLOOKUP($N$3,角色品星!$C$3:$E$14,3,0)*W80</f>
        <v>40439.389671238452</v>
      </c>
      <c r="P80" s="6">
        <f>VLOOKUP($N$2,角色品星!$C$16:$D$20,2,0)*VLOOKUP($N$3,角色品星!$C$3:$E$14,3,0)*X80</f>
        <v>17620.33123790408</v>
      </c>
      <c r="Q80" s="23">
        <f t="shared" si="10"/>
        <v>0.05</v>
      </c>
      <c r="R80" s="23">
        <f t="shared" si="11"/>
        <v>1.5</v>
      </c>
      <c r="S80" s="23">
        <f t="shared" si="12"/>
        <v>0.9</v>
      </c>
      <c r="T80" s="38">
        <f>N80*(1+Q80*(R80-1))*S80*战斗公式!$E$38+(P80*战斗公式!$E$39+1)*O80*战斗公式!$E$40</f>
        <v>88310.487782515382</v>
      </c>
      <c r="U80" s="38">
        <f t="shared" si="13"/>
        <v>4186.4929114848928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1"/>
      <c r="AE80" s="21"/>
      <c r="AF80" s="21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5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1855.0816644183776</v>
      </c>
      <c r="O81" s="6">
        <f>VLOOKUP($N$2,角色品星!$C$16:$D$20,2,0)*VLOOKUP($N$3,角色品星!$C$3:$E$14,3,0)*W81</f>
        <v>41952.400315598483</v>
      </c>
      <c r="P81" s="6">
        <f>VLOOKUP($N$2,角色品星!$C$16:$D$20,2,0)*VLOOKUP($N$3,角色品星!$C$3:$E$14,3,0)*X81</f>
        <v>18501.347799799281</v>
      </c>
      <c r="Q81" s="23">
        <f t="shared" si="10"/>
        <v>0.05</v>
      </c>
      <c r="R81" s="23">
        <f t="shared" si="11"/>
        <v>1.5</v>
      </c>
      <c r="S81" s="23">
        <f t="shared" si="12"/>
        <v>0.9</v>
      </c>
      <c r="T81" s="38">
        <f>N81*(1+Q81*(R81-1))*S81*战斗公式!$E$38+(P81*战斗公式!$E$39+1)*O81*战斗公式!$E$40</f>
        <v>92496.980694000275</v>
      </c>
      <c r="U81" s="38">
        <f t="shared" si="13"/>
        <v>4378.4693487394979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1"/>
      <c r="AE81" s="21"/>
      <c r="AF81" s="21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5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1947.8357476392966</v>
      </c>
      <c r="O82" s="6">
        <f>VLOOKUP($N$2,角色品星!$C$16:$D$20,2,0)*VLOOKUP($N$3,角色品星!$C$3:$E$14,3,0)*W82</f>
        <v>43502.509918132782</v>
      </c>
      <c r="P82" s="6">
        <f>VLOOKUP($N$2,角色品星!$C$16:$D$20,2,0)*VLOOKUP($N$3,角色品星!$C$3:$E$14,3,0)*X82</f>
        <v>19426.415189789252</v>
      </c>
      <c r="Q82" s="23">
        <f t="shared" si="10"/>
        <v>0.05</v>
      </c>
      <c r="R82" s="23">
        <f t="shared" si="11"/>
        <v>1.5</v>
      </c>
      <c r="S82" s="23">
        <f t="shared" si="12"/>
        <v>0.9</v>
      </c>
      <c r="T82" s="38">
        <f>N82*(1+Q82*(R82-1))*S82*战斗公式!$E$38+(P82*战斗公式!$E$39+1)*O82*战斗公式!$E$40</f>
        <v>96875.450042739772</v>
      </c>
      <c r="U82" s="38">
        <f t="shared" si="13"/>
        <v>4578.9709701871034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1"/>
      <c r="AE82" s="21"/>
      <c r="AF82" s="21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5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2045.227535021261</v>
      </c>
      <c r="O83" s="6">
        <f>VLOOKUP($N$2,角色品星!$C$16:$D$20,2,0)*VLOOKUP($N$3,角色品星!$C$3:$E$14,3,0)*W83</f>
        <v>45089.187565261906</v>
      </c>
      <c r="P83" s="6">
        <f>VLOOKUP($N$2,角色品星!$C$16:$D$20,2,0)*VLOOKUP($N$3,角色品星!$C$3:$E$14,3,0)*X83</f>
        <v>20397.735949278704</v>
      </c>
      <c r="Q83" s="23">
        <f t="shared" si="10"/>
        <v>0.05</v>
      </c>
      <c r="R83" s="23">
        <f t="shared" si="11"/>
        <v>1.5</v>
      </c>
      <c r="S83" s="23">
        <f t="shared" si="12"/>
        <v>0.9</v>
      </c>
      <c r="T83" s="38">
        <f>N83*(1+Q83*(R83-1))*S83*战斗公式!$E$38+(P83*战斗公式!$E$39+1)*O83*战斗公式!$E$40</f>
        <v>101454.42101292688</v>
      </c>
      <c r="U83" s="38">
        <f t="shared" si="13"/>
        <v>4788.3845137760363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1"/>
      <c r="AE83" s="21"/>
      <c r="AF83" s="21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5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2147.4889117723251</v>
      </c>
      <c r="O84" s="6">
        <f>VLOOKUP($N$2,角色品星!$C$16:$D$20,2,0)*VLOOKUP($N$3,角色品星!$C$3:$E$14,3,0)*W84</f>
        <v>46711.787972702034</v>
      </c>
      <c r="P84" s="6">
        <f>VLOOKUP($N$2,角色品星!$C$16:$D$20,2,0)*VLOOKUP($N$3,角色品星!$C$3:$E$14,3,0)*X84</f>
        <v>21417.622746742654</v>
      </c>
      <c r="Q84" s="23">
        <f t="shared" si="10"/>
        <v>0.05</v>
      </c>
      <c r="R84" s="23">
        <f t="shared" si="11"/>
        <v>1.5</v>
      </c>
      <c r="S84" s="23">
        <f t="shared" si="12"/>
        <v>0.9</v>
      </c>
      <c r="T84" s="38">
        <f>N84*(1+Q84*(R84-1))*S84*战斗公式!$E$38+(P84*战斗公式!$E$39+1)*O84*战斗公式!$E$40</f>
        <v>106242.80552670291</v>
      </c>
      <c r="U84" s="38">
        <f t="shared" si="13"/>
        <v>5007.1174809069635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1"/>
      <c r="AE84" s="21"/>
      <c r="AF84" s="21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5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2254.8633573609409</v>
      </c>
      <c r="O85" s="6">
        <f>VLOOKUP($N$2,角色品星!$C$16:$D$20,2,0)*VLOOKUP($N$3,角色品星!$C$3:$E$14,3,0)*W85</f>
        <v>48369.548937052299</v>
      </c>
      <c r="P85" s="6">
        <f>VLOOKUP($N$2,角色品星!$C$16:$D$20,2,0)*VLOOKUP($N$3,角色品星!$C$3:$E$14,3,0)*X85</f>
        <v>22488.503884079782</v>
      </c>
      <c r="Q85" s="23">
        <f t="shared" si="10"/>
        <v>0.05</v>
      </c>
      <c r="R85" s="23">
        <f t="shared" si="11"/>
        <v>1.5</v>
      </c>
      <c r="S85" s="23">
        <f t="shared" si="12"/>
        <v>0.9</v>
      </c>
      <c r="T85" s="38">
        <f>N85*(1+Q85*(R85-1))*S85*战斗公式!$E$38+(P85*战斗公式!$E$39+1)*O85*战斗公式!$E$40</f>
        <v>111249.92300760988</v>
      </c>
      <c r="U85" s="38">
        <f t="shared" si="13"/>
        <v>5235.5995228818501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1"/>
      <c r="AE85" s="21"/>
      <c r="AF85" s="21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5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2367.6065252289886</v>
      </c>
      <c r="O86" s="6">
        <f>VLOOKUP($N$2,角色品星!$C$16:$D$20,2,0)*VLOOKUP($N$3,角色品星!$C$3:$E$14,3,0)*W86</f>
        <v>50061.589433907895</v>
      </c>
      <c r="P86" s="6">
        <f>VLOOKUP($N$2,角色品星!$C$16:$D$20,2,0)*VLOOKUP($N$3,角色品星!$C$3:$E$14,3,0)*X86</f>
        <v>23612.929078283774</v>
      </c>
      <c r="Q86" s="23">
        <f t="shared" si="10"/>
        <v>0.05</v>
      </c>
      <c r="R86" s="23">
        <f t="shared" si="11"/>
        <v>1.5</v>
      </c>
      <c r="S86" s="23">
        <f t="shared" si="12"/>
        <v>0.9</v>
      </c>
      <c r="T86" s="38">
        <f>N86*(1+Q86*(R86-1))*S86*战斗公式!$E$38+(P86*战斗公式!$E$39+1)*O86*战斗公式!$E$40</f>
        <v>116485.52253049173</v>
      </c>
      <c r="U86" s="38">
        <f t="shared" si="13"/>
        <v>5474.2839086199237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1"/>
      <c r="AE86" s="21"/>
      <c r="AF86" s="21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5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2485.9868514904379</v>
      </c>
      <c r="O87" s="6">
        <f>VLOOKUP($N$2,角色品星!$C$16:$D$20,2,0)*VLOOKUP($N$3,角色品星!$C$3:$E$14,3,0)*W87</f>
        <v>51786.908421370688</v>
      </c>
      <c r="P87" s="6">
        <f>VLOOKUP($N$2,角色品星!$C$16:$D$20,2,0)*VLOOKUP($N$3,角色品星!$C$3:$E$14,3,0)*X87</f>
        <v>24793.57553219796</v>
      </c>
      <c r="Q87" s="23">
        <f t="shared" si="10"/>
        <v>0.05</v>
      </c>
      <c r="R87" s="23">
        <f t="shared" si="11"/>
        <v>1.5</v>
      </c>
      <c r="S87" s="23">
        <f t="shared" si="12"/>
        <v>0.9</v>
      </c>
      <c r="T87" s="38">
        <f>N87*(1+Q87*(R87-1))*S87*战斗公式!$E$38+(P87*战斗公式!$E$39+1)*O87*战斗公式!$E$40</f>
        <v>121959.80643911165</v>
      </c>
      <c r="U87" s="38">
        <f t="shared" si="13"/>
        <v>5723.649074195564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1"/>
      <c r="AE87" s="21"/>
      <c r="AF87" s="21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5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2610.2861940649591</v>
      </c>
      <c r="O88" s="6">
        <f>VLOOKUP($N$2,角色品星!$C$16:$D$20,2,0)*VLOOKUP($N$3,角色品星!$C$3:$E$14,3,0)*W88</f>
        <v>53544.384402972588</v>
      </c>
      <c r="P88" s="6">
        <f>VLOOKUP($N$2,角色品星!$C$16:$D$20,2,0)*VLOOKUP($N$3,角色品星!$C$3:$E$14,3,0)*X88</f>
        <v>26033.25430880786</v>
      </c>
      <c r="Q88" s="23">
        <f t="shared" si="10"/>
        <v>0.05</v>
      </c>
      <c r="R88" s="23">
        <f t="shared" si="11"/>
        <v>1.5</v>
      </c>
      <c r="S88" s="23">
        <f t="shared" si="12"/>
        <v>0.9</v>
      </c>
      <c r="T88" s="38">
        <f>N88*(1+Q88*(R88-1))*S88*战斗公式!$E$38+(P88*战斗公式!$E$39+1)*O88*战斗公式!$E$40</f>
        <v>127683.45551330721</v>
      </c>
      <c r="U88" s="38">
        <f t="shared" si="13"/>
        <v>5984.2002543155395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1"/>
      <c r="AE88" s="21"/>
      <c r="AF88" s="21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5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2740.8005037682078</v>
      </c>
      <c r="O89" s="6">
        <f>VLOOKUP($N$2,角色品星!$C$16:$D$20,2,0)*VLOOKUP($N$3,角色品星!$C$3:$E$14,3,0)*W89</f>
        <v>55332.775797899354</v>
      </c>
      <c r="P89" s="6">
        <f>VLOOKUP($N$2,角色品星!$C$16:$D$20,2,0)*VLOOKUP($N$3,角色品星!$C$3:$E$14,3,0)*X89</f>
        <v>27334.917024248251</v>
      </c>
      <c r="Q89" s="23">
        <f t="shared" si="10"/>
        <v>0.05</v>
      </c>
      <c r="R89" s="23">
        <f t="shared" si="11"/>
        <v>1.5</v>
      </c>
      <c r="S89" s="23">
        <f t="shared" si="12"/>
        <v>0.9</v>
      </c>
      <c r="T89" s="38">
        <f>N89*(1+Q89*(R89-1))*S89*战斗公式!$E$38+(P89*战斗公式!$E$39+1)*O89*战斗公式!$E$40</f>
        <v>133667.65576762275</v>
      </c>
      <c r="U89" s="38">
        <f t="shared" si="13"/>
        <v>6256.4711954328232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1"/>
      <c r="AE89" s="21"/>
      <c r="AF89" s="21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5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2877.8405289566181</v>
      </c>
      <c r="O90" s="6">
        <f>VLOOKUP($N$2,角色品星!$C$16:$D$20,2,0)*VLOOKUP($N$3,角色品星!$C$3:$E$14,3,0)*W90</f>
        <v>57150.722159020384</v>
      </c>
      <c r="P90" s="6">
        <f>VLOOKUP($N$2,角色品星!$C$16:$D$20,2,0)*VLOOKUP($N$3,角色品星!$C$3:$E$14,3,0)*X90</f>
        <v>28701.662875460665</v>
      </c>
      <c r="Q90" s="23">
        <f t="shared" si="10"/>
        <v>0.05</v>
      </c>
      <c r="R90" s="23">
        <f t="shared" si="11"/>
        <v>1.5</v>
      </c>
      <c r="S90" s="23">
        <f t="shared" si="12"/>
        <v>0.9</v>
      </c>
      <c r="T90" s="38">
        <f>N90*(1+Q90*(R90-1))*S90*战斗公式!$E$38+(P90*战斗公式!$E$39+1)*O90*战斗公式!$E$40</f>
        <v>139924.12696305558</v>
      </c>
      <c r="U90" s="38">
        <f t="shared" si="13"/>
        <v>6541.0259498087689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1"/>
      <c r="AE90" s="21"/>
      <c r="AF90" s="21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5"/>
      <c r="J91" s="6"/>
      <c r="K91" s="6"/>
      <c r="L91" s="6">
        <f t="shared" si="9"/>
        <v>1.9576349162911875</v>
      </c>
      <c r="M91" s="1">
        <v>87</v>
      </c>
      <c r="N91" s="6">
        <f>VLOOKUP($N$2,角色品星!$C$16:$D$20,2,0)*VLOOKUP($N$3,角色品星!$C$3:$E$14,3,0)*V91</f>
        <v>3021.7325554044482</v>
      </c>
      <c r="O91" s="6">
        <f>VLOOKUP($N$2,角色品星!$C$16:$D$20,2,0)*VLOOKUP($N$3,角色品星!$C$3:$E$14,3,0)*W91</f>
        <v>58996.746270651332</v>
      </c>
      <c r="P91" s="6">
        <f>VLOOKUP($N$2,角色品星!$C$16:$D$20,2,0)*VLOOKUP($N$3,角色品星!$C$3:$E$14,3,0)*X91</f>
        <v>30136.746019233695</v>
      </c>
      <c r="Q91" s="23">
        <f t="shared" si="10"/>
        <v>0.05</v>
      </c>
      <c r="R91" s="23">
        <f t="shared" si="11"/>
        <v>1.5</v>
      </c>
      <c r="S91" s="23">
        <f t="shared" si="12"/>
        <v>0.9</v>
      </c>
      <c r="T91" s="38">
        <f>N91*(1+Q91*(R91-1))*S91*战斗公式!$E$38+(P91*战斗公式!$E$39+1)*O91*战斗公式!$E$40</f>
        <v>146465.15291286435</v>
      </c>
      <c r="U91" s="38">
        <f t="shared" si="13"/>
        <v>6838.4607494890806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1"/>
      <c r="AE91" s="21"/>
      <c r="AF91" s="21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5"/>
      <c r="J92" s="6"/>
      <c r="K92" s="6"/>
      <c r="L92" s="6">
        <f t="shared" si="9"/>
        <v>1.9235892639705612</v>
      </c>
      <c r="M92" s="1">
        <v>88</v>
      </c>
      <c r="N92" s="6">
        <f>VLOOKUP($N$2,角色品星!$C$16:$D$20,2,0)*VLOOKUP($N$3,角色品星!$C$3:$E$14,3,0)*V92</f>
        <v>3172.8191831746713</v>
      </c>
      <c r="O92" s="6">
        <f>VLOOKUP($N$2,角色品星!$C$16:$D$20,2,0)*VLOOKUP($N$3,角色品星!$C$3:$E$14,3,0)*W92</f>
        <v>60869.257148285767</v>
      </c>
      <c r="P92" s="6">
        <f>VLOOKUP($N$2,角色品星!$C$16:$D$20,2,0)*VLOOKUP($N$3,角色品星!$C$3:$E$14,3,0)*X92</f>
        <v>31643.583320195386</v>
      </c>
      <c r="Q92" s="23">
        <f t="shared" si="10"/>
        <v>0.05</v>
      </c>
      <c r="R92" s="23">
        <f t="shared" si="11"/>
        <v>1.5</v>
      </c>
      <c r="S92" s="23">
        <f t="shared" si="12"/>
        <v>0.9</v>
      </c>
      <c r="T92" s="38">
        <f>N92*(1+Q92*(R92-1))*S92*战斗公式!$E$38+(P92*战斗公式!$E$39+1)*O92*战斗公式!$E$40</f>
        <v>153303.61366235343</v>
      </c>
      <c r="U92" s="38">
        <f t="shared" si="13"/>
        <v>7149.4059588886739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1"/>
      <c r="AE92" s="21"/>
      <c r="AF92" s="21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5"/>
      <c r="J93" s="6"/>
      <c r="K93" s="6"/>
      <c r="L93" s="6">
        <f t="shared" si="9"/>
        <v>1.8890929584510689</v>
      </c>
      <c r="M93" s="1">
        <v>89</v>
      </c>
      <c r="N93" s="6">
        <f>VLOOKUP($N$2,角色品星!$C$16:$D$20,2,0)*VLOOKUP($N$3,角色品星!$C$3:$E$14,3,0)*V93</f>
        <v>3331.4601423334047</v>
      </c>
      <c r="O93" s="6">
        <f>VLOOKUP($N$2,角色品星!$C$16:$D$20,2,0)*VLOOKUP($N$3,角色品星!$C$3:$E$14,3,0)*W93</f>
        <v>62766.553951857837</v>
      </c>
      <c r="P93" s="6">
        <f>VLOOKUP($N$2,角色品星!$C$16:$D$20,2,0)*VLOOKUP($N$3,角色品星!$C$3:$E$14,3,0)*X93</f>
        <v>33225.762486205153</v>
      </c>
      <c r="Q93" s="23">
        <f t="shared" si="10"/>
        <v>0.05</v>
      </c>
      <c r="R93" s="23">
        <f t="shared" si="11"/>
        <v>1.5</v>
      </c>
      <c r="S93" s="23">
        <f t="shared" si="12"/>
        <v>0.9</v>
      </c>
      <c r="T93" s="38">
        <f>N93*(1+Q93*(R93-1))*S93*战斗公式!$E$38+(P93*战斗公式!$E$39+1)*O93*战斗公式!$E$40</f>
        <v>160453.0196212421</v>
      </c>
      <c r="U93" s="38">
        <f t="shared" si="13"/>
        <v>7474.528104478668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1"/>
      <c r="AE93" s="21"/>
      <c r="AF93" s="21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5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3498.0331494500751</v>
      </c>
      <c r="O94" s="6">
        <f>VLOOKUP($N$2,角色品星!$C$16:$D$20,2,0)*VLOOKUP($N$3,角色品星!$C$3:$E$14,3,0)*W94</f>
        <v>64686.830812598651</v>
      </c>
      <c r="P94" s="6">
        <f>VLOOKUP($N$2,角色品星!$C$16:$D$20,2,0)*VLOOKUP($N$3,角色品星!$C$3:$E$14,3,0)*X94</f>
        <v>34887.050610515405</v>
      </c>
      <c r="Q94" s="23">
        <f t="shared" si="10"/>
        <v>0.05</v>
      </c>
      <c r="R94" s="23">
        <f t="shared" si="11"/>
        <v>1.5</v>
      </c>
      <c r="S94" s="23">
        <f t="shared" si="12"/>
        <v>0.9</v>
      </c>
      <c r="T94" s="38">
        <f>N94*(1+Q94*(R94-1))*S94*战斗公式!$E$38+(P94*战斗公式!$E$39+1)*O94*战斗公式!$E$40</f>
        <v>167927.54772572077</v>
      </c>
      <c r="U94" s="38">
        <f t="shared" si="13"/>
        <v>7814.5319799713616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1"/>
      <c r="AE94" s="21"/>
      <c r="AF94" s="21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5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3672.9348069225789</v>
      </c>
      <c r="O95" s="6">
        <f>VLOOKUP($N$2,角色品星!$C$16:$D$20,2,0)*VLOOKUP($N$3,角色品星!$C$3:$E$14,3,0)*W95</f>
        <v>66628.182561418158</v>
      </c>
      <c r="P95" s="6">
        <f>VLOOKUP($N$2,角色品星!$C$16:$D$20,2,0)*VLOOKUP($N$3,角色品星!$C$3:$E$14,3,0)*X95</f>
        <v>36631.403141041177</v>
      </c>
      <c r="Q95" s="23">
        <f t="shared" si="10"/>
        <v>0.05</v>
      </c>
      <c r="R95" s="23">
        <f t="shared" si="11"/>
        <v>1.5</v>
      </c>
      <c r="S95" s="23">
        <f t="shared" si="12"/>
        <v>0.9</v>
      </c>
      <c r="T95" s="38">
        <f>N95*(1+Q95*(R95-1))*S95*战斗公式!$E$38+(P95*战斗公式!$E$39+1)*O95*战斗公式!$E$40</f>
        <v>175742.07970569213</v>
      </c>
      <c r="U95" s="38">
        <f t="shared" si="13"/>
        <v>8170.1628254072857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1"/>
      <c r="AE95" s="21"/>
      <c r="AF95" s="21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5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3856.5815472687077</v>
      </c>
      <c r="O96" s="6">
        <f>VLOOKUP($N$2,角色品星!$C$16:$D$20,2,0)*VLOOKUP($N$3,角色品星!$C$3:$E$14,3,0)*W96</f>
        <v>68588.611334206173</v>
      </c>
      <c r="P96" s="6">
        <f>VLOOKUP($N$2,角色品星!$C$16:$D$20,2,0)*VLOOKUP($N$3,角色品星!$C$3:$E$14,3,0)*X96</f>
        <v>38462.973298093253</v>
      </c>
      <c r="Q96" s="23">
        <f t="shared" si="10"/>
        <v>0.05</v>
      </c>
      <c r="R96" s="23">
        <f t="shared" si="11"/>
        <v>1.5</v>
      </c>
      <c r="S96" s="23">
        <f t="shared" si="12"/>
        <v>0.9</v>
      </c>
      <c r="T96" s="38">
        <f>N96*(1+Q96*(R96-1))*S96*战斗公式!$E$38+(P96*战斗公式!$E$39+1)*O96*战斗公式!$E$40</f>
        <v>183912.24253109941</v>
      </c>
      <c r="U96" s="38">
        <f t="shared" si="13"/>
        <v>8542.2085786779353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1"/>
      <c r="AE96" s="21"/>
      <c r="AF96" s="21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5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4049.4106246321444</v>
      </c>
      <c r="O97" s="6">
        <f>VLOOKUP($N$2,角色品星!$C$16:$D$20,2,0)*VLOOKUP($N$3,角色品星!$C$3:$E$14,3,0)*W97</f>
        <v>70566.034016745209</v>
      </c>
      <c r="P97" s="6">
        <f>VLOOKUP($N$2,角色品星!$C$16:$D$20,2,0)*VLOOKUP($N$3,角色品星!$C$3:$E$14,3,0)*X97</f>
        <v>40386.121962997902</v>
      </c>
      <c r="Q97" s="23">
        <f t="shared" si="10"/>
        <v>0.05</v>
      </c>
      <c r="R97" s="23">
        <f t="shared" si="11"/>
        <v>1.5</v>
      </c>
      <c r="S97" s="23">
        <f t="shared" si="12"/>
        <v>0.9</v>
      </c>
      <c r="T97" s="38">
        <f>N97*(1+Q97*(R97-1))*S97*战斗公式!$E$38+(P97*战斗公式!$E$39+1)*O97*战斗公式!$E$40</f>
        <v>192454.45110977735</v>
      </c>
      <c r="U97" s="38">
        <f t="shared" si="13"/>
        <v>8931.5021982770704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1"/>
      <c r="AE97" s="21"/>
      <c r="AF97" s="21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5"/>
      <c r="J98" s="6"/>
      <c r="K98" s="6"/>
      <c r="L98" s="6">
        <f t="shared" si="9"/>
        <v>1.7110613852242305</v>
      </c>
      <c r="M98" s="1">
        <v>94</v>
      </c>
      <c r="N98" s="6">
        <f>VLOOKUP($N$2,角色品星!$C$16:$D$20,2,0)*VLOOKUP($N$3,角色品星!$C$3:$E$14,3,0)*V98</f>
        <v>4251.8811558637517</v>
      </c>
      <c r="O98" s="6">
        <f>VLOOKUP($N$2,角色品星!$C$16:$D$20,2,0)*VLOOKUP($N$3,角色品星!$C$3:$E$14,3,0)*W98</f>
        <v>72558.290479334013</v>
      </c>
      <c r="P98" s="6">
        <f>VLOOKUP($N$2,角色品星!$C$16:$D$20,2,0)*VLOOKUP($N$3,角色品星!$C$3:$E$14,3,0)*X98</f>
        <v>42405.428061147803</v>
      </c>
      <c r="Q98" s="23">
        <f t="shared" si="10"/>
        <v>0.05</v>
      </c>
      <c r="R98" s="23">
        <f t="shared" si="11"/>
        <v>1.5</v>
      </c>
      <c r="S98" s="23">
        <f t="shared" si="12"/>
        <v>0.9</v>
      </c>
      <c r="T98" s="38">
        <f>N98*(1+Q98*(R98-1))*S98*战斗公式!$E$38+(P98*战斗公式!$E$39+1)*O98*战斗公式!$E$40</f>
        <v>201385.95330805442</v>
      </c>
      <c r="U98" s="38">
        <f t="shared" si="13"/>
        <v>9338.9240564702777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1"/>
      <c r="AE98" s="21"/>
      <c r="AF98" s="21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5"/>
      <c r="J99" s="6"/>
      <c r="K99" s="6"/>
      <c r="L99" s="6">
        <f t="shared" si="9"/>
        <v>1.6746093477756363</v>
      </c>
      <c r="M99" s="1">
        <v>95</v>
      </c>
      <c r="N99" s="6">
        <f>VLOOKUP($N$2,角色品星!$C$16:$D$20,2,0)*VLOOKUP($N$3,角色品星!$C$3:$E$14,3,0)*V99</f>
        <v>4464.4752136569368</v>
      </c>
      <c r="O99" s="6">
        <f>VLOOKUP($N$2,角色品星!$C$16:$D$20,2,0)*VLOOKUP($N$3,角色品星!$C$3:$E$14,3,0)*W99</f>
        <v>74563.152539006638</v>
      </c>
      <c r="P99" s="6">
        <f>VLOOKUP($N$2,角色品星!$C$16:$D$20,2,0)*VLOOKUP($N$3,角色品星!$C$3:$E$14,3,0)*X99</f>
        <v>44525.69946420518</v>
      </c>
      <c r="Q99" s="23">
        <f t="shared" si="10"/>
        <v>0.05</v>
      </c>
      <c r="R99" s="23">
        <f t="shared" si="11"/>
        <v>1.5</v>
      </c>
      <c r="S99" s="23">
        <f t="shared" si="12"/>
        <v>0.9</v>
      </c>
      <c r="T99" s="38">
        <f>N99*(1+Q99*(R99-1))*S99*战斗公式!$E$38+(P99*战斗公式!$E$39+1)*O99*战斗公式!$E$40</f>
        <v>210724.8773645247</v>
      </c>
      <c r="U99" s="38">
        <f t="shared" si="13"/>
        <v>9765.4044026021729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1"/>
      <c r="AE99" s="21"/>
      <c r="AF99" s="21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5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4687.6989743397853</v>
      </c>
      <c r="O100" s="6">
        <f>VLOOKUP($N$2,角色品星!$C$16:$D$20,2,0)*VLOOKUP($N$3,角色品星!$C$3:$E$14,3,0)*W100</f>
        <v>76578.33357568107</v>
      </c>
      <c r="P100" s="6">
        <f>VLOOKUP($N$2,角色品星!$C$16:$D$20,2,0)*VLOOKUP($N$3,角色品星!$C$3:$E$14,3,0)*X100</f>
        <v>46751.984437415449</v>
      </c>
      <c r="Q100" s="23">
        <f t="shared" si="10"/>
        <v>0.05</v>
      </c>
      <c r="R100" s="23">
        <f t="shared" si="11"/>
        <v>1.5</v>
      </c>
      <c r="S100" s="23">
        <f t="shared" si="12"/>
        <v>0.9</v>
      </c>
      <c r="T100" s="38">
        <f>N100*(1+Q100*(R100-1))*S100*战斗公式!$E$38+(P100*战斗公式!$E$39+1)*O100*战斗公式!$E$40</f>
        <v>220490.28176712687</v>
      </c>
      <c r="U100" s="38">
        <f t="shared" si="13"/>
        <v>10211.925896926085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1"/>
      <c r="AE100" s="21"/>
      <c r="AF100" s="21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5"/>
      <c r="J101" s="6"/>
      <c r="K101" s="6"/>
      <c r="L101" s="6">
        <f t="shared" si="9"/>
        <v>1.6011848717947836</v>
      </c>
      <c r="M101" s="1">
        <v>97</v>
      </c>
      <c r="N101" s="6">
        <f>VLOOKUP($N$2,角色品星!$C$16:$D$20,2,0)*VLOOKUP($N$3,角色品星!$C$3:$E$14,3,0)*V101</f>
        <v>4922.0839230567753</v>
      </c>
      <c r="O101" s="6">
        <f>VLOOKUP($N$2,角色品星!$C$16:$D$20,2,0)*VLOOKUP($N$3,角色品星!$C$3:$E$14,3,0)*W101</f>
        <v>78601.498717953524</v>
      </c>
      <c r="P101" s="6">
        <f>VLOOKUP($N$2,角色品星!$C$16:$D$20,2,0)*VLOOKUP($N$3,角色品星!$C$3:$E$14,3,0)*X101</f>
        <v>49089.583659286225</v>
      </c>
      <c r="Q101" s="23">
        <f t="shared" si="10"/>
        <v>0.05</v>
      </c>
      <c r="R101" s="23">
        <f t="shared" si="11"/>
        <v>1.5</v>
      </c>
      <c r="S101" s="23">
        <f t="shared" si="12"/>
        <v>0.9</v>
      </c>
      <c r="T101" s="38">
        <f>N101*(1+Q101*(R101-1))*S101*战斗公式!$E$38+(P101*战斗公式!$E$39+1)*O101*战斗公式!$E$40</f>
        <v>230702.20766405296</v>
      </c>
      <c r="U101" s="38">
        <f t="shared" si="13"/>
        <v>10679.526216145256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1"/>
      <c r="AE101" s="21"/>
      <c r="AF101" s="21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5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5168.1881192096134</v>
      </c>
      <c r="O102" s="6">
        <f>VLOOKUP($N$2,角色品星!$C$16:$D$20,2,0)*VLOOKUP($N$3,角色品星!$C$3:$E$14,3,0)*W102</f>
        <v>80630.275504834746</v>
      </c>
      <c r="P102" s="6">
        <f>VLOOKUP($N$2,角色品星!$C$16:$D$20,2,0)*VLOOKUP($N$3,角色品星!$C$3:$E$14,3,0)*X102</f>
        <v>51544.06284225054</v>
      </c>
      <c r="Q102" s="23">
        <f t="shared" si="10"/>
        <v>0.05</v>
      </c>
      <c r="R102" s="23">
        <f t="shared" si="11"/>
        <v>1.5</v>
      </c>
      <c r="S102" s="23">
        <f t="shared" si="12"/>
        <v>0.9</v>
      </c>
      <c r="T102" s="38">
        <f>N102*(1+Q102*(R102-1))*S102*战斗公式!$E$38+(P102*战斗公式!$E$39+1)*O102*战斗公式!$E$40</f>
        <v>241381.73388019821</v>
      </c>
      <c r="U102" s="38">
        <f t="shared" si="13"/>
        <v>11169.300732753414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1"/>
      <c r="AE102" s="21"/>
      <c r="AF102" s="21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5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5426.5975251700947</v>
      </c>
      <c r="O103" s="6">
        <f>VLOOKUP($N$2,角色品星!$C$16:$D$20,2,0)*VLOOKUP($N$3,角色品星!$C$3:$E$14,3,0)*W103</f>
        <v>82662.264921728711</v>
      </c>
      <c r="P103" s="6">
        <f>VLOOKUP($N$2,角色品星!$C$16:$D$20,2,0)*VLOOKUP($N$3,角色品星!$C$3:$E$14,3,0)*X103</f>
        <v>54121.265984363061</v>
      </c>
      <c r="Q103" s="23">
        <f t="shared" si="10"/>
        <v>0.05</v>
      </c>
      <c r="R103" s="23">
        <f t="shared" si="11"/>
        <v>1.5</v>
      </c>
      <c r="S103" s="23">
        <f t="shared" si="12"/>
        <v>0.9</v>
      </c>
      <c r="T103" s="38">
        <f>N103*(1+Q103*(R103-1))*S103*战斗公式!$E$38+(P103*战斗公式!$E$39+1)*O103*战斗公式!$E$40</f>
        <v>252551.03461295163</v>
      </c>
      <c r="U103" s="38">
        <f t="shared" si="13"/>
        <v>11682.405271299358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1"/>
      <c r="AE103" s="21"/>
      <c r="AF103" s="21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5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5697.9274014286002</v>
      </c>
      <c r="O104" s="6">
        <f>VLOOKUP($N$2,角色品星!$C$16:$D$20,2,0)*VLOOKUP($N$3,角色品星!$C$3:$E$14,3,0)*W104</f>
        <v>84695.052702596615</v>
      </c>
      <c r="P104" s="6">
        <f>VLOOKUP($N$2,角色品星!$C$16:$D$20,2,0)*VLOOKUP($N$3,角色品星!$C$3:$E$14,3,0)*X104</f>
        <v>56827.329283581232</v>
      </c>
      <c r="Q104" s="23">
        <f t="shared" si="10"/>
        <v>0.05</v>
      </c>
      <c r="R104" s="23">
        <f t="shared" si="11"/>
        <v>1.5</v>
      </c>
      <c r="S104" s="23">
        <f t="shared" si="12"/>
        <v>0.9</v>
      </c>
      <c r="T104" s="38">
        <f>N104*(1+Q104*(R104-1))*S104*战斗公式!$E$38+(P104*战斗公式!$E$39+1)*O104*战斗公式!$E$40</f>
        <v>264233.43988425098</v>
      </c>
      <c r="U104" s="38">
        <f t="shared" si="13"/>
        <v>-264233.43988425098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1"/>
      <c r="AE104" s="21"/>
      <c r="AF104" s="21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1"/>
      <c r="AE105" s="21"/>
      <c r="AF105" s="21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1"/>
      <c r="AE106" s="21"/>
      <c r="AF106" s="21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1"/>
      <c r="AE107" s="21"/>
      <c r="AF107" s="21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1"/>
      <c r="AE108" s="21"/>
      <c r="AF108" s="21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1"/>
      <c r="AE109" s="21"/>
      <c r="AF109" s="21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1"/>
      <c r="AE110" s="21"/>
      <c r="AF110" s="21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1"/>
      <c r="AE111" s="21"/>
      <c r="AF111" s="21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1"/>
      <c r="AE112" s="21"/>
      <c r="AF112" s="21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1"/>
      <c r="AE113" s="21"/>
      <c r="AF113" s="21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1"/>
      <c r="AE114" s="21"/>
      <c r="AF114" s="21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1"/>
      <c r="AE115" s="21"/>
      <c r="AF115" s="21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1"/>
      <c r="AE116" s="21"/>
      <c r="AF116" s="21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1"/>
      <c r="AE117" s="21"/>
      <c r="AF117" s="21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O23" sqref="O23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07" t="s">
        <v>193</v>
      </c>
      <c r="B1" s="108"/>
    </row>
    <row r="2" spans="1:21" ht="14.25" customHeight="1" x14ac:dyDescent="0.2">
      <c r="A2" s="109"/>
      <c r="B2" s="110"/>
      <c r="Q2" s="33">
        <f>Q5+Q6+Q7+Q8+Q10</f>
        <v>1.0959999999999999</v>
      </c>
      <c r="R2" s="33">
        <f>R5+R6+R7+R8+R10</f>
        <v>1.0960000000000001</v>
      </c>
    </row>
    <row r="3" spans="1:21" s="3" customFormat="1" ht="14.25" customHeight="1" x14ac:dyDescent="0.2">
      <c r="C3" s="3" t="s">
        <v>211</v>
      </c>
    </row>
    <row r="4" spans="1:21" s="3" customFormat="1" ht="14.25" customHeight="1" x14ac:dyDescent="0.2">
      <c r="D4" s="3" t="s">
        <v>197</v>
      </c>
      <c r="E4" s="3" t="s">
        <v>194</v>
      </c>
      <c r="F4" s="3" t="s">
        <v>145</v>
      </c>
      <c r="G4" s="3" t="s">
        <v>167</v>
      </c>
      <c r="H4" s="3" t="s">
        <v>195</v>
      </c>
      <c r="I4" s="3" t="s">
        <v>196</v>
      </c>
      <c r="J4" s="24" t="s">
        <v>204</v>
      </c>
      <c r="K4" s="3" t="s">
        <v>140</v>
      </c>
      <c r="L4" s="3" t="s">
        <v>141</v>
      </c>
      <c r="M4" s="3" t="s">
        <v>11</v>
      </c>
      <c r="N4" s="3" t="s">
        <v>5</v>
      </c>
      <c r="O4" s="3" t="s">
        <v>206</v>
      </c>
      <c r="P4" s="3" t="s">
        <v>207</v>
      </c>
      <c r="Q4" s="3" t="s">
        <v>208</v>
      </c>
      <c r="R4" s="3" t="s">
        <v>209</v>
      </c>
    </row>
    <row r="5" spans="1:21" ht="14.25" customHeight="1" x14ac:dyDescent="0.2">
      <c r="D5" s="1" t="s">
        <v>151</v>
      </c>
      <c r="E5" s="1" t="s">
        <v>122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  <c r="T5" s="86">
        <f>1+J5</f>
        <v>1.5</v>
      </c>
    </row>
    <row r="6" spans="1:21" ht="14.25" customHeight="1" x14ac:dyDescent="0.2">
      <c r="D6" s="1" t="s">
        <v>152</v>
      </c>
      <c r="E6" s="1" t="s">
        <v>122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  <c r="T6" s="86">
        <f t="shared" ref="T6:T10" si="3">1+J6</f>
        <v>1.5</v>
      </c>
    </row>
    <row r="7" spans="1:21" ht="14.25" customHeight="1" x14ac:dyDescent="0.2">
      <c r="D7" s="1" t="s">
        <v>153</v>
      </c>
      <c r="E7" s="1" t="s">
        <v>123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6">
        <f t="shared" si="3"/>
        <v>1.35</v>
      </c>
    </row>
    <row r="8" spans="1:21" ht="14.25" customHeight="1" x14ac:dyDescent="0.2">
      <c r="D8" s="1" t="s">
        <v>154</v>
      </c>
      <c r="E8" s="1" t="s">
        <v>123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6">
        <f t="shared" si="3"/>
        <v>1.35</v>
      </c>
    </row>
    <row r="9" spans="1:21" ht="14.25" customHeight="1" x14ac:dyDescent="0.2">
      <c r="D9" s="1" t="s">
        <v>155</v>
      </c>
      <c r="E9" s="1" t="s">
        <v>123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6">
        <f t="shared" si="3"/>
        <v>1.35</v>
      </c>
    </row>
    <row r="10" spans="1:21" ht="14.25" customHeight="1" x14ac:dyDescent="0.2">
      <c r="D10" s="1" t="s">
        <v>156</v>
      </c>
      <c r="E10" s="1" t="s">
        <v>124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  <c r="T10" s="86">
        <f t="shared" si="3"/>
        <v>1.35</v>
      </c>
    </row>
    <row r="11" spans="1:21" ht="14.25" customHeight="1" x14ac:dyDescent="0.2"/>
    <row r="12" spans="1:21" ht="14.25" customHeight="1" x14ac:dyDescent="0.2">
      <c r="I12" s="1">
        <v>0.5</v>
      </c>
      <c r="J12" s="2"/>
    </row>
    <row r="13" spans="1:21" ht="14.25" customHeight="1" x14ac:dyDescent="0.2">
      <c r="C13" s="3"/>
      <c r="D13" s="3" t="s">
        <v>197</v>
      </c>
      <c r="E13" s="3" t="s">
        <v>194</v>
      </c>
      <c r="F13" s="3" t="s">
        <v>32</v>
      </c>
      <c r="G13" s="3" t="s">
        <v>205</v>
      </c>
      <c r="H13" s="24" t="s">
        <v>198</v>
      </c>
      <c r="I13" s="24" t="s">
        <v>262</v>
      </c>
      <c r="J13" s="3" t="s">
        <v>199</v>
      </c>
      <c r="K13" s="3" t="s">
        <v>201</v>
      </c>
      <c r="L13" s="3" t="s">
        <v>203</v>
      </c>
      <c r="M13" s="3" t="s">
        <v>210</v>
      </c>
      <c r="N13" s="3" t="s">
        <v>226</v>
      </c>
      <c r="O13" s="3" t="s">
        <v>227</v>
      </c>
      <c r="P13" s="3" t="s">
        <v>228</v>
      </c>
      <c r="Q13" s="3" t="s">
        <v>229</v>
      </c>
      <c r="R13" s="3" t="s">
        <v>234</v>
      </c>
      <c r="S13" s="3" t="s">
        <v>235</v>
      </c>
      <c r="T13" s="3" t="s">
        <v>236</v>
      </c>
      <c r="U13" s="3" t="s">
        <v>237</v>
      </c>
    </row>
    <row r="14" spans="1:21" ht="14.25" customHeight="1" x14ac:dyDescent="0.2">
      <c r="D14" s="1" t="s">
        <v>151</v>
      </c>
      <c r="E14" s="1" t="s">
        <v>122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5</v>
      </c>
      <c r="J14" s="5">
        <f>H5*(1-G5)/(1/H14)/(1+K5*(L5-1))/F14</f>
        <v>3</v>
      </c>
      <c r="K14" s="4">
        <f>N5/H5*H14/(1+0.4*0.5)</f>
        <v>9.2592592592592595</v>
      </c>
      <c r="L14" s="5">
        <f>N5*H14/G14/(1+J5)</f>
        <v>0.6</v>
      </c>
      <c r="M14" s="33">
        <f>N5*H14/SUMPRODUCT($G$14:$G$19,$T$5:$T$10)</f>
        <v>0.16663374362542405</v>
      </c>
      <c r="N14" s="5">
        <f t="shared" ref="N14:N19" si="5">H5*(1-P5)/(1/H14)/(1+K5*(L5-1))/F14</f>
        <v>4.8</v>
      </c>
      <c r="O14" s="23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0.32884316924668705</v>
      </c>
      <c r="R14" s="6">
        <f>N14/J14</f>
        <v>1.5999999999999999</v>
      </c>
      <c r="S14" s="6">
        <f t="shared" ref="S14:U14" si="8">O14/K14</f>
        <v>1.4529230769230768</v>
      </c>
      <c r="T14" s="6">
        <f t="shared" si="8"/>
        <v>1.816153846153846</v>
      </c>
      <c r="U14" s="6">
        <f t="shared" si="8"/>
        <v>1.9734488471068232</v>
      </c>
    </row>
    <row r="15" spans="1:21" ht="14.25" customHeight="1" x14ac:dyDescent="0.2">
      <c r="D15" s="1" t="s">
        <v>152</v>
      </c>
      <c r="E15" s="1" t="s">
        <v>122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4</v>
      </c>
      <c r="J15" s="5">
        <f t="shared" ref="J15:J19" si="11">H6*(1-G6)/(1/H15)/(1+K6*(L6-1))/F15</f>
        <v>2.5198402130492674</v>
      </c>
      <c r="K15" s="4">
        <f t="shared" ref="K15:K18" si="12">N6/H6*H15/(1+0.4*0.5)</f>
        <v>5.5555555555555562</v>
      </c>
      <c r="L15" s="5">
        <f t="shared" ref="L15:L18" si="13">N6*H15/G15/(1+J6)</f>
        <v>0.64</v>
      </c>
      <c r="M15" s="33"/>
      <c r="N15" s="5">
        <f t="shared" si="5"/>
        <v>4.0349723187338151</v>
      </c>
      <c r="O15" s="23">
        <f t="shared" si="6"/>
        <v>8.0717948717948715</v>
      </c>
      <c r="P15" s="5">
        <f t="shared" si="7"/>
        <v>1.1623384615384615</v>
      </c>
      <c r="R15" s="6">
        <f t="shared" ref="R15:R19" si="14">N15/J15</f>
        <v>1.6012810248198559</v>
      </c>
      <c r="S15" s="6">
        <f t="shared" ref="S15:S19" si="15">O15/K15</f>
        <v>1.4529230769230768</v>
      </c>
      <c r="T15" s="6">
        <f t="shared" ref="T15:T19" si="16">P15/L15</f>
        <v>1.8161538461538462</v>
      </c>
      <c r="U15" s="6"/>
    </row>
    <row r="16" spans="1:21" ht="14.25" customHeight="1" x14ac:dyDescent="0.2">
      <c r="D16" s="1" t="s">
        <v>153</v>
      </c>
      <c r="E16" s="1" t="s">
        <v>123</v>
      </c>
      <c r="F16" s="6">
        <f t="shared" si="9"/>
        <v>7.0000000000000009</v>
      </c>
      <c r="G16" s="6">
        <f t="shared" si="4"/>
        <v>24.761904761904763</v>
      </c>
      <c r="H16" s="1">
        <v>20</v>
      </c>
      <c r="I16" s="1">
        <f t="shared" si="10"/>
        <v>10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3"/>
      <c r="N16" s="5">
        <f t="shared" si="5"/>
        <v>8.3333333333333304</v>
      </c>
      <c r="O16" s="23">
        <f t="shared" si="6"/>
        <v>0</v>
      </c>
      <c r="P16" s="5">
        <f t="shared" si="7"/>
        <v>0</v>
      </c>
      <c r="R16" s="6">
        <f>N16/J16</f>
        <v>1.6666666666666667</v>
      </c>
      <c r="S16" s="6"/>
      <c r="T16" s="6"/>
      <c r="U16" s="6"/>
    </row>
    <row r="17" spans="2:21" ht="14.25" customHeight="1" x14ac:dyDescent="0.2">
      <c r="D17" s="1" t="s">
        <v>154</v>
      </c>
      <c r="E17" s="1" t="s">
        <v>123</v>
      </c>
      <c r="F17" s="6">
        <f t="shared" si="9"/>
        <v>6.0984848484848486</v>
      </c>
      <c r="G17" s="6">
        <f t="shared" si="4"/>
        <v>26</v>
      </c>
      <c r="H17" s="1">
        <v>15</v>
      </c>
      <c r="I17" s="1">
        <f t="shared" si="10"/>
        <v>7.5</v>
      </c>
      <c r="J17" s="5">
        <f t="shared" si="11"/>
        <v>3.9968944099378874</v>
      </c>
      <c r="K17" s="4">
        <f t="shared" si="12"/>
        <v>0</v>
      </c>
      <c r="L17" s="5">
        <f t="shared" si="13"/>
        <v>0</v>
      </c>
      <c r="M17" s="33"/>
      <c r="N17" s="5">
        <f t="shared" si="5"/>
        <v>6.6893630291847472</v>
      </c>
      <c r="O17" s="23">
        <f t="shared" si="6"/>
        <v>0</v>
      </c>
      <c r="P17" s="5">
        <f t="shared" si="7"/>
        <v>0</v>
      </c>
      <c r="R17" s="6">
        <f t="shared" si="14"/>
        <v>1.6736401673640164</v>
      </c>
      <c r="S17" s="6"/>
      <c r="T17" s="6"/>
      <c r="U17" s="6"/>
    </row>
    <row r="18" spans="2:21" ht="14.25" customHeight="1" x14ac:dyDescent="0.2">
      <c r="D18" s="1" t="s">
        <v>155</v>
      </c>
      <c r="E18" s="1" t="s">
        <v>123</v>
      </c>
      <c r="F18" s="6">
        <f t="shared" si="9"/>
        <v>5.1062500000000002</v>
      </c>
      <c r="G18" s="6">
        <f t="shared" si="4"/>
        <v>27.368421052631582</v>
      </c>
      <c r="H18" s="1">
        <v>10</v>
      </c>
      <c r="I18" s="1">
        <f t="shared" si="10"/>
        <v>5</v>
      </c>
      <c r="J18" s="5">
        <f t="shared" si="11"/>
        <v>3.5038759689922472</v>
      </c>
      <c r="K18" s="4">
        <f t="shared" si="12"/>
        <v>0</v>
      </c>
      <c r="L18" s="5">
        <f t="shared" si="13"/>
        <v>0</v>
      </c>
      <c r="M18" s="33"/>
      <c r="N18" s="5">
        <f t="shared" si="5"/>
        <v>5.7159477471325415</v>
      </c>
      <c r="O18" s="23">
        <f t="shared" si="6"/>
        <v>0</v>
      </c>
      <c r="P18" s="5">
        <f t="shared" si="7"/>
        <v>0</v>
      </c>
      <c r="R18" s="6">
        <f t="shared" si="14"/>
        <v>1.6313213703099514</v>
      </c>
      <c r="S18" s="6"/>
      <c r="T18" s="6"/>
      <c r="U18" s="6"/>
    </row>
    <row r="19" spans="2:21" ht="14.25" customHeight="1" x14ac:dyDescent="0.2">
      <c r="D19" s="1" t="s">
        <v>156</v>
      </c>
      <c r="E19" s="1" t="s">
        <v>124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5.5</v>
      </c>
      <c r="J19" s="5">
        <f t="shared" si="11"/>
        <v>2.5060150375939845</v>
      </c>
      <c r="K19" s="4">
        <f>N10/H10*H19/(1+0.4*0.5)</f>
        <v>40.740740740740748</v>
      </c>
      <c r="L19" s="5">
        <f>N10*H19/G19/(1+J10)</f>
        <v>3.6102564102564094</v>
      </c>
      <c r="M19" s="33">
        <f>N10*H19/SUMPRODUCT($G$14:$G$19,$T$5:$T$10)</f>
        <v>0.58655077756149265</v>
      </c>
      <c r="N19" s="5">
        <f t="shared" si="5"/>
        <v>4.1697421590582104</v>
      </c>
      <c r="O19" s="23">
        <f t="shared" si="6"/>
        <v>81.862564102564107</v>
      </c>
      <c r="P19" s="5">
        <f t="shared" si="7"/>
        <v>8.1610679289940808</v>
      </c>
      <c r="Q19" s="5">
        <f>S10*H19/(G14+G15+G16+G17+G19)</f>
        <v>1.6008302757769906</v>
      </c>
      <c r="R19" s="6">
        <f t="shared" si="14"/>
        <v>1.6638935108153079</v>
      </c>
      <c r="S19" s="6">
        <f t="shared" si="15"/>
        <v>2.009353846153846</v>
      </c>
      <c r="T19" s="6">
        <f t="shared" si="16"/>
        <v>2.2605230769230769</v>
      </c>
      <c r="U19" s="6">
        <f t="shared" ref="U19" si="17">Q19/M19</f>
        <v>2.7292270968120285</v>
      </c>
    </row>
    <row r="20" spans="2:21" ht="14.25" customHeight="1" x14ac:dyDescent="0.2">
      <c r="C20" s="21"/>
      <c r="D20" s="21"/>
      <c r="E20" s="21"/>
      <c r="F20" s="21"/>
      <c r="G20" s="21"/>
      <c r="H20" s="9"/>
      <c r="I20" s="9"/>
      <c r="J20" s="9"/>
      <c r="K20" s="9"/>
      <c r="L20" s="2" t="s">
        <v>317</v>
      </c>
      <c r="M20" s="9"/>
    </row>
    <row r="21" spans="2:21" ht="14.25" customHeight="1" x14ac:dyDescent="0.2">
      <c r="C21" s="21"/>
      <c r="D21" s="21"/>
      <c r="E21" s="21"/>
      <c r="F21" s="21"/>
      <c r="G21" s="21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9" t="s">
        <v>212</v>
      </c>
      <c r="D22" s="2" t="s">
        <v>276</v>
      </c>
      <c r="E22" s="21"/>
      <c r="F22" s="21"/>
      <c r="G22" s="21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1"/>
      <c r="D23" s="10">
        <v>0.2</v>
      </c>
      <c r="E23" s="2" t="s">
        <v>219</v>
      </c>
      <c r="F23" s="21"/>
      <c r="G23" s="21"/>
      <c r="H23" s="9"/>
      <c r="I23" s="9"/>
      <c r="J23" s="9"/>
      <c r="K23" s="9"/>
      <c r="L23" s="9"/>
      <c r="M23" s="9"/>
    </row>
    <row r="24" spans="2:21" ht="14.25" customHeight="1" x14ac:dyDescent="0.2">
      <c r="C24" s="21"/>
      <c r="D24" s="21" t="s">
        <v>32</v>
      </c>
      <c r="E24" s="5">
        <f>D23</f>
        <v>0.2</v>
      </c>
      <c r="F24" s="21"/>
      <c r="G24" s="21"/>
      <c r="H24" s="9"/>
      <c r="I24" s="9"/>
      <c r="J24" s="9"/>
      <c r="K24" s="9"/>
      <c r="L24" s="9"/>
      <c r="M24" s="9"/>
    </row>
    <row r="25" spans="2:21" ht="14.25" customHeight="1" x14ac:dyDescent="0.2">
      <c r="C25" s="21"/>
      <c r="D25" s="21" t="s">
        <v>35</v>
      </c>
      <c r="E25" s="5">
        <f>((1+$D$23)*(1+F25*(G25-1))-1)/(G25-1)-F25</f>
        <v>0.47999999999999987</v>
      </c>
      <c r="F25" s="23">
        <v>0.4</v>
      </c>
      <c r="G25" s="23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1"/>
      <c r="C26" s="21"/>
      <c r="D26" s="21" t="s">
        <v>84</v>
      </c>
      <c r="E26" s="5">
        <f>((1+$D$23)*(1+F26*(G26-1))-1)/F26+1-G26</f>
        <v>0.59999999999999964</v>
      </c>
      <c r="F26" s="23">
        <v>0.4</v>
      </c>
      <c r="G26" s="23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1"/>
      <c r="C27" s="21"/>
      <c r="D27" s="21" t="s">
        <v>205</v>
      </c>
      <c r="E27" s="5">
        <f>D23</f>
        <v>0.2</v>
      </c>
      <c r="G27" s="21"/>
      <c r="H27" s="9"/>
      <c r="I27" s="9"/>
      <c r="J27" s="9"/>
      <c r="K27" s="9"/>
      <c r="L27" s="9"/>
      <c r="M27" s="9"/>
    </row>
    <row r="28" spans="2:21" ht="14.25" customHeight="1" x14ac:dyDescent="0.2">
      <c r="B28" s="31"/>
      <c r="C28" s="21"/>
      <c r="D28" s="21" t="s">
        <v>204</v>
      </c>
      <c r="E28" s="4">
        <f>1-(1-(1+$D$23)*(1-F28))-F28</f>
        <v>9.9999999999999978E-2</v>
      </c>
      <c r="F28" s="22">
        <v>0.5</v>
      </c>
      <c r="G28" s="21"/>
      <c r="H28" s="9"/>
      <c r="I28" s="9"/>
      <c r="J28" s="9"/>
      <c r="K28" s="9"/>
      <c r="L28" s="9"/>
      <c r="M28" s="6"/>
    </row>
    <row r="29" spans="2:21" ht="14.25" customHeight="1" x14ac:dyDescent="0.2">
      <c r="B29" s="31"/>
      <c r="C29" s="21"/>
      <c r="D29" s="21" t="s">
        <v>33</v>
      </c>
      <c r="E29" s="21">
        <f>100000/(1-E28-F28)-100000</f>
        <v>150000</v>
      </c>
      <c r="F29" s="22">
        <f>E29/G29</f>
        <v>1.5</v>
      </c>
      <c r="G29" s="21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1"/>
      <c r="C30" s="21"/>
      <c r="D30" s="21"/>
      <c r="E30" s="21"/>
      <c r="F30" s="21"/>
      <c r="G30" s="21"/>
      <c r="H30" s="9"/>
      <c r="I30" s="9"/>
      <c r="J30" s="9"/>
      <c r="K30" s="9"/>
      <c r="L30" s="9"/>
      <c r="M30" s="9"/>
    </row>
    <row r="31" spans="2:21" ht="14.25" customHeight="1" x14ac:dyDescent="0.2">
      <c r="B31" s="31"/>
      <c r="C31" s="21"/>
      <c r="D31" s="21"/>
      <c r="E31" s="21"/>
      <c r="F31" s="21"/>
      <c r="G31" s="21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1"/>
      <c r="D32" s="21"/>
      <c r="E32" s="21"/>
      <c r="F32" s="21"/>
      <c r="G32" s="21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1"/>
      <c r="D33" s="21"/>
      <c r="E33" s="21"/>
      <c r="F33" s="21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1"/>
      <c r="D34" s="21"/>
      <c r="E34" s="21"/>
      <c r="F34" s="21"/>
      <c r="G34" s="21"/>
      <c r="H34" s="9"/>
      <c r="I34" s="9"/>
      <c r="J34" s="9"/>
      <c r="K34" s="9"/>
      <c r="L34" s="9"/>
      <c r="M34" s="9"/>
    </row>
    <row r="35" spans="2:13" ht="14.25" customHeight="1" x14ac:dyDescent="0.2">
      <c r="C35" s="21"/>
      <c r="D35" s="21"/>
      <c r="E35" s="21"/>
      <c r="F35" s="21"/>
      <c r="G35" s="21"/>
      <c r="H35" s="9"/>
      <c r="I35" s="9"/>
      <c r="J35" s="9"/>
      <c r="K35" s="9"/>
      <c r="L35" s="9"/>
      <c r="M35" s="9"/>
    </row>
    <row r="36" spans="2:13" ht="14.25" customHeight="1" x14ac:dyDescent="0.2">
      <c r="C36" s="21"/>
      <c r="D36" s="21"/>
      <c r="E36" s="21"/>
      <c r="F36" s="21"/>
      <c r="G36" s="21"/>
      <c r="H36" s="9"/>
      <c r="I36" s="9"/>
      <c r="J36" s="9"/>
      <c r="K36" s="9"/>
      <c r="L36" s="9"/>
      <c r="M36" s="9"/>
    </row>
    <row r="37" spans="2:13" ht="14.25" customHeight="1" x14ac:dyDescent="0.2">
      <c r="C37" s="21"/>
      <c r="D37" s="21"/>
      <c r="E37" s="21"/>
      <c r="F37" s="21"/>
      <c r="G37" s="21"/>
      <c r="H37" s="9"/>
      <c r="I37" s="9"/>
      <c r="J37" s="9"/>
      <c r="K37" s="9"/>
      <c r="L37" s="9"/>
      <c r="M37" s="9"/>
    </row>
    <row r="38" spans="2:13" ht="14.25" customHeight="1" x14ac:dyDescent="0.2">
      <c r="C38" s="21"/>
      <c r="D38" s="21"/>
      <c r="E38" s="21"/>
      <c r="F38" s="21"/>
      <c r="G38" s="21"/>
      <c r="H38" s="9"/>
      <c r="I38" s="9"/>
      <c r="J38" s="9"/>
      <c r="K38" s="9"/>
      <c r="L38" s="9"/>
      <c r="M38" s="9"/>
    </row>
    <row r="39" spans="2:13" ht="14.25" customHeight="1" x14ac:dyDescent="0.2">
      <c r="C39" s="21"/>
      <c r="D39" s="21"/>
      <c r="E39" s="21"/>
      <c r="F39" s="21"/>
      <c r="G39" s="21"/>
      <c r="H39" s="9"/>
      <c r="I39" s="9"/>
      <c r="J39" s="9"/>
      <c r="K39" s="9"/>
      <c r="L39" s="9"/>
      <c r="M39" s="9"/>
    </row>
    <row r="40" spans="2:13" ht="14.25" customHeight="1" x14ac:dyDescent="0.2">
      <c r="C40" s="21"/>
      <c r="D40" s="21"/>
      <c r="E40" s="21"/>
      <c r="F40" s="21"/>
      <c r="G40" s="21"/>
      <c r="H40" s="9"/>
      <c r="I40" s="9"/>
      <c r="J40" s="9"/>
      <c r="K40" s="9"/>
      <c r="L40" s="9"/>
      <c r="M40" s="9"/>
    </row>
    <row r="41" spans="2:13" ht="14.25" customHeight="1" x14ac:dyDescent="0.2">
      <c r="C41" s="21"/>
      <c r="D41" s="21"/>
      <c r="E41" s="21"/>
      <c r="F41" s="21"/>
      <c r="G41" s="21"/>
      <c r="H41" s="9"/>
      <c r="I41" s="9"/>
      <c r="J41" s="9"/>
      <c r="K41" s="9"/>
      <c r="L41" s="9"/>
      <c r="M41" s="9"/>
    </row>
    <row r="42" spans="2:13" ht="14.25" customHeight="1" x14ac:dyDescent="0.2">
      <c r="C42" s="21"/>
      <c r="D42" s="21"/>
      <c r="E42" s="21"/>
      <c r="F42" s="21"/>
      <c r="G42" s="21"/>
      <c r="H42" s="9"/>
      <c r="I42" s="9"/>
      <c r="J42" s="9"/>
      <c r="K42" s="9"/>
      <c r="L42" s="9"/>
      <c r="M42" s="9"/>
    </row>
    <row r="43" spans="2:13" ht="14.25" customHeight="1" x14ac:dyDescent="0.2">
      <c r="C43" s="21"/>
      <c r="D43" s="21"/>
      <c r="E43" s="21"/>
      <c r="F43" s="21"/>
      <c r="G43" s="21"/>
      <c r="H43" s="9"/>
      <c r="I43" s="9"/>
      <c r="J43" s="9"/>
      <c r="K43" s="9"/>
      <c r="L43" s="9"/>
      <c r="M43" s="9"/>
    </row>
    <row r="44" spans="2:13" ht="14.25" customHeight="1" x14ac:dyDescent="0.2">
      <c r="C44" s="21"/>
      <c r="D44" s="21"/>
      <c r="E44" s="21"/>
      <c r="F44" s="21"/>
      <c r="G44" s="21"/>
      <c r="H44" s="9"/>
      <c r="I44" s="9"/>
      <c r="J44" s="9"/>
      <c r="K44" s="9"/>
      <c r="L44" s="9"/>
      <c r="M44" s="9"/>
    </row>
    <row r="45" spans="2:13" ht="14.25" customHeight="1" x14ac:dyDescent="0.2">
      <c r="C45" s="21"/>
      <c r="D45" s="21"/>
      <c r="E45" s="21"/>
      <c r="F45" s="21"/>
      <c r="G45" s="21"/>
      <c r="H45" s="9"/>
      <c r="I45" s="9"/>
      <c r="J45" s="9"/>
      <c r="K45" s="9"/>
      <c r="L45" s="9"/>
      <c r="M45" s="9"/>
    </row>
    <row r="46" spans="2:13" ht="14.25" customHeight="1" x14ac:dyDescent="0.2">
      <c r="C46" s="21"/>
      <c r="D46" s="21"/>
      <c r="E46" s="21"/>
      <c r="F46" s="21"/>
      <c r="G46" s="21"/>
      <c r="H46" s="9"/>
      <c r="I46" s="9"/>
      <c r="J46" s="9"/>
      <c r="K46" s="9"/>
      <c r="L46" s="9"/>
      <c r="M46" s="9"/>
    </row>
    <row r="47" spans="2:13" ht="14.25" customHeight="1" x14ac:dyDescent="0.2">
      <c r="C47" s="21"/>
      <c r="D47" s="21"/>
      <c r="E47" s="21"/>
      <c r="F47" s="21"/>
      <c r="G47" s="21"/>
      <c r="H47" s="9"/>
      <c r="I47" s="9"/>
      <c r="J47" s="9"/>
      <c r="K47" s="9"/>
      <c r="L47" s="9"/>
      <c r="M47" s="9"/>
    </row>
    <row r="48" spans="2:13" ht="14.25" customHeight="1" x14ac:dyDescent="0.2">
      <c r="C48" s="21"/>
      <c r="D48" s="21"/>
      <c r="E48" s="21"/>
      <c r="F48" s="21"/>
      <c r="G48" s="21"/>
      <c r="H48" s="9"/>
      <c r="I48" s="9"/>
      <c r="J48" s="9"/>
      <c r="K48" s="9"/>
      <c r="L48" s="9"/>
      <c r="M48" s="9"/>
    </row>
    <row r="49" spans="3:13" ht="14.25" customHeight="1" x14ac:dyDescent="0.2">
      <c r="C49" s="21"/>
      <c r="D49" s="21"/>
      <c r="E49" s="21"/>
      <c r="F49" s="21"/>
      <c r="G49" s="21"/>
      <c r="H49" s="9"/>
      <c r="I49" s="9"/>
      <c r="J49" s="9"/>
      <c r="K49" s="9"/>
      <c r="L49" s="9"/>
      <c r="M49" s="9"/>
    </row>
    <row r="50" spans="3:13" ht="14.25" customHeight="1" x14ac:dyDescent="0.2">
      <c r="C50" s="21"/>
      <c r="D50" s="21"/>
      <c r="E50" s="21"/>
      <c r="F50" s="21"/>
      <c r="G50" s="21"/>
      <c r="H50" s="9"/>
      <c r="I50" s="9"/>
      <c r="J50" s="9"/>
      <c r="K50" s="9"/>
      <c r="L50" s="9"/>
      <c r="M50" s="9"/>
    </row>
    <row r="51" spans="3:13" ht="14.25" customHeight="1" x14ac:dyDescent="0.2">
      <c r="C51" s="21"/>
      <c r="D51" s="21"/>
      <c r="E51" s="21"/>
      <c r="F51" s="21"/>
      <c r="G51" s="21"/>
      <c r="H51" s="9"/>
      <c r="I51" s="9"/>
      <c r="J51" s="9"/>
      <c r="K51" s="9"/>
      <c r="L51" s="9"/>
      <c r="M51" s="9"/>
    </row>
    <row r="52" spans="3:13" ht="14.25" customHeight="1" x14ac:dyDescent="0.2">
      <c r="C52" s="21"/>
      <c r="D52" s="21"/>
      <c r="E52" s="21"/>
      <c r="F52" s="21"/>
      <c r="G52" s="21"/>
      <c r="H52" s="9"/>
      <c r="I52" s="9"/>
      <c r="J52" s="9"/>
      <c r="K52" s="9"/>
      <c r="L52" s="9"/>
      <c r="M52" s="9"/>
    </row>
    <row r="53" spans="3:13" ht="14.25" customHeight="1" x14ac:dyDescent="0.2">
      <c r="C53" s="21"/>
      <c r="D53" s="21"/>
      <c r="E53" s="21"/>
      <c r="F53" s="21"/>
      <c r="G53" s="21"/>
      <c r="H53" s="9"/>
      <c r="I53" s="9"/>
      <c r="J53" s="9"/>
      <c r="K53" s="9"/>
      <c r="L53" s="9"/>
      <c r="M53" s="9"/>
    </row>
    <row r="54" spans="3:13" ht="14.25" customHeight="1" x14ac:dyDescent="0.2">
      <c r="C54" s="21"/>
      <c r="D54" s="21"/>
      <c r="E54" s="21"/>
      <c r="F54" s="21"/>
      <c r="G54" s="21"/>
      <c r="H54" s="9"/>
      <c r="I54" s="9"/>
      <c r="J54" s="9"/>
      <c r="K54" s="9"/>
      <c r="L54" s="9"/>
      <c r="M54" s="9"/>
    </row>
    <row r="55" spans="3:13" ht="14.25" customHeight="1" x14ac:dyDescent="0.2">
      <c r="C55" s="21"/>
      <c r="D55" s="21"/>
      <c r="E55" s="21"/>
      <c r="F55" s="21"/>
      <c r="G55" s="21"/>
      <c r="H55" s="9"/>
      <c r="I55" s="9"/>
      <c r="J55" s="9"/>
      <c r="K55" s="9"/>
      <c r="L55" s="9"/>
      <c r="M55" s="9"/>
    </row>
    <row r="56" spans="3:13" ht="14.25" customHeight="1" x14ac:dyDescent="0.2">
      <c r="C56" s="21"/>
      <c r="D56" s="21"/>
      <c r="E56" s="21"/>
      <c r="F56" s="21"/>
      <c r="G56" s="21"/>
      <c r="H56" s="9"/>
      <c r="I56" s="9"/>
      <c r="J56" s="9"/>
      <c r="K56" s="9"/>
      <c r="L56" s="9"/>
      <c r="M56" s="9"/>
    </row>
    <row r="57" spans="3:13" ht="14.25" customHeight="1" x14ac:dyDescent="0.2">
      <c r="C57" s="21"/>
      <c r="D57" s="21"/>
      <c r="E57" s="21"/>
      <c r="F57" s="21"/>
      <c r="G57" s="21"/>
      <c r="H57" s="9"/>
      <c r="I57" s="9"/>
      <c r="J57" s="9"/>
      <c r="K57" s="9"/>
      <c r="L57" s="9"/>
      <c r="M57" s="9"/>
    </row>
    <row r="58" spans="3:13" ht="14.25" customHeight="1" x14ac:dyDescent="0.2">
      <c r="C58" s="21"/>
      <c r="D58" s="21"/>
      <c r="E58" s="21"/>
      <c r="F58" s="21"/>
      <c r="G58" s="21"/>
      <c r="H58" s="9"/>
      <c r="I58" s="9"/>
      <c r="J58" s="9"/>
      <c r="K58" s="9"/>
      <c r="L58" s="9"/>
      <c r="M58" s="9"/>
    </row>
    <row r="59" spans="3:13" ht="14.25" customHeight="1" x14ac:dyDescent="0.2">
      <c r="C59" s="21"/>
      <c r="D59" s="21"/>
      <c r="E59" s="21"/>
      <c r="F59" s="21"/>
      <c r="G59" s="21"/>
      <c r="H59" s="9"/>
      <c r="I59" s="9"/>
      <c r="J59" s="9"/>
      <c r="K59" s="9"/>
      <c r="L59" s="9"/>
      <c r="M59" s="9"/>
    </row>
    <row r="60" spans="3:13" ht="14.25" customHeight="1" x14ac:dyDescent="0.2">
      <c r="C60" s="21"/>
      <c r="D60" s="21"/>
      <c r="E60" s="21"/>
      <c r="F60" s="21"/>
      <c r="G60" s="21"/>
      <c r="H60" s="9"/>
      <c r="I60" s="9"/>
      <c r="J60" s="9"/>
      <c r="K60" s="9"/>
      <c r="L60" s="9"/>
      <c r="M60" s="9"/>
    </row>
    <row r="61" spans="3:13" ht="14.25" customHeight="1" x14ac:dyDescent="0.2">
      <c r="C61" s="21"/>
      <c r="D61" s="21"/>
      <c r="E61" s="21"/>
      <c r="F61" s="21"/>
      <c r="G61" s="21"/>
      <c r="H61" s="9"/>
      <c r="I61" s="9"/>
      <c r="J61" s="9"/>
      <c r="K61" s="9"/>
      <c r="L61" s="9"/>
      <c r="M61" s="9"/>
    </row>
    <row r="62" spans="3:13" ht="14.25" customHeight="1" x14ac:dyDescent="0.2">
      <c r="C62" s="21"/>
      <c r="D62" s="21"/>
      <c r="E62" s="21"/>
      <c r="F62" s="21"/>
      <c r="G62" s="21"/>
      <c r="H62" s="9"/>
      <c r="I62" s="9"/>
      <c r="J62" s="9"/>
      <c r="K62" s="9"/>
      <c r="L62" s="9"/>
      <c r="M62" s="9"/>
    </row>
    <row r="63" spans="3:13" ht="14.25" customHeight="1" x14ac:dyDescent="0.2">
      <c r="C63" s="21"/>
      <c r="D63" s="21"/>
      <c r="E63" s="21"/>
      <c r="F63" s="21"/>
      <c r="G63" s="21"/>
      <c r="H63" s="9"/>
      <c r="I63" s="9"/>
      <c r="J63" s="9"/>
      <c r="K63" s="9"/>
      <c r="L63" s="9"/>
      <c r="M63" s="9"/>
    </row>
    <row r="64" spans="3:13" ht="14.25" customHeight="1" x14ac:dyDescent="0.2">
      <c r="C64" s="21"/>
      <c r="D64" s="21"/>
      <c r="E64" s="21"/>
      <c r="F64" s="21"/>
      <c r="G64" s="21"/>
      <c r="H64" s="9"/>
      <c r="I64" s="9"/>
      <c r="J64" s="9"/>
      <c r="K64" s="9"/>
      <c r="L64" s="9"/>
      <c r="M64" s="9"/>
    </row>
    <row r="65" spans="3:13" ht="14.25" customHeight="1" x14ac:dyDescent="0.2">
      <c r="C65" s="21"/>
      <c r="D65" s="21"/>
      <c r="E65" s="21"/>
      <c r="F65" s="21"/>
      <c r="G65" s="21"/>
      <c r="H65" s="9"/>
      <c r="I65" s="9"/>
      <c r="J65" s="9"/>
      <c r="K65" s="9"/>
      <c r="L65" s="9"/>
      <c r="M65" s="9"/>
    </row>
    <row r="66" spans="3:13" ht="14.25" customHeight="1" x14ac:dyDescent="0.2">
      <c r="C66" s="21"/>
      <c r="D66" s="21"/>
      <c r="E66" s="21"/>
      <c r="F66" s="21"/>
      <c r="G66" s="21"/>
      <c r="H66" s="9"/>
      <c r="I66" s="9"/>
      <c r="J66" s="9"/>
      <c r="K66" s="9"/>
      <c r="L66" s="9"/>
      <c r="M66" s="9"/>
    </row>
    <row r="67" spans="3:13" ht="14.25" customHeight="1" x14ac:dyDescent="0.2">
      <c r="C67" s="21"/>
      <c r="D67" s="21"/>
      <c r="E67" s="21"/>
      <c r="F67" s="21"/>
      <c r="G67" s="21"/>
      <c r="H67" s="9"/>
      <c r="I67" s="9"/>
      <c r="J67" s="9"/>
      <c r="K67" s="9"/>
      <c r="L67" s="9"/>
      <c r="M67" s="9"/>
    </row>
    <row r="68" spans="3:13" ht="14.25" customHeight="1" x14ac:dyDescent="0.2">
      <c r="C68" s="21"/>
      <c r="D68" s="21"/>
      <c r="E68" s="21"/>
      <c r="F68" s="21"/>
      <c r="G68" s="21"/>
      <c r="H68" s="9"/>
      <c r="I68" s="9"/>
      <c r="J68" s="9"/>
      <c r="K68" s="9"/>
      <c r="L68" s="9"/>
      <c r="M68" s="9"/>
    </row>
    <row r="69" spans="3:13" ht="14.25" customHeight="1" x14ac:dyDescent="0.2">
      <c r="C69" s="21"/>
      <c r="D69" s="21"/>
      <c r="E69" s="21"/>
      <c r="F69" s="21"/>
      <c r="G69" s="21"/>
      <c r="H69" s="9"/>
      <c r="I69" s="9"/>
      <c r="J69" s="9"/>
      <c r="K69" s="9"/>
      <c r="L69" s="9"/>
      <c r="M69" s="9"/>
    </row>
    <row r="70" spans="3:13" ht="14.25" customHeight="1" x14ac:dyDescent="0.2">
      <c r="C70" s="21"/>
      <c r="D70" s="21"/>
      <c r="E70" s="21"/>
      <c r="F70" s="21"/>
      <c r="G70" s="21"/>
      <c r="H70" s="9"/>
      <c r="I70" s="9"/>
      <c r="J70" s="9"/>
      <c r="K70" s="9"/>
      <c r="L70" s="9"/>
      <c r="M70" s="9"/>
    </row>
    <row r="71" spans="3:13" ht="14.25" customHeight="1" x14ac:dyDescent="0.2">
      <c r="C71" s="21"/>
      <c r="D71" s="21"/>
      <c r="E71" s="21"/>
      <c r="F71" s="21"/>
      <c r="G71" s="21"/>
      <c r="H71" s="9"/>
      <c r="I71" s="9"/>
      <c r="J71" s="9"/>
      <c r="K71" s="9"/>
      <c r="L71" s="9"/>
      <c r="M71" s="9"/>
    </row>
    <row r="72" spans="3:13" ht="14.25" customHeight="1" x14ac:dyDescent="0.2">
      <c r="C72" s="21"/>
      <c r="D72" s="21"/>
      <c r="E72" s="21"/>
      <c r="F72" s="21"/>
      <c r="G72" s="21"/>
      <c r="H72" s="9"/>
      <c r="I72" s="9"/>
      <c r="J72" s="9"/>
      <c r="K72" s="9"/>
      <c r="L72" s="9"/>
      <c r="M72" s="9"/>
    </row>
    <row r="73" spans="3:13" ht="14.25" customHeight="1" x14ac:dyDescent="0.2">
      <c r="C73" s="21"/>
      <c r="D73" s="21"/>
      <c r="E73" s="21"/>
      <c r="F73" s="21"/>
      <c r="G73" s="21"/>
      <c r="H73" s="9"/>
      <c r="I73" s="9"/>
      <c r="J73" s="9"/>
      <c r="K73" s="9"/>
      <c r="L73" s="9"/>
      <c r="M73" s="9"/>
    </row>
    <row r="74" spans="3:13" ht="14.25" customHeight="1" x14ac:dyDescent="0.2">
      <c r="C74" s="21"/>
      <c r="D74" s="21"/>
      <c r="E74" s="21"/>
      <c r="F74" s="21"/>
      <c r="G74" s="21"/>
      <c r="H74" s="9"/>
      <c r="I74" s="9"/>
      <c r="J74" s="9"/>
      <c r="K74" s="9"/>
      <c r="L74" s="9"/>
      <c r="M74" s="9"/>
    </row>
    <row r="75" spans="3:13" ht="14.25" customHeight="1" x14ac:dyDescent="0.2">
      <c r="C75" s="21"/>
      <c r="D75" s="21"/>
      <c r="E75" s="21"/>
      <c r="F75" s="21"/>
      <c r="G75" s="21"/>
      <c r="H75" s="9"/>
      <c r="I75" s="9"/>
      <c r="J75" s="9"/>
      <c r="K75" s="9"/>
      <c r="L75" s="9"/>
      <c r="M75" s="9"/>
    </row>
    <row r="76" spans="3:13" ht="14.25" customHeight="1" x14ac:dyDescent="0.2">
      <c r="C76" s="21"/>
      <c r="D76" s="21"/>
      <c r="E76" s="21"/>
      <c r="F76" s="21"/>
      <c r="G76" s="21"/>
      <c r="H76" s="9"/>
      <c r="I76" s="9"/>
      <c r="J76" s="9"/>
      <c r="K76" s="9"/>
      <c r="L76" s="9"/>
      <c r="M76" s="9"/>
    </row>
    <row r="77" spans="3:13" ht="14.25" customHeight="1" x14ac:dyDescent="0.2">
      <c r="C77" s="21"/>
      <c r="D77" s="21"/>
      <c r="E77" s="21"/>
      <c r="F77" s="21"/>
      <c r="G77" s="21"/>
      <c r="H77" s="9"/>
      <c r="I77" s="9"/>
      <c r="J77" s="9"/>
      <c r="K77" s="9"/>
      <c r="L77" s="9"/>
      <c r="M77" s="9"/>
    </row>
    <row r="78" spans="3:13" ht="14.25" customHeight="1" x14ac:dyDescent="0.2">
      <c r="C78" s="21"/>
      <c r="D78" s="21"/>
      <c r="E78" s="21"/>
      <c r="F78" s="21"/>
      <c r="G78" s="21"/>
      <c r="H78" s="9"/>
      <c r="I78" s="9"/>
      <c r="J78" s="9"/>
      <c r="K78" s="9"/>
      <c r="L78" s="9"/>
      <c r="M78" s="9"/>
    </row>
    <row r="79" spans="3:13" ht="14.25" customHeight="1" x14ac:dyDescent="0.2">
      <c r="C79" s="21"/>
      <c r="D79" s="21"/>
      <c r="E79" s="21"/>
      <c r="F79" s="21"/>
      <c r="G79" s="21"/>
      <c r="H79" s="9"/>
      <c r="I79" s="9"/>
      <c r="J79" s="9"/>
      <c r="K79" s="9"/>
      <c r="L79" s="9"/>
      <c r="M79" s="9"/>
    </row>
    <row r="80" spans="3:13" ht="14.25" customHeight="1" x14ac:dyDescent="0.2">
      <c r="C80" s="21"/>
      <c r="D80" s="21"/>
      <c r="E80" s="21"/>
      <c r="F80" s="21"/>
      <c r="G80" s="21"/>
      <c r="H80" s="9"/>
      <c r="I80" s="9"/>
      <c r="J80" s="9"/>
      <c r="K80" s="9"/>
      <c r="L80" s="9"/>
      <c r="M80" s="9"/>
    </row>
    <row r="81" spans="3:13" ht="14.25" customHeight="1" x14ac:dyDescent="0.2">
      <c r="C81" s="21"/>
      <c r="D81" s="21"/>
      <c r="E81" s="21"/>
      <c r="F81" s="21"/>
      <c r="G81" s="21"/>
      <c r="H81" s="9"/>
      <c r="I81" s="9"/>
      <c r="J81" s="9"/>
      <c r="K81" s="9"/>
      <c r="L81" s="9"/>
      <c r="M81" s="9"/>
    </row>
    <row r="82" spans="3:13" ht="14.25" customHeight="1" x14ac:dyDescent="0.2">
      <c r="C82" s="21"/>
      <c r="D82" s="21"/>
      <c r="E82" s="21"/>
      <c r="F82" s="21"/>
      <c r="G82" s="21"/>
      <c r="H82" s="9"/>
      <c r="I82" s="9"/>
      <c r="J82" s="9"/>
      <c r="K82" s="9"/>
      <c r="L82" s="9"/>
      <c r="M82" s="9"/>
    </row>
    <row r="83" spans="3:13" ht="14.25" customHeight="1" x14ac:dyDescent="0.2">
      <c r="C83" s="21"/>
      <c r="D83" s="21"/>
      <c r="E83" s="21"/>
      <c r="F83" s="21"/>
      <c r="G83" s="21"/>
      <c r="H83" s="9"/>
      <c r="I83" s="9"/>
      <c r="J83" s="9"/>
      <c r="K83" s="9"/>
      <c r="L83" s="9"/>
      <c r="M83" s="9"/>
    </row>
    <row r="84" spans="3:13" ht="14.25" customHeight="1" x14ac:dyDescent="0.2">
      <c r="C84" s="21"/>
      <c r="D84" s="21"/>
      <c r="E84" s="21"/>
      <c r="F84" s="21"/>
      <c r="G84" s="21"/>
      <c r="H84" s="9"/>
      <c r="I84" s="9"/>
      <c r="J84" s="9"/>
      <c r="K84" s="9"/>
      <c r="L84" s="9"/>
      <c r="M84" s="9"/>
    </row>
    <row r="85" spans="3:13" ht="14.25" customHeight="1" x14ac:dyDescent="0.2">
      <c r="C85" s="21"/>
      <c r="D85" s="21"/>
      <c r="E85" s="21"/>
      <c r="F85" s="21"/>
      <c r="G85" s="21"/>
      <c r="H85" s="9"/>
      <c r="I85" s="9"/>
      <c r="J85" s="9"/>
      <c r="K85" s="9"/>
      <c r="L85" s="9"/>
      <c r="M85" s="9"/>
    </row>
    <row r="86" spans="3:13" ht="14.25" customHeight="1" x14ac:dyDescent="0.2">
      <c r="C86" s="21"/>
      <c r="D86" s="21"/>
      <c r="E86" s="21"/>
      <c r="F86" s="21"/>
      <c r="G86" s="21"/>
      <c r="H86" s="9"/>
      <c r="I86" s="9"/>
      <c r="J86" s="9"/>
      <c r="K86" s="9"/>
      <c r="L86" s="9"/>
      <c r="M86" s="9"/>
    </row>
    <row r="87" spans="3:13" ht="14.25" customHeight="1" x14ac:dyDescent="0.2">
      <c r="C87" s="21"/>
      <c r="D87" s="21"/>
      <c r="E87" s="21"/>
      <c r="F87" s="21"/>
      <c r="G87" s="21"/>
      <c r="H87" s="9"/>
      <c r="I87" s="9"/>
      <c r="J87" s="9"/>
      <c r="K87" s="9"/>
      <c r="L87" s="9"/>
      <c r="M87" s="9"/>
    </row>
    <row r="88" spans="3:13" ht="14.25" customHeight="1" x14ac:dyDescent="0.2">
      <c r="C88" s="21"/>
      <c r="D88" s="21"/>
      <c r="E88" s="21"/>
      <c r="F88" s="21"/>
      <c r="G88" s="21"/>
      <c r="H88" s="9"/>
      <c r="I88" s="9"/>
      <c r="J88" s="9"/>
      <c r="K88" s="9"/>
      <c r="L88" s="9"/>
      <c r="M88" s="9"/>
    </row>
    <row r="89" spans="3:13" ht="14.25" customHeight="1" x14ac:dyDescent="0.2">
      <c r="C89" s="21"/>
      <c r="D89" s="21"/>
      <c r="E89" s="21"/>
      <c r="F89" s="21"/>
      <c r="G89" s="21"/>
      <c r="H89" s="9"/>
      <c r="I89" s="9"/>
      <c r="J89" s="9"/>
      <c r="K89" s="9"/>
      <c r="L89" s="9"/>
      <c r="M89" s="9"/>
    </row>
    <row r="90" spans="3:13" ht="14.25" customHeight="1" x14ac:dyDescent="0.2">
      <c r="C90" s="21"/>
      <c r="D90" s="21"/>
      <c r="E90" s="21"/>
      <c r="F90" s="21"/>
      <c r="G90" s="21"/>
      <c r="H90" s="9"/>
      <c r="I90" s="9"/>
      <c r="J90" s="9"/>
      <c r="K90" s="9"/>
      <c r="L90" s="9"/>
      <c r="M90" s="9"/>
    </row>
    <row r="91" spans="3:13" ht="14.25" customHeight="1" x14ac:dyDescent="0.2">
      <c r="C91" s="21"/>
      <c r="D91" s="21"/>
      <c r="E91" s="21"/>
      <c r="F91" s="21"/>
      <c r="G91" s="21"/>
      <c r="H91" s="9"/>
      <c r="I91" s="9"/>
      <c r="J91" s="9"/>
      <c r="K91" s="9"/>
      <c r="L91" s="9"/>
      <c r="M91" s="9"/>
    </row>
    <row r="92" spans="3:13" ht="14.25" customHeight="1" x14ac:dyDescent="0.2">
      <c r="C92" s="21"/>
      <c r="D92" s="21"/>
      <c r="E92" s="21"/>
      <c r="F92" s="21"/>
      <c r="G92" s="21"/>
      <c r="H92" s="9"/>
      <c r="I92" s="9"/>
      <c r="J92" s="9"/>
      <c r="K92" s="9"/>
      <c r="L92" s="9"/>
      <c r="M92" s="9"/>
    </row>
    <row r="93" spans="3:13" ht="14.25" customHeight="1" x14ac:dyDescent="0.2">
      <c r="C93" s="21"/>
      <c r="D93" s="21"/>
      <c r="E93" s="21"/>
      <c r="F93" s="21"/>
      <c r="G93" s="21"/>
      <c r="H93" s="9"/>
      <c r="I93" s="9"/>
      <c r="J93" s="9"/>
      <c r="K93" s="9"/>
      <c r="L93" s="9"/>
      <c r="M93" s="9"/>
    </row>
    <row r="94" spans="3:13" ht="14.25" customHeight="1" x14ac:dyDescent="0.2">
      <c r="C94" s="21"/>
      <c r="D94" s="21"/>
      <c r="E94" s="21"/>
      <c r="F94" s="21"/>
      <c r="G94" s="21"/>
      <c r="H94" s="9"/>
      <c r="I94" s="9"/>
      <c r="J94" s="9"/>
      <c r="K94" s="9"/>
      <c r="L94" s="9"/>
      <c r="M94" s="9"/>
    </row>
    <row r="95" spans="3:13" ht="14.25" customHeight="1" x14ac:dyDescent="0.2">
      <c r="C95" s="21"/>
      <c r="D95" s="21"/>
      <c r="E95" s="21"/>
      <c r="F95" s="21"/>
      <c r="G95" s="21"/>
      <c r="H95" s="9"/>
      <c r="I95" s="9"/>
      <c r="J95" s="9"/>
      <c r="K95" s="9"/>
      <c r="L95" s="9"/>
      <c r="M95" s="9"/>
    </row>
    <row r="96" spans="3:13" ht="14.25" customHeight="1" x14ac:dyDescent="0.2">
      <c r="C96" s="21"/>
      <c r="D96" s="21"/>
      <c r="E96" s="21"/>
      <c r="F96" s="21"/>
      <c r="G96" s="21"/>
      <c r="H96" s="9"/>
      <c r="I96" s="9"/>
      <c r="J96" s="9"/>
      <c r="K96" s="9"/>
      <c r="L96" s="9"/>
      <c r="M96" s="9"/>
    </row>
    <row r="97" spans="3:13" ht="14.25" customHeight="1" x14ac:dyDescent="0.2">
      <c r="C97" s="21"/>
      <c r="D97" s="21"/>
      <c r="E97" s="21"/>
      <c r="F97" s="21"/>
      <c r="G97" s="21"/>
      <c r="H97" s="9"/>
      <c r="I97" s="9"/>
      <c r="J97" s="9"/>
      <c r="K97" s="9"/>
      <c r="L97" s="9"/>
      <c r="M97" s="9"/>
    </row>
    <row r="98" spans="3:13" ht="14.25" customHeight="1" x14ac:dyDescent="0.2">
      <c r="C98" s="21"/>
      <c r="D98" s="21"/>
      <c r="E98" s="21"/>
      <c r="F98" s="21"/>
      <c r="G98" s="21"/>
      <c r="H98" s="9"/>
      <c r="I98" s="9"/>
      <c r="J98" s="9"/>
      <c r="K98" s="9"/>
      <c r="L98" s="9"/>
      <c r="M98" s="9"/>
    </row>
    <row r="99" spans="3:13" ht="14.25" customHeight="1" x14ac:dyDescent="0.2">
      <c r="C99" s="21"/>
      <c r="D99" s="21"/>
      <c r="E99" s="21"/>
      <c r="F99" s="21"/>
      <c r="G99" s="21"/>
      <c r="H99" s="9"/>
      <c r="I99" s="9"/>
      <c r="J99" s="9"/>
      <c r="K99" s="9"/>
      <c r="L99" s="9"/>
      <c r="M99" s="9"/>
    </row>
    <row r="100" spans="3:13" ht="14.25" customHeight="1" x14ac:dyDescent="0.2">
      <c r="C100" s="21"/>
      <c r="D100" s="21"/>
      <c r="E100" s="21"/>
      <c r="F100" s="21"/>
      <c r="G100" s="21"/>
      <c r="H100" s="9"/>
      <c r="I100" s="9"/>
      <c r="J100" s="9"/>
      <c r="K100" s="9"/>
      <c r="L100" s="9"/>
      <c r="M100" s="9"/>
    </row>
    <row r="101" spans="3:13" ht="14.25" customHeight="1" x14ac:dyDescent="0.2">
      <c r="C101" s="21"/>
      <c r="D101" s="21"/>
      <c r="E101" s="21"/>
      <c r="F101" s="21"/>
      <c r="G101" s="21"/>
      <c r="H101" s="9"/>
      <c r="I101" s="9"/>
      <c r="J101" s="9"/>
      <c r="K101" s="9"/>
      <c r="L101" s="9"/>
      <c r="M101" s="9"/>
    </row>
    <row r="102" spans="3:13" ht="14.25" customHeight="1" x14ac:dyDescent="0.2">
      <c r="C102" s="21"/>
      <c r="D102" s="21"/>
      <c r="E102" s="21"/>
      <c r="F102" s="21"/>
      <c r="G102" s="21"/>
      <c r="H102" s="9"/>
      <c r="I102" s="9"/>
      <c r="J102" s="9"/>
      <c r="K102" s="9"/>
      <c r="L102" s="9"/>
      <c r="M102" s="9"/>
    </row>
    <row r="103" spans="3:13" ht="14.25" customHeight="1" x14ac:dyDescent="0.2">
      <c r="C103" s="21"/>
      <c r="D103" s="21"/>
      <c r="E103" s="21"/>
      <c r="F103" s="21"/>
      <c r="G103" s="21"/>
      <c r="H103" s="9"/>
      <c r="I103" s="9"/>
      <c r="J103" s="9"/>
      <c r="K103" s="9"/>
      <c r="L103" s="9"/>
      <c r="M103" s="9"/>
    </row>
    <row r="104" spans="3:13" ht="14.25" customHeight="1" x14ac:dyDescent="0.2">
      <c r="C104" s="21"/>
      <c r="D104" s="21"/>
      <c r="E104" s="21"/>
      <c r="F104" s="21"/>
      <c r="G104" s="21"/>
      <c r="H104" s="9"/>
      <c r="I104" s="9"/>
      <c r="J104" s="9"/>
      <c r="K104" s="9"/>
      <c r="L104" s="9"/>
      <c r="M104" s="9"/>
    </row>
    <row r="105" spans="3:13" ht="14.25" customHeight="1" x14ac:dyDescent="0.2">
      <c r="C105" s="21"/>
      <c r="D105" s="21"/>
      <c r="E105" s="21"/>
      <c r="F105" s="21"/>
      <c r="G105" s="21"/>
      <c r="H105" s="9"/>
      <c r="I105" s="9"/>
      <c r="J105" s="9"/>
      <c r="K105" s="9"/>
      <c r="L105" s="9"/>
      <c r="M105" s="9"/>
    </row>
    <row r="106" spans="3:13" ht="14.25" customHeight="1" x14ac:dyDescent="0.2">
      <c r="C106" s="21"/>
      <c r="D106" s="21"/>
      <c r="E106" s="21"/>
      <c r="F106" s="21"/>
      <c r="G106" s="21"/>
      <c r="H106" s="9"/>
      <c r="I106" s="9"/>
      <c r="J106" s="9"/>
      <c r="K106" s="9"/>
      <c r="L106" s="9"/>
      <c r="M106" s="9"/>
    </row>
    <row r="107" spans="3:13" ht="14.25" customHeight="1" x14ac:dyDescent="0.2">
      <c r="C107" s="21"/>
      <c r="D107" s="21"/>
      <c r="E107" s="21"/>
      <c r="F107" s="21"/>
      <c r="G107" s="21"/>
      <c r="H107" s="9"/>
      <c r="I107" s="9"/>
      <c r="J107" s="9"/>
      <c r="K107" s="9"/>
      <c r="L107" s="9"/>
      <c r="M107" s="9"/>
    </row>
    <row r="108" spans="3:13" ht="14.25" customHeight="1" x14ac:dyDescent="0.2">
      <c r="C108" s="21"/>
      <c r="D108" s="21"/>
      <c r="E108" s="21"/>
      <c r="F108" s="21"/>
      <c r="G108" s="21"/>
      <c r="H108" s="9"/>
      <c r="I108" s="9"/>
      <c r="J108" s="9"/>
      <c r="K108" s="9"/>
      <c r="L108" s="9"/>
      <c r="M108" s="9"/>
    </row>
    <row r="109" spans="3:13" ht="14.25" customHeight="1" x14ac:dyDescent="0.2">
      <c r="C109" s="21"/>
      <c r="D109" s="21"/>
      <c r="E109" s="21"/>
      <c r="F109" s="21"/>
      <c r="G109" s="21"/>
      <c r="H109" s="9"/>
      <c r="I109" s="9"/>
      <c r="J109" s="9"/>
      <c r="K109" s="9"/>
      <c r="L109" s="9"/>
      <c r="M109" s="9"/>
    </row>
    <row r="110" spans="3:13" ht="14.25" customHeight="1" x14ac:dyDescent="0.2">
      <c r="C110" s="21"/>
      <c r="D110" s="21"/>
      <c r="E110" s="21"/>
      <c r="F110" s="21"/>
      <c r="G110" s="21"/>
      <c r="H110" s="9"/>
      <c r="I110" s="9"/>
      <c r="J110" s="9"/>
      <c r="K110" s="9"/>
      <c r="L110" s="9"/>
      <c r="M110" s="9"/>
    </row>
    <row r="111" spans="3:13" ht="14.25" customHeight="1" x14ac:dyDescent="0.2">
      <c r="C111" s="21"/>
      <c r="D111" s="21"/>
      <c r="E111" s="21"/>
      <c r="F111" s="21"/>
      <c r="G111" s="21"/>
      <c r="H111" s="9"/>
      <c r="I111" s="9"/>
      <c r="J111" s="9"/>
      <c r="K111" s="9"/>
      <c r="L111" s="9"/>
      <c r="M111" s="9"/>
    </row>
    <row r="112" spans="3:13" ht="14.25" customHeight="1" x14ac:dyDescent="0.2">
      <c r="C112" s="21"/>
      <c r="D112" s="21"/>
      <c r="E112" s="21"/>
      <c r="F112" s="21"/>
      <c r="G112" s="21"/>
      <c r="H112" s="9"/>
      <c r="I112" s="9"/>
      <c r="J112" s="9"/>
      <c r="K112" s="9"/>
      <c r="L112" s="9"/>
      <c r="M112" s="9"/>
    </row>
    <row r="113" spans="3:13" ht="14.25" customHeight="1" x14ac:dyDescent="0.2">
      <c r="C113" s="21"/>
      <c r="D113" s="21"/>
      <c r="E113" s="21"/>
      <c r="F113" s="21"/>
      <c r="G113" s="21"/>
      <c r="H113" s="9"/>
      <c r="I113" s="9"/>
      <c r="J113" s="9"/>
      <c r="K113" s="9"/>
      <c r="L113" s="9"/>
      <c r="M113" s="9"/>
    </row>
    <row r="114" spans="3:13" ht="14.25" customHeight="1" x14ac:dyDescent="0.2">
      <c r="C114" s="21"/>
      <c r="D114" s="21"/>
      <c r="E114" s="21"/>
      <c r="F114" s="21"/>
      <c r="G114" s="21"/>
      <c r="H114" s="9"/>
      <c r="I114" s="9"/>
      <c r="J114" s="9"/>
      <c r="K114" s="9"/>
      <c r="L114" s="9"/>
      <c r="M114" s="9"/>
    </row>
    <row r="115" spans="3:13" ht="14.25" customHeight="1" x14ac:dyDescent="0.2">
      <c r="C115" s="21"/>
      <c r="D115" s="21"/>
      <c r="E115" s="21"/>
      <c r="F115" s="21"/>
      <c r="G115" s="21"/>
      <c r="H115" s="9"/>
      <c r="I115" s="9"/>
      <c r="J115" s="9"/>
      <c r="K115" s="9"/>
      <c r="L115" s="9"/>
      <c r="M115" s="9"/>
    </row>
    <row r="116" spans="3:13" ht="14.25" customHeight="1" x14ac:dyDescent="0.2">
      <c r="C116" s="21"/>
      <c r="D116" s="21"/>
      <c r="E116" s="21"/>
      <c r="F116" s="21"/>
      <c r="G116" s="21"/>
      <c r="H116" s="9"/>
      <c r="I116" s="9"/>
      <c r="J116" s="9"/>
      <c r="K116" s="9"/>
      <c r="L116" s="9"/>
      <c r="M116" s="9"/>
    </row>
    <row r="117" spans="3:13" ht="14.25" customHeight="1" x14ac:dyDescent="0.2">
      <c r="C117" s="21"/>
      <c r="D117" s="21"/>
      <c r="E117" s="21"/>
      <c r="F117" s="21"/>
      <c r="G117" s="21"/>
      <c r="H117" s="9"/>
      <c r="I117" s="9"/>
      <c r="J117" s="9"/>
      <c r="K117" s="9"/>
      <c r="L117" s="9"/>
      <c r="M117" s="9"/>
    </row>
    <row r="118" spans="3:13" ht="14.25" customHeight="1" x14ac:dyDescent="0.2">
      <c r="C118" s="21"/>
      <c r="D118" s="21"/>
      <c r="E118" s="21"/>
      <c r="F118" s="21"/>
      <c r="G118" s="21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K5" sqref="K5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07" t="s">
        <v>211</v>
      </c>
      <c r="B1" s="108"/>
    </row>
    <row r="2" spans="1:14" ht="14.25" customHeight="1" x14ac:dyDescent="0.2">
      <c r="A2" s="109"/>
      <c r="B2" s="110"/>
    </row>
    <row r="4" spans="1:14" ht="14.25" customHeight="1" x14ac:dyDescent="0.2">
      <c r="D4" s="3" t="s">
        <v>150</v>
      </c>
      <c r="E4" s="3" t="s">
        <v>87</v>
      </c>
      <c r="F4" s="3" t="s">
        <v>88</v>
      </c>
      <c r="G4" s="1" t="s">
        <v>198</v>
      </c>
      <c r="H4" s="1" t="s">
        <v>262</v>
      </c>
      <c r="I4" s="1" t="s">
        <v>199</v>
      </c>
      <c r="J4" s="1" t="s">
        <v>201</v>
      </c>
      <c r="K4" s="1" t="s">
        <v>203</v>
      </c>
      <c r="L4" s="1" t="s">
        <v>210</v>
      </c>
      <c r="N4" s="3" t="s">
        <v>225</v>
      </c>
    </row>
    <row r="5" spans="1:14" ht="14.25" customHeight="1" x14ac:dyDescent="0.2">
      <c r="D5" s="1" t="s">
        <v>246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</v>
      </c>
      <c r="J5" s="5"/>
      <c r="K5" s="5">
        <f>VLOOKUP($E5,技能模板!$D$13:$U$19,MATCH(K$4,技能模板!$D$13:$U$13,0),0)/VLOOKUP($E5,技能模板!$D$13:$U$19,MATCH($G$4,技能模板!$D$13:$U$13,0),0)*$G5</f>
        <v>0.6</v>
      </c>
      <c r="L5" s="5"/>
      <c r="N5" s="41" t="s">
        <v>231</v>
      </c>
    </row>
    <row r="6" spans="1:14" ht="14.25" customHeight="1" x14ac:dyDescent="0.2">
      <c r="D6" s="1" t="s">
        <v>247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</v>
      </c>
      <c r="J6" s="5"/>
      <c r="K6" s="5">
        <f>VLOOKUP($E6,技能模板!$D$13:$U$19,MATCH(K$4,技能模板!$D$13:$U$13,0),0)/VLOOKUP($E6,技能模板!$D$13:$U$19,MATCH($G$4,技能模板!$D$13:$U$13,0),0)*$G6</f>
        <v>0.6</v>
      </c>
      <c r="L6" s="5"/>
    </row>
    <row r="7" spans="1:14" ht="14.25" customHeight="1" x14ac:dyDescent="0.2">
      <c r="D7" s="1" t="s">
        <v>248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2.5198402130492674</v>
      </c>
      <c r="J7" s="5"/>
      <c r="K7" s="5">
        <f>VLOOKUP($E7,技能模板!$D$13:$U$19,MATCH(K$4,技能模板!$D$13:$U$13,0),0)/VLOOKUP($E7,技能模板!$D$13:$U$19,MATCH($G$4,技能模板!$D$13:$U$13,0),0)*$G7</f>
        <v>0.64</v>
      </c>
      <c r="L7" s="5"/>
    </row>
    <row r="8" spans="1:14" ht="14.25" customHeight="1" x14ac:dyDescent="0.2">
      <c r="D8" s="1" t="s">
        <v>249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2.5198402130492674</v>
      </c>
      <c r="J8" s="5"/>
      <c r="K8" s="5">
        <f>VLOOKUP($E8,技能模板!$D$13:$U$19,MATCH(K$4,技能模板!$D$13:$U$13,0),0)/VLOOKUP($E8,技能模板!$D$13:$U$19,MATCH($G$4,技能模板!$D$13:$U$13,0),0)*$G8</f>
        <v>0.64</v>
      </c>
      <c r="L8" s="5"/>
    </row>
    <row r="9" spans="1:14" ht="14.25" customHeight="1" x14ac:dyDescent="0.2">
      <c r="D9" s="1" t="s">
        <v>250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251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252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5.3291925465838492</v>
      </c>
      <c r="J11" s="5"/>
      <c r="K11" s="5"/>
      <c r="L11" s="5"/>
    </row>
    <row r="12" spans="1:14" ht="14.25" customHeight="1" x14ac:dyDescent="0.2">
      <c r="D12" s="1" t="s">
        <v>253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5.3291925465838492</v>
      </c>
      <c r="J12" s="5"/>
      <c r="K12" s="5"/>
      <c r="L12" s="5"/>
    </row>
    <row r="13" spans="1:14" ht="14.25" customHeight="1" x14ac:dyDescent="0.2">
      <c r="D13" s="1" t="s">
        <v>254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7.0077519379844944</v>
      </c>
      <c r="J13" s="5"/>
      <c r="K13" s="5"/>
      <c r="L13" s="5"/>
    </row>
    <row r="14" spans="1:14" ht="14.25" customHeight="1" x14ac:dyDescent="0.2">
      <c r="D14" s="1" t="s">
        <v>255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7.0077519379844944</v>
      </c>
      <c r="J14" s="5"/>
      <c r="K14" s="5"/>
      <c r="L14" s="5"/>
    </row>
    <row r="15" spans="1:14" ht="14.25" customHeight="1" x14ac:dyDescent="0.2">
      <c r="D15" s="1" t="s">
        <v>256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2.2781954887218041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0.53322797960135704</v>
      </c>
    </row>
    <row r="16" spans="1:14" ht="14.25" customHeight="1" x14ac:dyDescent="0.2">
      <c r="D16" s="1" t="s">
        <v>257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2.2781954887218041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0.53322797960135704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tabSelected="1" zoomScaleNormal="100" workbookViewId="0">
      <selection activeCell="J12" sqref="J12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07" t="s">
        <v>293</v>
      </c>
      <c r="B1" s="108"/>
    </row>
    <row r="2" spans="1:17" ht="14.25" customHeight="1" x14ac:dyDescent="0.2">
      <c r="A2" s="109"/>
      <c r="B2" s="110"/>
      <c r="D2" s="2" t="s">
        <v>294</v>
      </c>
    </row>
    <row r="3" spans="1:17" ht="14.25" customHeight="1" x14ac:dyDescent="0.2">
      <c r="D3" s="2" t="s">
        <v>295</v>
      </c>
    </row>
    <row r="4" spans="1:17" ht="14.25" customHeight="1" x14ac:dyDescent="0.2">
      <c r="C4" s="3" t="s">
        <v>300</v>
      </c>
      <c r="I4" s="2" t="s">
        <v>314</v>
      </c>
    </row>
    <row r="5" spans="1:17" ht="14.25" customHeight="1" x14ac:dyDescent="0.2">
      <c r="C5" s="3" t="s">
        <v>216</v>
      </c>
      <c r="D5" s="3" t="s">
        <v>88</v>
      </c>
      <c r="E5" s="3" t="s">
        <v>146</v>
      </c>
      <c r="F5" s="3" t="s">
        <v>147</v>
      </c>
      <c r="G5" s="3" t="s">
        <v>124</v>
      </c>
    </row>
    <row r="6" spans="1:17" ht="14.25" customHeight="1" x14ac:dyDescent="0.2">
      <c r="C6" s="1" t="s">
        <v>296</v>
      </c>
      <c r="D6" s="1" t="s">
        <v>122</v>
      </c>
      <c r="E6" s="1">
        <f>基础模型!E17</f>
        <v>5</v>
      </c>
      <c r="F6" s="1">
        <f>基础模型!F17</f>
        <v>100</v>
      </c>
      <c r="G6" s="1">
        <f>基础模型!G17</f>
        <v>2</v>
      </c>
    </row>
    <row r="7" spans="1:17" ht="14.25" customHeight="1" x14ac:dyDescent="0.2">
      <c r="C7" s="1" t="s">
        <v>297</v>
      </c>
      <c r="D7" s="1" t="s">
        <v>123</v>
      </c>
      <c r="E7" s="1">
        <f>基础模型!E18</f>
        <v>10</v>
      </c>
      <c r="F7" s="1">
        <f>基础模型!F18</f>
        <v>40</v>
      </c>
      <c r="G7" s="1">
        <f>基础模型!G18</f>
        <v>0</v>
      </c>
    </row>
    <row r="8" spans="1:17" ht="14.25" customHeight="1" x14ac:dyDescent="0.2">
      <c r="C8" s="1" t="s">
        <v>298</v>
      </c>
      <c r="D8" s="1" t="s">
        <v>122</v>
      </c>
      <c r="E8" s="1">
        <f>基础模型!E19</f>
        <v>5</v>
      </c>
      <c r="F8" s="1">
        <f>基础模型!F19</f>
        <v>100</v>
      </c>
      <c r="G8" s="1">
        <f>基础模型!G19</f>
        <v>2</v>
      </c>
    </row>
    <row r="9" spans="1:17" ht="14.25" customHeight="1" x14ac:dyDescent="0.2">
      <c r="C9" s="1" t="s">
        <v>299</v>
      </c>
      <c r="D9" s="1" t="s">
        <v>123</v>
      </c>
      <c r="E9" s="1">
        <f>基础模型!E20</f>
        <v>10</v>
      </c>
      <c r="F9" s="1">
        <f>基础模型!F20</f>
        <v>40</v>
      </c>
      <c r="G9" s="1">
        <f>基础模型!G20</f>
        <v>0</v>
      </c>
    </row>
    <row r="10" spans="1:17" ht="14.25" customHeight="1" x14ac:dyDescent="0.2">
      <c r="C10" s="1">
        <v>0</v>
      </c>
      <c r="D10" s="1" t="s">
        <v>124</v>
      </c>
      <c r="E10" s="1">
        <f>基础模型!E21</f>
        <v>4</v>
      </c>
      <c r="F10" s="1">
        <f>基础模型!F21</f>
        <v>50</v>
      </c>
      <c r="G10" s="1">
        <f>基础模型!G21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302</v>
      </c>
      <c r="D12" s="2" t="s">
        <v>310</v>
      </c>
      <c r="I12" s="3" t="s">
        <v>303</v>
      </c>
      <c r="Q12" s="2"/>
    </row>
    <row r="13" spans="1:17" ht="14.25" customHeight="1" x14ac:dyDescent="0.2">
      <c r="D13" s="3" t="s">
        <v>301</v>
      </c>
      <c r="E13" s="3" t="s">
        <v>146</v>
      </c>
      <c r="F13" s="3" t="s">
        <v>147</v>
      </c>
      <c r="G13" s="3" t="s">
        <v>124</v>
      </c>
      <c r="H13" s="76" t="s">
        <v>15</v>
      </c>
      <c r="J13" s="24" t="s">
        <v>13</v>
      </c>
      <c r="K13" s="3" t="s">
        <v>147</v>
      </c>
    </row>
    <row r="14" spans="1:17" ht="14.25" customHeight="1" x14ac:dyDescent="0.2">
      <c r="D14" s="1">
        <v>5</v>
      </c>
      <c r="E14" s="1">
        <f>SUM(E6:$E$10)</f>
        <v>34</v>
      </c>
      <c r="F14" s="1">
        <f>F6</f>
        <v>100</v>
      </c>
      <c r="G14" s="1">
        <f>SUM(G6:G10)</f>
        <v>10</v>
      </c>
      <c r="H14" s="6">
        <f>F14/(J14-G14)</f>
        <v>10.575296108291033</v>
      </c>
      <c r="J14" s="1">
        <v>19.456</v>
      </c>
      <c r="K14" s="6">
        <f>E14*H14</f>
        <v>359.56006768189513</v>
      </c>
    </row>
    <row r="15" spans="1:17" ht="14.25" customHeight="1" x14ac:dyDescent="0.2">
      <c r="D15" s="1">
        <v>4</v>
      </c>
      <c r="E15" s="1">
        <f>SUM(E7:$E$10)</f>
        <v>29</v>
      </c>
      <c r="F15" s="1">
        <f>F8</f>
        <v>100</v>
      </c>
      <c r="G15" s="1">
        <f>G14-G8</f>
        <v>8</v>
      </c>
      <c r="H15" s="6">
        <f t="shared" ref="H15:H18" si="0">F15/(J15-G15)</f>
        <v>8.7290502793296092</v>
      </c>
      <c r="J15" s="1">
        <f>J14</f>
        <v>19.456</v>
      </c>
      <c r="K15" s="6">
        <f t="shared" ref="K15:K18" si="1">E15*H15</f>
        <v>253.14245810055866</v>
      </c>
    </row>
    <row r="16" spans="1:17" ht="14.25" customHeight="1" x14ac:dyDescent="0.2">
      <c r="D16" s="1">
        <v>3</v>
      </c>
      <c r="E16" s="1">
        <f>SUM(E8:$E$10)</f>
        <v>19</v>
      </c>
      <c r="F16" s="1">
        <f>F7</f>
        <v>40</v>
      </c>
      <c r="G16" s="1">
        <f>G15-G7</f>
        <v>8</v>
      </c>
      <c r="H16" s="6">
        <f t="shared" si="0"/>
        <v>3.4916201117318435</v>
      </c>
      <c r="J16" s="1">
        <f t="shared" ref="J16:J18" si="2">J15</f>
        <v>19.456</v>
      </c>
      <c r="K16" s="6">
        <f t="shared" si="1"/>
        <v>66.340782122905026</v>
      </c>
    </row>
    <row r="17" spans="3:32" ht="14.25" customHeight="1" x14ac:dyDescent="0.2">
      <c r="D17" s="1">
        <v>2</v>
      </c>
      <c r="E17" s="1">
        <f>SUM(E9:$E$10)</f>
        <v>14</v>
      </c>
      <c r="F17" s="1">
        <f>F9</f>
        <v>40</v>
      </c>
      <c r="G17" s="1">
        <f>G16-G9</f>
        <v>8</v>
      </c>
      <c r="H17" s="6">
        <f t="shared" si="0"/>
        <v>3.4916201117318435</v>
      </c>
      <c r="J17" s="1">
        <f t="shared" si="2"/>
        <v>19.456</v>
      </c>
      <c r="K17" s="6">
        <f t="shared" si="1"/>
        <v>48.882681564245807</v>
      </c>
    </row>
    <row r="18" spans="3:32" ht="14.25" customHeight="1" x14ac:dyDescent="0.2">
      <c r="D18" s="1">
        <v>1</v>
      </c>
      <c r="E18" s="1">
        <f>SUM(E10:$E$10)</f>
        <v>4</v>
      </c>
      <c r="F18" s="1">
        <f>F10</f>
        <v>50</v>
      </c>
      <c r="G18" s="1">
        <f>G10</f>
        <v>6</v>
      </c>
      <c r="H18" s="6">
        <f t="shared" si="0"/>
        <v>3.7158145065398336</v>
      </c>
      <c r="J18" s="1">
        <f t="shared" si="2"/>
        <v>19.456</v>
      </c>
      <c r="K18" s="6">
        <f t="shared" si="1"/>
        <v>14.863258026159334</v>
      </c>
    </row>
    <row r="19" spans="3:32" ht="14.25" customHeight="1" x14ac:dyDescent="0.2">
      <c r="H19" s="6">
        <f>SUM(H14:H18)</f>
        <v>30.003401117624161</v>
      </c>
      <c r="I19" s="1" t="s">
        <v>304</v>
      </c>
      <c r="J19" s="1">
        <f>MAX(J14:J18)</f>
        <v>19.456</v>
      </c>
      <c r="K19" s="6">
        <f>SUM(K14:K18)</f>
        <v>742.7892474957639</v>
      </c>
    </row>
    <row r="21" spans="3:32" ht="14.25" customHeight="1" x14ac:dyDescent="0.2">
      <c r="C21" s="3" t="s">
        <v>162</v>
      </c>
      <c r="E21" s="1">
        <f>J19</f>
        <v>19.456</v>
      </c>
      <c r="F21" s="6">
        <f>K19</f>
        <v>742.7892474957639</v>
      </c>
      <c r="G21" s="17">
        <v>100</v>
      </c>
      <c r="J21" s="1" t="s">
        <v>306</v>
      </c>
      <c r="K21" s="1">
        <f>角色成长!L15</f>
        <v>75</v>
      </c>
      <c r="L21" s="3" t="s">
        <v>305</v>
      </c>
      <c r="P21" s="6">
        <f>MAX(P24:P123)</f>
        <v>939294.69890216889</v>
      </c>
      <c r="X21" s="1" t="s">
        <v>309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55709.193562182292</v>
      </c>
      <c r="P22" s="1">
        <f>100000</f>
        <v>100000</v>
      </c>
      <c r="X22" s="1">
        <v>9</v>
      </c>
    </row>
    <row r="23" spans="3:32" ht="14.25" customHeight="1" outlineLevel="1" x14ac:dyDescent="0.2">
      <c r="D23" s="1" t="s">
        <v>186</v>
      </c>
      <c r="E23" s="1" t="s">
        <v>146</v>
      </c>
      <c r="F23" s="1" t="s">
        <v>147</v>
      </c>
      <c r="G23" s="1" t="s">
        <v>139</v>
      </c>
      <c r="H23" s="17" t="s">
        <v>140</v>
      </c>
      <c r="I23" s="17" t="s">
        <v>141</v>
      </c>
      <c r="J23" s="17" t="s">
        <v>142</v>
      </c>
      <c r="M23" s="1" t="s">
        <v>164</v>
      </c>
      <c r="N23" s="1" t="s">
        <v>165</v>
      </c>
      <c r="O23" s="1" t="s">
        <v>166</v>
      </c>
      <c r="P23" s="1" t="s">
        <v>139</v>
      </c>
      <c r="Q23" s="17" t="s">
        <v>140</v>
      </c>
      <c r="R23" s="17" t="s">
        <v>141</v>
      </c>
      <c r="S23" s="17" t="s">
        <v>142</v>
      </c>
      <c r="T23" s="17" t="s">
        <v>167</v>
      </c>
      <c r="U23" s="17" t="s">
        <v>198</v>
      </c>
      <c r="V23" s="1" t="s">
        <v>308</v>
      </c>
      <c r="X23" s="1" t="s">
        <v>164</v>
      </c>
      <c r="Y23" s="1" t="s">
        <v>165</v>
      </c>
      <c r="Z23" s="1" t="s">
        <v>166</v>
      </c>
      <c r="AA23" s="1" t="s">
        <v>139</v>
      </c>
      <c r="AB23" s="1" t="s">
        <v>140</v>
      </c>
      <c r="AC23" s="1" t="s">
        <v>141</v>
      </c>
      <c r="AD23" s="1" t="s">
        <v>142</v>
      </c>
      <c r="AE23" s="1" t="s">
        <v>307</v>
      </c>
      <c r="AF23" s="1" t="s">
        <v>199</v>
      </c>
    </row>
    <row r="24" spans="3:32" ht="14.25" customHeight="1" outlineLevel="1" x14ac:dyDescent="0.2">
      <c r="D24" s="1">
        <v>1</v>
      </c>
      <c r="E24" s="6">
        <f>E$21*E$22^($D24-1)</f>
        <v>19.456</v>
      </c>
      <c r="F24" s="6">
        <f t="shared" ref="F24:G39" si="3">F$21*F$22^($D24-1)</f>
        <v>742.7892474957639</v>
      </c>
      <c r="G24" s="6">
        <f t="shared" si="3"/>
        <v>100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972.8</v>
      </c>
      <c r="O24" s="6">
        <f>F24*$K$21/(1+P24/$P$22)</f>
        <v>51822.505639239345</v>
      </c>
      <c r="P24" s="6">
        <f>G24*$K$21</f>
        <v>7500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2.4999999999999996</v>
      </c>
      <c r="X24" s="1">
        <v>1</v>
      </c>
      <c r="Y24" s="6">
        <f>2*N24/(1+$X$22)</f>
        <v>194.56</v>
      </c>
      <c r="Z24" s="6">
        <f>O24/$X$22</f>
        <v>5758.056182137705</v>
      </c>
      <c r="AA24" s="6">
        <f>P24</f>
        <v>7500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3">
        <f>V24</f>
        <v>2.4999999999999996</v>
      </c>
    </row>
    <row r="25" spans="3:32" ht="14.25" customHeight="1" outlineLevel="1" x14ac:dyDescent="0.2">
      <c r="D25" s="1">
        <v>2</v>
      </c>
      <c r="E25" s="6">
        <f>E$21*E$22^($D25-1)</f>
        <v>20.428799999999999</v>
      </c>
      <c r="F25" s="6">
        <f t="shared" si="3"/>
        <v>779.9287098705521</v>
      </c>
      <c r="G25" s="6">
        <f t="shared" si="3"/>
        <v>105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1021.4399999999999</v>
      </c>
      <c r="O25" s="6">
        <f t="shared" ref="O25:O88" si="5">F25*$K$21/(1+P25/$P$22)</f>
        <v>54224.475773155413</v>
      </c>
      <c r="P25" s="6">
        <f t="shared" ref="P25:P88" si="6">G25*$K$21</f>
        <v>7875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2.4999999999999991</v>
      </c>
      <c r="X25" s="1">
        <v>2</v>
      </c>
      <c r="Y25" s="6">
        <f>2*N25/(1+$X$22)</f>
        <v>204.28799999999998</v>
      </c>
      <c r="Z25" s="6">
        <f>O25/$X$22</f>
        <v>6024.941752572824</v>
      </c>
      <c r="AA25" s="6">
        <f>P25</f>
        <v>7875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3">
        <f>V25</f>
        <v>2.4999999999999991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21.450240000000001</v>
      </c>
      <c r="F26" s="6">
        <f t="shared" si="3"/>
        <v>818.92514536407975</v>
      </c>
      <c r="G26" s="6">
        <f t="shared" si="3"/>
        <v>110.25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1072.5120000000002</v>
      </c>
      <c r="O26" s="6">
        <f t="shared" si="5"/>
        <v>56728.636750960904</v>
      </c>
      <c r="P26" s="6">
        <f t="shared" si="6"/>
        <v>8268.75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2.4999999999999991</v>
      </c>
      <c r="X26" s="1">
        <v>3</v>
      </c>
      <c r="Y26" s="6">
        <f t="shared" ref="Y26:Y89" si="12">2*N26/(1+$X$22)</f>
        <v>214.50240000000002</v>
      </c>
      <c r="Z26" s="6">
        <f t="shared" ref="Z26:Z89" si="13">O26/$X$22</f>
        <v>6303.1818612178786</v>
      </c>
      <c r="AA26" s="6">
        <f t="shared" ref="AA26:AA89" si="14">P26</f>
        <v>8268.75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3">
        <f t="shared" ref="AF26:AF89" si="17">V26</f>
        <v>2.4999999999999991</v>
      </c>
    </row>
    <row r="27" spans="3:32" ht="14.25" customHeight="1" outlineLevel="1" x14ac:dyDescent="0.2">
      <c r="D27" s="1">
        <v>4</v>
      </c>
      <c r="E27" s="6">
        <f t="shared" si="10"/>
        <v>22.522752000000001</v>
      </c>
      <c r="F27" s="6">
        <f t="shared" si="3"/>
        <v>859.87140263228378</v>
      </c>
      <c r="G27" s="6">
        <f t="shared" si="3"/>
        <v>115.76250000000002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1126.1376000000002</v>
      </c>
      <c r="O27" s="6">
        <f t="shared" si="5"/>
        <v>59338.477335507516</v>
      </c>
      <c r="P27" s="6">
        <f t="shared" si="6"/>
        <v>8682.1875000000018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225.22752000000006</v>
      </c>
      <c r="Z27" s="6">
        <f t="shared" si="13"/>
        <v>6593.1641483897238</v>
      </c>
      <c r="AA27" s="6">
        <f t="shared" si="14"/>
        <v>8682.1875000000018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3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23.6488896</v>
      </c>
      <c r="F28" s="6">
        <f t="shared" si="3"/>
        <v>902.86497276389787</v>
      </c>
      <c r="G28" s="6">
        <f t="shared" si="3"/>
        <v>121.550625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1182.4444800000001</v>
      </c>
      <c r="O28" s="6">
        <f t="shared" si="5"/>
        <v>62057.524766318122</v>
      </c>
      <c r="P28" s="6">
        <f t="shared" si="6"/>
        <v>9116.296875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236.48889600000001</v>
      </c>
      <c r="Z28" s="6">
        <f t="shared" si="13"/>
        <v>6895.280529590902</v>
      </c>
      <c r="AA28" s="6">
        <f t="shared" si="14"/>
        <v>9116.296875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3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24.831334080000001</v>
      </c>
      <c r="F29" s="6">
        <f t="shared" si="3"/>
        <v>948.00822140209289</v>
      </c>
      <c r="G29" s="6">
        <f t="shared" si="3"/>
        <v>127.62815625000002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1241.5667040000003</v>
      </c>
      <c r="O29" s="6">
        <f t="shared" si="5"/>
        <v>64889.336793707342</v>
      </c>
      <c r="P29" s="6">
        <f t="shared" si="6"/>
        <v>9572.1117187500022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2.4999999999999987</v>
      </c>
      <c r="X29" s="1">
        <v>6</v>
      </c>
      <c r="Y29" s="6">
        <f t="shared" si="12"/>
        <v>248.31334080000005</v>
      </c>
      <c r="Z29" s="6">
        <f t="shared" si="13"/>
        <v>7209.9263104119273</v>
      </c>
      <c r="AA29" s="6">
        <f t="shared" si="14"/>
        <v>9572.1117187500022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3">
        <f t="shared" si="17"/>
        <v>2.4999999999999987</v>
      </c>
    </row>
    <row r="30" spans="3:32" ht="14.25" customHeight="1" outlineLevel="1" x14ac:dyDescent="0.2">
      <c r="D30" s="1">
        <v>7</v>
      </c>
      <c r="E30" s="6">
        <f t="shared" si="10"/>
        <v>26.072900783999998</v>
      </c>
      <c r="F30" s="6">
        <f t="shared" si="3"/>
        <v>995.40863247219738</v>
      </c>
      <c r="G30" s="6">
        <f t="shared" si="3"/>
        <v>134.0095640625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1303.6450392000002</v>
      </c>
      <c r="O30" s="6">
        <f t="shared" si="5"/>
        <v>67837.492806814204</v>
      </c>
      <c r="P30" s="6">
        <f t="shared" si="6"/>
        <v>10050.7173046875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260.72900784000001</v>
      </c>
      <c r="Z30" s="6">
        <f t="shared" si="13"/>
        <v>7537.4992007571336</v>
      </c>
      <c r="AA30" s="6">
        <f t="shared" si="14"/>
        <v>10050.7173046875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3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27.376545823200004</v>
      </c>
      <c r="F31" s="6">
        <f t="shared" si="3"/>
        <v>1045.1790640958075</v>
      </c>
      <c r="G31" s="6">
        <f t="shared" si="3"/>
        <v>140.71004226562502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1368.8272911600004</v>
      </c>
      <c r="O31" s="6">
        <f t="shared" si="5"/>
        <v>70905.584014521446</v>
      </c>
      <c r="P31" s="6">
        <f t="shared" si="6"/>
        <v>10553.253169921876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273.76545823200007</v>
      </c>
      <c r="Z31" s="6">
        <f t="shared" si="13"/>
        <v>7878.3982238357166</v>
      </c>
      <c r="AA31" s="6">
        <f t="shared" si="14"/>
        <v>10553.253169921876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3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28.74537311436</v>
      </c>
      <c r="F32" s="6">
        <f t="shared" si="3"/>
        <v>1097.4380173005977</v>
      </c>
      <c r="G32" s="6">
        <f t="shared" si="3"/>
        <v>147.74554437890626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1437.2686557180002</v>
      </c>
      <c r="O32" s="6">
        <f t="shared" si="5"/>
        <v>74097.202641615149</v>
      </c>
      <c r="P32" s="6">
        <f t="shared" si="6"/>
        <v>11080.91582841797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2.4999999999999987</v>
      </c>
      <c r="X32" s="1">
        <v>9</v>
      </c>
      <c r="Y32" s="6">
        <f t="shared" si="12"/>
        <v>287.45373114360007</v>
      </c>
      <c r="Z32" s="6">
        <f t="shared" si="13"/>
        <v>8233.022515735016</v>
      </c>
      <c r="AA32" s="6">
        <f t="shared" si="14"/>
        <v>11080.91582841797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3">
        <f t="shared" si="17"/>
        <v>2.4999999999999987</v>
      </c>
    </row>
    <row r="33" spans="4:32" ht="14.25" customHeight="1" outlineLevel="1" x14ac:dyDescent="0.2">
      <c r="D33" s="1">
        <v>10</v>
      </c>
      <c r="E33" s="6">
        <f t="shared" si="10"/>
        <v>30.182641770078003</v>
      </c>
      <c r="F33" s="6">
        <f t="shared" si="3"/>
        <v>1152.3099181656276</v>
      </c>
      <c r="G33" s="6">
        <f t="shared" si="3"/>
        <v>155.13282159785157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1509.1320885039004</v>
      </c>
      <c r="O33" s="6">
        <f t="shared" si="5"/>
        <v>77415.9301068489</v>
      </c>
      <c r="P33" s="6">
        <f t="shared" si="6"/>
        <v>11634.961619838869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301.8264177007801</v>
      </c>
      <c r="Z33" s="6">
        <f t="shared" si="13"/>
        <v>8601.7700118721004</v>
      </c>
      <c r="AA33" s="6">
        <f t="shared" si="14"/>
        <v>11634.961619838869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3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31.691773858581904</v>
      </c>
      <c r="F34" s="6">
        <f t="shared" si="3"/>
        <v>1209.925414073909</v>
      </c>
      <c r="G34" s="6">
        <f t="shared" si="3"/>
        <v>162.88946267774415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1584.5886929290953</v>
      </c>
      <c r="O34" s="6">
        <f t="shared" si="5"/>
        <v>80865.324154902875</v>
      </c>
      <c r="P34" s="6">
        <f t="shared" si="6"/>
        <v>12216.709700830812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316.91773858581905</v>
      </c>
      <c r="Z34" s="6">
        <f t="shared" si="13"/>
        <v>8985.0360172114306</v>
      </c>
      <c r="AA34" s="6">
        <f t="shared" si="14"/>
        <v>12216.709700830812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3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33.276362551510999</v>
      </c>
      <c r="F35" s="6">
        <f t="shared" si="3"/>
        <v>1270.4216847776045</v>
      </c>
      <c r="G35" s="6">
        <f t="shared" si="3"/>
        <v>171.03393581163138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1663.8181275755503</v>
      </c>
      <c r="O35" s="6">
        <f t="shared" si="5"/>
        <v>84448.904920649627</v>
      </c>
      <c r="P35" s="6">
        <f t="shared" si="6"/>
        <v>12827.545185872354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332.76362551511005</v>
      </c>
      <c r="Z35" s="6">
        <f t="shared" si="13"/>
        <v>9383.211657849959</v>
      </c>
      <c r="AA35" s="6">
        <f t="shared" si="14"/>
        <v>12827.545185872354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3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34.940180679086545</v>
      </c>
      <c r="F36" s="6">
        <f t="shared" si="3"/>
        <v>1333.9427690164846</v>
      </c>
      <c r="G36" s="6">
        <f t="shared" si="3"/>
        <v>179.58563260221291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1747.0090339543274</v>
      </c>
      <c r="O36" s="6">
        <f t="shared" si="5"/>
        <v>88170.139911730963</v>
      </c>
      <c r="P36" s="6">
        <f t="shared" si="6"/>
        <v>13468.922445165968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2.4999999999999991</v>
      </c>
      <c r="X36" s="1">
        <v>13</v>
      </c>
      <c r="Y36" s="6">
        <f t="shared" si="12"/>
        <v>349.40180679086546</v>
      </c>
      <c r="Z36" s="6">
        <f t="shared" si="13"/>
        <v>9796.682212414551</v>
      </c>
      <c r="AA36" s="6">
        <f t="shared" si="14"/>
        <v>13468.922445165968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3">
        <f t="shared" si="17"/>
        <v>2.4999999999999991</v>
      </c>
    </row>
    <row r="37" spans="4:32" ht="14.25" customHeight="1" outlineLevel="1" x14ac:dyDescent="0.2">
      <c r="D37" s="1">
        <v>14</v>
      </c>
      <c r="E37" s="6">
        <f t="shared" si="10"/>
        <v>36.68718971304088</v>
      </c>
      <c r="F37" s="6">
        <f t="shared" si="3"/>
        <v>1400.6399074673091</v>
      </c>
      <c r="G37" s="6">
        <f t="shared" si="3"/>
        <v>188.56491423232359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1834.359485652044</v>
      </c>
      <c r="O37" s="6">
        <f t="shared" si="5"/>
        <v>92032.427904276381</v>
      </c>
      <c r="P37" s="6">
        <f t="shared" si="6"/>
        <v>14142.36856742427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2.4999999999999991</v>
      </c>
      <c r="X37" s="1">
        <v>14</v>
      </c>
      <c r="Y37" s="6">
        <f t="shared" si="12"/>
        <v>366.8718971304088</v>
      </c>
      <c r="Z37" s="6">
        <f t="shared" si="13"/>
        <v>10225.825322697376</v>
      </c>
      <c r="AA37" s="6">
        <f t="shared" si="14"/>
        <v>14142.36856742427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3">
        <f t="shared" si="17"/>
        <v>2.4999999999999991</v>
      </c>
    </row>
    <row r="38" spans="4:32" ht="14.25" customHeight="1" outlineLevel="1" x14ac:dyDescent="0.2">
      <c r="D38" s="1">
        <v>15</v>
      </c>
      <c r="E38" s="6">
        <f t="shared" si="10"/>
        <v>38.521549198692917</v>
      </c>
      <c r="F38" s="6">
        <f t="shared" si="3"/>
        <v>1470.6719028406742</v>
      </c>
      <c r="G38" s="6">
        <f t="shared" si="3"/>
        <v>197.99315994393973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1926.077459934646</v>
      </c>
      <c r="O38" s="6">
        <f t="shared" si="5"/>
        <v>96039.081756706961</v>
      </c>
      <c r="P38" s="6">
        <f t="shared" si="6"/>
        <v>14849.48699579548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385.21549198692918</v>
      </c>
      <c r="Z38" s="6">
        <f t="shared" si="13"/>
        <v>10671.009084078551</v>
      </c>
      <c r="AA38" s="6">
        <f t="shared" si="14"/>
        <v>14849.48699579548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3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40.44762665862757</v>
      </c>
      <c r="F39" s="6">
        <f t="shared" si="3"/>
        <v>1544.2054979827085</v>
      </c>
      <c r="G39" s="6">
        <f t="shared" si="3"/>
        <v>207.8928179411368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2022.3813329313787</v>
      </c>
      <c r="O39" s="6">
        <f t="shared" si="5"/>
        <v>100193.31015800468</v>
      </c>
      <c r="P39" s="6">
        <f t="shared" si="6"/>
        <v>15591.96134558526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404.47626658627576</v>
      </c>
      <c r="Z39" s="6">
        <f t="shared" si="13"/>
        <v>11132.590017556075</v>
      </c>
      <c r="AA39" s="6">
        <f t="shared" si="14"/>
        <v>15591.96134558526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3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42.470007991558944</v>
      </c>
      <c r="F40" s="6">
        <f t="shared" si="10"/>
        <v>1621.4157728818436</v>
      </c>
      <c r="G40" s="6">
        <f t="shared" si="10"/>
        <v>218.2874588381936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2123.5003995779471</v>
      </c>
      <c r="O40" s="6">
        <f t="shared" si="5"/>
        <v>104498.19833959798</v>
      </c>
      <c r="P40" s="6">
        <f t="shared" si="6"/>
        <v>16371.559412864521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424.70007991558941</v>
      </c>
      <c r="Z40" s="6">
        <f t="shared" si="13"/>
        <v>11610.910926621997</v>
      </c>
      <c r="AA40" s="6">
        <f t="shared" si="14"/>
        <v>16371.559412864521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3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44.593508391136901</v>
      </c>
      <c r="F41" s="6">
        <f t="shared" si="10"/>
        <v>1702.4865615259362</v>
      </c>
      <c r="G41" s="6">
        <f t="shared" si="10"/>
        <v>229.2018317801033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2229.6754195568451</v>
      </c>
      <c r="O41" s="6">
        <f t="shared" si="5"/>
        <v>108956.68779411691</v>
      </c>
      <c r="P41" s="6">
        <f t="shared" si="6"/>
        <v>17190.137383507747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445.93508391136902</v>
      </c>
      <c r="Z41" s="6">
        <f t="shared" si="13"/>
        <v>12106.298643790768</v>
      </c>
      <c r="AA41" s="6">
        <f t="shared" si="14"/>
        <v>17190.137383507747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3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46.823183810693742</v>
      </c>
      <c r="F42" s="6">
        <f t="shared" si="10"/>
        <v>1787.6108896022329</v>
      </c>
      <c r="G42" s="6">
        <f t="shared" si="10"/>
        <v>240.66192336910848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2341.1591905346877</v>
      </c>
      <c r="O42" s="6">
        <f t="shared" si="5"/>
        <v>113571.55505965889</v>
      </c>
      <c r="P42" s="6">
        <f t="shared" si="6"/>
        <v>18049.644252683134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2.4999999999999987</v>
      </c>
      <c r="X42" s="1">
        <v>19</v>
      </c>
      <c r="Y42" s="6">
        <f t="shared" si="12"/>
        <v>468.23183810693752</v>
      </c>
      <c r="Z42" s="6">
        <f t="shared" si="13"/>
        <v>12619.061673295431</v>
      </c>
      <c r="AA42" s="6">
        <f t="shared" si="14"/>
        <v>18049.644252683134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3">
        <f t="shared" si="17"/>
        <v>2.4999999999999987</v>
      </c>
    </row>
    <row r="43" spans="4:32" ht="14.25" customHeight="1" outlineLevel="1" x14ac:dyDescent="0.2">
      <c r="D43" s="1">
        <v>20</v>
      </c>
      <c r="E43" s="6">
        <f t="shared" si="10"/>
        <v>49.164343001228431</v>
      </c>
      <c r="F43" s="6">
        <f t="shared" si="10"/>
        <v>1876.9914340823445</v>
      </c>
      <c r="G43" s="6">
        <f t="shared" si="10"/>
        <v>252.69501953756389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2458.2171500614222</v>
      </c>
      <c r="O43" s="6">
        <f t="shared" si="5"/>
        <v>118345.38964481751</v>
      </c>
      <c r="P43" s="6">
        <f t="shared" si="6"/>
        <v>18952.126465317291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491.64343001228445</v>
      </c>
      <c r="Z43" s="6">
        <f t="shared" si="13"/>
        <v>13149.487738313057</v>
      </c>
      <c r="AA43" s="6">
        <f t="shared" si="14"/>
        <v>18952.126465317291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3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51.622560151289854</v>
      </c>
      <c r="F44" s="6">
        <f t="shared" si="10"/>
        <v>1970.8410057864617</v>
      </c>
      <c r="G44" s="6">
        <f t="shared" si="10"/>
        <v>265.32977051444209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2581.1280075644931</v>
      </c>
      <c r="O44" s="6">
        <f t="shared" si="5"/>
        <v>123280.57118744419</v>
      </c>
      <c r="P44" s="6">
        <f t="shared" si="6"/>
        <v>19899.732788583158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516.22560151289861</v>
      </c>
      <c r="Z44" s="6">
        <f t="shared" si="13"/>
        <v>13697.841243049355</v>
      </c>
      <c r="AA44" s="6">
        <f t="shared" si="14"/>
        <v>19899.732788583158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3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54.203688158854341</v>
      </c>
      <c r="F45" s="6">
        <f t="shared" si="10"/>
        <v>2069.3830560757847</v>
      </c>
      <c r="G45" s="6">
        <f t="shared" si="10"/>
        <v>278.59625904016417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2710.1844079427174</v>
      </c>
      <c r="O45" s="6">
        <f t="shared" si="5"/>
        <v>128379.24595879567</v>
      </c>
      <c r="P45" s="6">
        <f t="shared" si="6"/>
        <v>20894.719428012311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542.03688158854345</v>
      </c>
      <c r="Z45" s="6">
        <f t="shared" si="13"/>
        <v>14264.360662088407</v>
      </c>
      <c r="AA45" s="6">
        <f t="shared" si="14"/>
        <v>20894.719428012311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3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56.913872566797053</v>
      </c>
      <c r="F46" s="6">
        <f t="shared" si="10"/>
        <v>2172.8522088795739</v>
      </c>
      <c r="G46" s="6">
        <f t="shared" si="10"/>
        <v>292.52607199217238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2845.6936283398531</v>
      </c>
      <c r="O46" s="6">
        <f t="shared" si="5"/>
        <v>133643.3028441692</v>
      </c>
      <c r="P46" s="6">
        <f t="shared" si="6"/>
        <v>21939.455399412927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2.4999999999999987</v>
      </c>
      <c r="X46" s="1">
        <v>23</v>
      </c>
      <c r="Y46" s="6">
        <f t="shared" si="12"/>
        <v>569.13872566797068</v>
      </c>
      <c r="Z46" s="6">
        <f t="shared" si="13"/>
        <v>14849.255871574356</v>
      </c>
      <c r="AA46" s="6">
        <f t="shared" si="14"/>
        <v>21939.455399412927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3">
        <f t="shared" si="17"/>
        <v>2.4999999999999987</v>
      </c>
    </row>
    <row r="47" spans="4:32" ht="14.25" customHeight="1" outlineLevel="1" x14ac:dyDescent="0.2">
      <c r="D47" s="1">
        <v>24</v>
      </c>
      <c r="E47" s="6">
        <f t="shared" si="10"/>
        <v>59.759566195136919</v>
      </c>
      <c r="F47" s="6">
        <f t="shared" si="10"/>
        <v>2281.4948193235527</v>
      </c>
      <c r="G47" s="6">
        <f t="shared" si="10"/>
        <v>307.15237559178104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2987.9783097568461</v>
      </c>
      <c r="O47" s="6">
        <f t="shared" si="5"/>
        <v>139074.34895110686</v>
      </c>
      <c r="P47" s="6">
        <f t="shared" si="6"/>
        <v>23036.428169383576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597.59566195136927</v>
      </c>
      <c r="Z47" s="6">
        <f t="shared" si="13"/>
        <v>15452.705439011874</v>
      </c>
      <c r="AA47" s="6">
        <f t="shared" si="14"/>
        <v>23036.428169383576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3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62.74754450489376</v>
      </c>
      <c r="F48" s="6">
        <f t="shared" si="10"/>
        <v>2395.5695602897304</v>
      </c>
      <c r="G48" s="6">
        <f t="shared" si="10"/>
        <v>322.50999437137006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3137.3772252446879</v>
      </c>
      <c r="O48" s="6">
        <f t="shared" si="5"/>
        <v>144673.68501646956</v>
      </c>
      <c r="P48" s="6">
        <f t="shared" si="6"/>
        <v>24188.249577852755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2.5</v>
      </c>
      <c r="X48" s="1">
        <v>25</v>
      </c>
      <c r="Y48" s="6">
        <f t="shared" si="12"/>
        <v>627.47544504893756</v>
      </c>
      <c r="Z48" s="6">
        <f t="shared" si="13"/>
        <v>16074.853890718841</v>
      </c>
      <c r="AA48" s="6">
        <f t="shared" si="14"/>
        <v>24188.249577852755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3">
        <f t="shared" si="17"/>
        <v>2.5</v>
      </c>
    </row>
    <row r="49" spans="4:32" ht="14.25" customHeight="1" outlineLevel="1" x14ac:dyDescent="0.2">
      <c r="D49" s="1">
        <v>26</v>
      </c>
      <c r="E49" s="6">
        <f t="shared" si="10"/>
        <v>65.884921730138444</v>
      </c>
      <c r="F49" s="6">
        <f t="shared" si="10"/>
        <v>2515.348038304217</v>
      </c>
      <c r="G49" s="6">
        <f t="shared" si="10"/>
        <v>338.63549408993856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3294.2460865069224</v>
      </c>
      <c r="O49" s="6">
        <f t="shared" si="5"/>
        <v>150442.28080380571</v>
      </c>
      <c r="P49" s="6">
        <f t="shared" si="6"/>
        <v>25397.662056745394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2.4999999999999996</v>
      </c>
      <c r="X49" s="1">
        <v>26</v>
      </c>
      <c r="Y49" s="6">
        <f t="shared" si="12"/>
        <v>658.84921730138444</v>
      </c>
      <c r="Z49" s="6">
        <f t="shared" si="13"/>
        <v>16715.808978200635</v>
      </c>
      <c r="AA49" s="6">
        <f t="shared" si="14"/>
        <v>25397.662056745394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3">
        <f t="shared" si="17"/>
        <v>2.4999999999999996</v>
      </c>
    </row>
    <row r="50" spans="4:32" ht="14.25" customHeight="1" outlineLevel="1" x14ac:dyDescent="0.2">
      <c r="D50" s="1">
        <v>27</v>
      </c>
      <c r="E50" s="6">
        <f t="shared" si="10"/>
        <v>69.179167816645375</v>
      </c>
      <c r="F50" s="6">
        <f t="shared" si="10"/>
        <v>2641.1154402194279</v>
      </c>
      <c r="G50" s="6">
        <f t="shared" si="10"/>
        <v>355.56726879443551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3458.9583908322693</v>
      </c>
      <c r="O50" s="6">
        <f t="shared" si="5"/>
        <v>156380.75070208436</v>
      </c>
      <c r="P50" s="6">
        <f t="shared" si="6"/>
        <v>26667.545159582663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691.79167816645383</v>
      </c>
      <c r="Z50" s="6">
        <f t="shared" si="13"/>
        <v>17375.638966898263</v>
      </c>
      <c r="AA50" s="6">
        <f t="shared" si="14"/>
        <v>26667.545159582663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3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72.638126207477654</v>
      </c>
      <c r="F51" s="6">
        <f t="shared" si="10"/>
        <v>2773.1712122303993</v>
      </c>
      <c r="G51" s="6">
        <f t="shared" si="10"/>
        <v>373.34563223415734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3631.9063103738831</v>
      </c>
      <c r="O51" s="6">
        <f t="shared" si="5"/>
        <v>162489.32975559862</v>
      </c>
      <c r="P51" s="6">
        <f t="shared" si="6"/>
        <v>28000.9224175618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2.4999999999999996</v>
      </c>
      <c r="X51" s="1">
        <v>28</v>
      </c>
      <c r="Y51" s="6">
        <f t="shared" si="12"/>
        <v>726.3812620747766</v>
      </c>
      <c r="Z51" s="6">
        <f t="shared" si="13"/>
        <v>18054.369972844292</v>
      </c>
      <c r="AA51" s="6">
        <f t="shared" si="14"/>
        <v>28000.9224175618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3">
        <f t="shared" si="17"/>
        <v>2.4999999999999996</v>
      </c>
    </row>
    <row r="52" spans="4:32" ht="14.25" customHeight="1" outlineLevel="1" x14ac:dyDescent="0.2">
      <c r="D52" s="1">
        <v>29</v>
      </c>
      <c r="E52" s="6">
        <f t="shared" si="10"/>
        <v>76.270032517851519</v>
      </c>
      <c r="F52" s="6">
        <f t="shared" si="10"/>
        <v>2911.8297728419188</v>
      </c>
      <c r="G52" s="6">
        <f t="shared" si="10"/>
        <v>392.01291384586511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3813.5016258925766</v>
      </c>
      <c r="O52" s="6">
        <f t="shared" si="5"/>
        <v>168767.85037220936</v>
      </c>
      <c r="P52" s="6">
        <f t="shared" si="6"/>
        <v>29400.968538439884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2.4999999999999987</v>
      </c>
      <c r="X52" s="1">
        <v>29</v>
      </c>
      <c r="Y52" s="6">
        <f t="shared" si="12"/>
        <v>762.7003251785153</v>
      </c>
      <c r="Z52" s="6">
        <f t="shared" si="13"/>
        <v>18751.983374689928</v>
      </c>
      <c r="AA52" s="6">
        <f t="shared" si="14"/>
        <v>29400.968538439884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3">
        <f t="shared" si="17"/>
        <v>2.4999999999999987</v>
      </c>
    </row>
    <row r="53" spans="4:32" ht="14.25" customHeight="1" outlineLevel="1" x14ac:dyDescent="0.2">
      <c r="D53" s="1">
        <v>30</v>
      </c>
      <c r="E53" s="6">
        <f t="shared" si="10"/>
        <v>80.083534143744117</v>
      </c>
      <c r="F53" s="6">
        <f t="shared" si="10"/>
        <v>3057.4212614840153</v>
      </c>
      <c r="G53" s="6">
        <f t="shared" si="10"/>
        <v>411.61355953815848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4004.1767071872059</v>
      </c>
      <c r="O53" s="6">
        <f t="shared" si="5"/>
        <v>175215.71997258384</v>
      </c>
      <c r="P53" s="6">
        <f t="shared" si="6"/>
        <v>30871.016965361887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2.4999999999999991</v>
      </c>
      <c r="X53" s="1">
        <v>30</v>
      </c>
      <c r="Y53" s="6">
        <f t="shared" si="12"/>
        <v>800.83534143744123</v>
      </c>
      <c r="Z53" s="6">
        <f t="shared" si="13"/>
        <v>19468.413330287094</v>
      </c>
      <c r="AA53" s="6">
        <f t="shared" si="14"/>
        <v>30871.016965361887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3">
        <f t="shared" si="17"/>
        <v>2.4999999999999991</v>
      </c>
    </row>
    <row r="54" spans="4:32" ht="14.25" customHeight="1" outlineLevel="1" x14ac:dyDescent="0.2">
      <c r="D54" s="1">
        <v>31</v>
      </c>
      <c r="E54" s="6">
        <f t="shared" si="10"/>
        <v>84.087710850931288</v>
      </c>
      <c r="F54" s="6">
        <f t="shared" si="10"/>
        <v>3210.2923245582151</v>
      </c>
      <c r="G54" s="6">
        <f t="shared" si="10"/>
        <v>432.19423751506622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4204.3855425465645</v>
      </c>
      <c r="O54" s="6">
        <f t="shared" si="5"/>
        <v>181831.89985617466</v>
      </c>
      <c r="P54" s="6">
        <f t="shared" si="6"/>
        <v>32414.567813629965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2.5</v>
      </c>
      <c r="X54" s="1">
        <v>31</v>
      </c>
      <c r="Y54" s="6">
        <f t="shared" si="12"/>
        <v>840.87710850931285</v>
      </c>
      <c r="Z54" s="6">
        <f t="shared" si="13"/>
        <v>20203.544428463851</v>
      </c>
      <c r="AA54" s="6">
        <f t="shared" si="14"/>
        <v>32414.567813629965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3">
        <f t="shared" si="17"/>
        <v>2.5</v>
      </c>
    </row>
    <row r="55" spans="4:32" ht="14.25" customHeight="1" outlineLevel="1" x14ac:dyDescent="0.2">
      <c r="D55" s="1">
        <v>32</v>
      </c>
      <c r="E55" s="6">
        <f t="shared" si="10"/>
        <v>88.292096393477891</v>
      </c>
      <c r="F55" s="6">
        <f t="shared" si="10"/>
        <v>3370.8069407861271</v>
      </c>
      <c r="G55" s="6">
        <f t="shared" si="10"/>
        <v>453.80394939081975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4414.6048196738948</v>
      </c>
      <c r="O55" s="6">
        <f t="shared" si="5"/>
        <v>188614.88556984102</v>
      </c>
      <c r="P55" s="6">
        <f t="shared" si="6"/>
        <v>34035.296204311482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2.4999999999999991</v>
      </c>
      <c r="X55" s="1">
        <v>32</v>
      </c>
      <c r="Y55" s="6">
        <f t="shared" si="12"/>
        <v>882.92096393477891</v>
      </c>
      <c r="Z55" s="6">
        <f t="shared" si="13"/>
        <v>20957.209507760112</v>
      </c>
      <c r="AA55" s="6">
        <f t="shared" si="14"/>
        <v>34035.296204311482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3">
        <f t="shared" si="17"/>
        <v>2.4999999999999991</v>
      </c>
    </row>
    <row r="56" spans="4:32" ht="14.25" customHeight="1" outlineLevel="1" x14ac:dyDescent="0.2">
      <c r="D56" s="1">
        <v>33</v>
      </c>
      <c r="E56" s="6">
        <f t="shared" si="10"/>
        <v>92.706701213151774</v>
      </c>
      <c r="F56" s="6">
        <f t="shared" si="10"/>
        <v>3539.3472878254333</v>
      </c>
      <c r="G56" s="6">
        <f t="shared" si="10"/>
        <v>476.49414686036067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4635.3350606575887</v>
      </c>
      <c r="O56" s="6">
        <f t="shared" si="5"/>
        <v>195562.68907170315</v>
      </c>
      <c r="P56" s="6">
        <f t="shared" si="6"/>
        <v>35737.061014527048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2.4999999999999996</v>
      </c>
      <c r="X56" s="1">
        <v>33</v>
      </c>
      <c r="Y56" s="6">
        <f t="shared" si="12"/>
        <v>927.06701213151769</v>
      </c>
      <c r="Z56" s="6">
        <f t="shared" si="13"/>
        <v>21729.187674633682</v>
      </c>
      <c r="AA56" s="6">
        <f t="shared" si="14"/>
        <v>35737.061014527048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3">
        <f t="shared" si="17"/>
        <v>2.4999999999999996</v>
      </c>
    </row>
    <row r="57" spans="4:32" ht="14.25" customHeight="1" outlineLevel="1" x14ac:dyDescent="0.2">
      <c r="D57" s="1">
        <v>34</v>
      </c>
      <c r="E57" s="6">
        <f t="shared" si="10"/>
        <v>97.34203627380937</v>
      </c>
      <c r="F57" s="6">
        <f t="shared" si="10"/>
        <v>3716.3146522167049</v>
      </c>
      <c r="G57" s="6">
        <f t="shared" si="10"/>
        <v>500.31885420337875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4867.1018136904686</v>
      </c>
      <c r="O57" s="6">
        <f t="shared" si="5"/>
        <v>202672.82298553683</v>
      </c>
      <c r="P57" s="6">
        <f t="shared" si="6"/>
        <v>37523.914065253404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2.4999999999999991</v>
      </c>
      <c r="X57" s="1">
        <v>34</v>
      </c>
      <c r="Y57" s="6">
        <f t="shared" si="12"/>
        <v>973.42036273809367</v>
      </c>
      <c r="Z57" s="6">
        <f t="shared" si="13"/>
        <v>22519.202553948537</v>
      </c>
      <c r="AA57" s="6">
        <f t="shared" si="14"/>
        <v>37523.914065253404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3">
        <f t="shared" si="17"/>
        <v>2.4999999999999991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102.20913808749982</v>
      </c>
      <c r="F58" s="6">
        <f t="shared" si="20"/>
        <v>3902.1303848275402</v>
      </c>
      <c r="G58" s="6">
        <f t="shared" si="20"/>
        <v>525.33479691354762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5110.4569043749916</v>
      </c>
      <c r="O58" s="6">
        <f t="shared" si="5"/>
        <v>209942.28723926272</v>
      </c>
      <c r="P58" s="6">
        <f t="shared" si="6"/>
        <v>39400.109768516071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2.4999999999999991</v>
      </c>
      <c r="X58" s="1">
        <v>35</v>
      </c>
      <c r="Y58" s="6">
        <f t="shared" si="12"/>
        <v>1022.0913808749983</v>
      </c>
      <c r="Z58" s="6">
        <f t="shared" si="13"/>
        <v>23326.920804362526</v>
      </c>
      <c r="AA58" s="6">
        <f t="shared" si="14"/>
        <v>39400.109768516071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3">
        <f t="shared" si="17"/>
        <v>2.4999999999999991</v>
      </c>
    </row>
    <row r="59" spans="4:32" ht="14.25" customHeight="1" outlineLevel="1" x14ac:dyDescent="0.2">
      <c r="D59" s="1">
        <v>36</v>
      </c>
      <c r="E59" s="6">
        <f t="shared" si="20"/>
        <v>107.31959499187484</v>
      </c>
      <c r="F59" s="6">
        <f t="shared" si="20"/>
        <v>4097.2369040689182</v>
      </c>
      <c r="G59" s="6">
        <f t="shared" si="20"/>
        <v>551.60153675922516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5365.9797495937428</v>
      </c>
      <c r="O59" s="6">
        <f t="shared" si="5"/>
        <v>217367.55837445598</v>
      </c>
      <c r="P59" s="6">
        <f t="shared" si="6"/>
        <v>41370.115256941885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2.4999999999999991</v>
      </c>
      <c r="X59" s="1">
        <v>36</v>
      </c>
      <c r="Y59" s="6">
        <f t="shared" si="12"/>
        <v>1073.1959499187485</v>
      </c>
      <c r="Z59" s="6">
        <f t="shared" si="13"/>
        <v>24151.95093049511</v>
      </c>
      <c r="AA59" s="6">
        <f t="shared" si="14"/>
        <v>41370.115256941885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3">
        <f t="shared" si="17"/>
        <v>2.4999999999999991</v>
      </c>
    </row>
    <row r="60" spans="4:32" ht="14.25" customHeight="1" outlineLevel="1" x14ac:dyDescent="0.2">
      <c r="D60" s="1">
        <v>37</v>
      </c>
      <c r="E60" s="6">
        <f t="shared" si="20"/>
        <v>112.68557474146856</v>
      </c>
      <c r="F60" s="6">
        <f t="shared" si="20"/>
        <v>4302.0987492723634</v>
      </c>
      <c r="G60" s="6">
        <f t="shared" si="20"/>
        <v>579.18161359718624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5634.2787370734286</v>
      </c>
      <c r="O60" s="6">
        <f t="shared" si="5"/>
        <v>224944.58180193536</v>
      </c>
      <c r="P60" s="6">
        <f t="shared" si="6"/>
        <v>43438.621019788967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1126.8557474146858</v>
      </c>
      <c r="Z60" s="6">
        <f t="shared" si="13"/>
        <v>24993.842422437261</v>
      </c>
      <c r="AA60" s="6">
        <f t="shared" si="14"/>
        <v>43438.621019788967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3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118.319853478542</v>
      </c>
      <c r="F61" s="6">
        <f t="shared" si="20"/>
        <v>4517.203686735982</v>
      </c>
      <c r="G61" s="6">
        <f t="shared" si="20"/>
        <v>608.14069427704567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5915.9926739271004</v>
      </c>
      <c r="O61" s="6">
        <f t="shared" si="5"/>
        <v>232668.767261125</v>
      </c>
      <c r="P61" s="6">
        <f t="shared" si="6"/>
        <v>45610.552070778424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2.4999999999999987</v>
      </c>
      <c r="X61" s="1">
        <v>38</v>
      </c>
      <c r="Y61" s="6">
        <f t="shared" si="12"/>
        <v>1183.1985347854202</v>
      </c>
      <c r="Z61" s="6">
        <f t="shared" si="13"/>
        <v>25852.085251236113</v>
      </c>
      <c r="AA61" s="6">
        <f t="shared" si="14"/>
        <v>45610.552070778424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3">
        <f t="shared" si="17"/>
        <v>2.4999999999999987</v>
      </c>
    </row>
    <row r="62" spans="4:32" ht="14.25" customHeight="1" outlineLevel="1" x14ac:dyDescent="0.2">
      <c r="D62" s="1">
        <v>39</v>
      </c>
      <c r="E62" s="6">
        <f t="shared" si="20"/>
        <v>124.23584615246908</v>
      </c>
      <c r="F62" s="6">
        <f t="shared" si="20"/>
        <v>4743.0638710727799</v>
      </c>
      <c r="G62" s="6">
        <f t="shared" si="20"/>
        <v>638.54772899089789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6211.7923076234547</v>
      </c>
      <c r="O62" s="6">
        <f t="shared" si="5"/>
        <v>240534.98771787944</v>
      </c>
      <c r="P62" s="6">
        <f t="shared" si="6"/>
        <v>47891.079674317341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2.4999999999999991</v>
      </c>
      <c r="X62" s="1">
        <v>39</v>
      </c>
      <c r="Y62" s="6">
        <f t="shared" si="12"/>
        <v>1242.3584615246909</v>
      </c>
      <c r="Z62" s="6">
        <f t="shared" si="13"/>
        <v>26726.109746431048</v>
      </c>
      <c r="AA62" s="6">
        <f t="shared" si="14"/>
        <v>47891.079674317341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3">
        <f t="shared" si="17"/>
        <v>2.4999999999999991</v>
      </c>
    </row>
    <row r="63" spans="4:32" ht="14.25" customHeight="1" outlineLevel="1" x14ac:dyDescent="0.2">
      <c r="D63" s="1">
        <v>40</v>
      </c>
      <c r="E63" s="6">
        <f t="shared" si="20"/>
        <v>130.44763846009255</v>
      </c>
      <c r="F63" s="6">
        <f t="shared" si="20"/>
        <v>4980.2170646264203</v>
      </c>
      <c r="G63" s="6">
        <f t="shared" si="20"/>
        <v>670.47511544044289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6522.3819230046274</v>
      </c>
      <c r="O63" s="6">
        <f t="shared" si="5"/>
        <v>248537.58190679591</v>
      </c>
      <c r="P63" s="6">
        <f t="shared" si="6"/>
        <v>50285.633658033214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2.4999999999999996</v>
      </c>
      <c r="X63" s="1">
        <v>40</v>
      </c>
      <c r="Y63" s="6">
        <f t="shared" si="12"/>
        <v>1304.4763846009255</v>
      </c>
      <c r="Z63" s="6">
        <f t="shared" si="13"/>
        <v>27615.286878532879</v>
      </c>
      <c r="AA63" s="6">
        <f t="shared" si="14"/>
        <v>50285.633658033214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3">
        <f t="shared" si="17"/>
        <v>2.4999999999999996</v>
      </c>
    </row>
    <row r="64" spans="4:32" ht="14.25" customHeight="1" outlineLevel="1" x14ac:dyDescent="0.2">
      <c r="D64" s="1">
        <v>41</v>
      </c>
      <c r="E64" s="6">
        <f t="shared" si="20"/>
        <v>136.97002038309716</v>
      </c>
      <c r="F64" s="6">
        <f t="shared" si="20"/>
        <v>5229.2279178577401</v>
      </c>
      <c r="G64" s="6">
        <f t="shared" si="20"/>
        <v>703.99887121246491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6848.501019154859</v>
      </c>
      <c r="O64" s="6">
        <f t="shared" si="5"/>
        <v>256670.36068982875</v>
      </c>
      <c r="P64" s="6">
        <f t="shared" si="6"/>
        <v>52799.915340934866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2.4999999999999987</v>
      </c>
      <c r="X64" s="1">
        <v>41</v>
      </c>
      <c r="Y64" s="6">
        <f t="shared" si="12"/>
        <v>1369.7002038309718</v>
      </c>
      <c r="Z64" s="6">
        <f t="shared" si="13"/>
        <v>28518.928965536528</v>
      </c>
      <c r="AA64" s="6">
        <f t="shared" si="14"/>
        <v>52799.915340934866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3">
        <f t="shared" si="17"/>
        <v>2.4999999999999987</v>
      </c>
    </row>
    <row r="65" spans="4:32" ht="14.25" customHeight="1" outlineLevel="1" x14ac:dyDescent="0.2">
      <c r="D65" s="1">
        <v>42</v>
      </c>
      <c r="E65" s="6">
        <f t="shared" si="20"/>
        <v>143.81852140225203</v>
      </c>
      <c r="F65" s="6">
        <f t="shared" si="20"/>
        <v>5490.6893137506277</v>
      </c>
      <c r="G65" s="6">
        <f t="shared" si="20"/>
        <v>739.1988147730882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7190.9260701126022</v>
      </c>
      <c r="O65" s="6">
        <f t="shared" si="5"/>
        <v>264926.61736355798</v>
      </c>
      <c r="P65" s="6">
        <f t="shared" si="6"/>
        <v>55439.911107981614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2.4999999999999996</v>
      </c>
      <c r="X65" s="1">
        <v>42</v>
      </c>
      <c r="Y65" s="6">
        <f t="shared" si="12"/>
        <v>1438.1852140225205</v>
      </c>
      <c r="Z65" s="6">
        <f t="shared" si="13"/>
        <v>29436.290818173107</v>
      </c>
      <c r="AA65" s="6">
        <f t="shared" si="14"/>
        <v>55439.911107981614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3">
        <f t="shared" si="17"/>
        <v>2.4999999999999996</v>
      </c>
    </row>
    <row r="66" spans="4:32" ht="14.25" customHeight="1" outlineLevel="1" x14ac:dyDescent="0.2">
      <c r="D66" s="1">
        <v>43</v>
      </c>
      <c r="E66" s="6">
        <f t="shared" si="20"/>
        <v>151.00944747236466</v>
      </c>
      <c r="F66" s="6">
        <f t="shared" si="20"/>
        <v>5765.223779438159</v>
      </c>
      <c r="G66" s="6">
        <f t="shared" si="20"/>
        <v>776.15875551174258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7550.4723736182332</v>
      </c>
      <c r="O66" s="6">
        <f t="shared" si="5"/>
        <v>273299.14200316137</v>
      </c>
      <c r="P66" s="6">
        <f t="shared" si="6"/>
        <v>58211.906663380694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2.4999999999999996</v>
      </c>
      <c r="X66" s="1">
        <v>43</v>
      </c>
      <c r="Y66" s="6">
        <f t="shared" si="12"/>
        <v>1510.0944747236467</v>
      </c>
      <c r="Z66" s="6">
        <f t="shared" si="13"/>
        <v>30366.571333684595</v>
      </c>
      <c r="AA66" s="6">
        <f t="shared" si="14"/>
        <v>58211.906663380694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3">
        <f t="shared" si="17"/>
        <v>2.4999999999999996</v>
      </c>
    </row>
    <row r="67" spans="4:32" ht="14.25" customHeight="1" outlineLevel="1" x14ac:dyDescent="0.2">
      <c r="D67" s="1">
        <v>44</v>
      </c>
      <c r="E67" s="6">
        <f t="shared" si="20"/>
        <v>158.5599198459829</v>
      </c>
      <c r="F67" s="6">
        <f t="shared" si="20"/>
        <v>6053.4849684100673</v>
      </c>
      <c r="G67" s="6">
        <f t="shared" si="20"/>
        <v>814.9666932873298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7927.9959922991447</v>
      </c>
      <c r="O67" s="6">
        <f t="shared" si="5"/>
        <v>281780.23988261877</v>
      </c>
      <c r="P67" s="6">
        <f t="shared" si="6"/>
        <v>61122.501996549734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2.4999999999999996</v>
      </c>
      <c r="X67" s="1">
        <v>44</v>
      </c>
      <c r="Y67" s="6">
        <f t="shared" si="12"/>
        <v>1585.599198459829</v>
      </c>
      <c r="Z67" s="6">
        <f t="shared" si="13"/>
        <v>31308.915542513198</v>
      </c>
      <c r="AA67" s="6">
        <f t="shared" si="14"/>
        <v>61122.501996549734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3">
        <f t="shared" si="17"/>
        <v>2.4999999999999996</v>
      </c>
    </row>
    <row r="68" spans="4:32" ht="14.25" customHeight="1" outlineLevel="1" x14ac:dyDescent="0.2">
      <c r="D68" s="1">
        <v>45</v>
      </c>
      <c r="E68" s="6">
        <f t="shared" si="20"/>
        <v>166.48791583828202</v>
      </c>
      <c r="F68" s="6">
        <f t="shared" si="20"/>
        <v>6356.1592168305706</v>
      </c>
      <c r="G68" s="6">
        <f t="shared" si="20"/>
        <v>855.71502795169624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8324.3957919141012</v>
      </c>
      <c r="O68" s="6">
        <f t="shared" si="5"/>
        <v>290361.75395866251</v>
      </c>
      <c r="P68" s="6">
        <f t="shared" si="6"/>
        <v>64178.627096377219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2.4999999999999991</v>
      </c>
      <c r="X68" s="1">
        <v>45</v>
      </c>
      <c r="Y68" s="6">
        <f t="shared" si="12"/>
        <v>1664.8791583828202</v>
      </c>
      <c r="Z68" s="6">
        <f t="shared" si="13"/>
        <v>32262.417106518056</v>
      </c>
      <c r="AA68" s="6">
        <f t="shared" si="14"/>
        <v>64178.627096377219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3">
        <f t="shared" si="17"/>
        <v>2.4999999999999991</v>
      </c>
    </row>
    <row r="69" spans="4:32" ht="14.25" customHeight="1" outlineLevel="1" x14ac:dyDescent="0.2">
      <c r="D69" s="1">
        <v>46</v>
      </c>
      <c r="E69" s="6">
        <f t="shared" si="20"/>
        <v>174.81231163019615</v>
      </c>
      <c r="F69" s="6">
        <f t="shared" si="20"/>
        <v>6673.9671776720998</v>
      </c>
      <c r="G69" s="6">
        <f t="shared" si="20"/>
        <v>898.50077934928117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8740.6155815098082</v>
      </c>
      <c r="O69" s="6">
        <f t="shared" si="5"/>
        <v>299035.09135139716</v>
      </c>
      <c r="P69" s="6">
        <f t="shared" si="6"/>
        <v>67387.558451196091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1748.1231163019615</v>
      </c>
      <c r="Z69" s="6">
        <f t="shared" si="13"/>
        <v>33226.121261266351</v>
      </c>
      <c r="AA69" s="6">
        <f t="shared" si="14"/>
        <v>67387.558451196091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3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183.55292721170591</v>
      </c>
      <c r="F70" s="6">
        <f t="shared" si="20"/>
        <v>7007.6655365557035</v>
      </c>
      <c r="G70" s="6">
        <f t="shared" si="20"/>
        <v>943.42581831674511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9177.6463605852969</v>
      </c>
      <c r="O70" s="6">
        <f t="shared" si="5"/>
        <v>307791.2536983504</v>
      </c>
      <c r="P70" s="6">
        <f t="shared" si="6"/>
        <v>70756.936373755889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1835.5292721170595</v>
      </c>
      <c r="Z70" s="6">
        <f t="shared" si="13"/>
        <v>34199.028188705597</v>
      </c>
      <c r="AA70" s="6">
        <f t="shared" si="14"/>
        <v>70756.936373755889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3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192.73057357229126</v>
      </c>
      <c r="F71" s="6">
        <f t="shared" si="20"/>
        <v>7358.0488133834906</v>
      </c>
      <c r="G71" s="6">
        <f t="shared" si="20"/>
        <v>990.59710923258262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9636.5286786145643</v>
      </c>
      <c r="O71" s="6">
        <f t="shared" si="5"/>
        <v>316620.87120212021</v>
      </c>
      <c r="P71" s="6">
        <f t="shared" si="6"/>
        <v>74294.78319244369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2.4999999999999996</v>
      </c>
      <c r="X71" s="1">
        <v>48</v>
      </c>
      <c r="Y71" s="6">
        <f t="shared" si="12"/>
        <v>1927.3057357229129</v>
      </c>
      <c r="Z71" s="6">
        <f t="shared" si="13"/>
        <v>35180.09680023558</v>
      </c>
      <c r="AA71" s="6">
        <f t="shared" si="14"/>
        <v>74294.78319244369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3">
        <f t="shared" si="17"/>
        <v>2.4999999999999996</v>
      </c>
    </row>
    <row r="72" spans="4:32" ht="14.25" customHeight="1" outlineLevel="1" x14ac:dyDescent="0.2">
      <c r="D72" s="1">
        <v>49</v>
      </c>
      <c r="E72" s="6">
        <f t="shared" si="20"/>
        <v>202.36710225090582</v>
      </c>
      <c r="F72" s="6">
        <f t="shared" si="20"/>
        <v>7725.9512540526648</v>
      </c>
      <c r="G72" s="6">
        <f t="shared" si="20"/>
        <v>1040.1269646942117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10118.355112545292</v>
      </c>
      <c r="O72" s="6">
        <f t="shared" si="5"/>
        <v>325514.24013594358</v>
      </c>
      <c r="P72" s="6">
        <f t="shared" si="6"/>
        <v>78009.522352065876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2023.6710225090585</v>
      </c>
      <c r="Z72" s="6">
        <f t="shared" si="13"/>
        <v>36168.248903993728</v>
      </c>
      <c r="AA72" s="6">
        <f t="shared" si="14"/>
        <v>78009.522352065876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3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212.48545736345113</v>
      </c>
      <c r="F73" s="6">
        <f t="shared" si="20"/>
        <v>8112.2488167552983</v>
      </c>
      <c r="G73" s="6">
        <f t="shared" si="20"/>
        <v>1092.1333129289224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10624.272868172557</v>
      </c>
      <c r="O73" s="6">
        <f t="shared" si="5"/>
        <v>334461.36351768055</v>
      </c>
      <c r="P73" s="6">
        <f t="shared" si="6"/>
        <v>81909.998469669183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2.4999999999999991</v>
      </c>
      <c r="X73" s="1">
        <v>50</v>
      </c>
      <c r="Y73" s="6">
        <f t="shared" si="12"/>
        <v>2124.8545736345113</v>
      </c>
      <c r="Z73" s="6">
        <f t="shared" si="13"/>
        <v>37162.373724186727</v>
      </c>
      <c r="AA73" s="6">
        <f t="shared" si="14"/>
        <v>81909.998469669183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3">
        <f t="shared" si="17"/>
        <v>2.4999999999999991</v>
      </c>
    </row>
    <row r="74" spans="4:32" ht="14.25" customHeight="1" outlineLevel="1" x14ac:dyDescent="0.2">
      <c r="D74" s="1">
        <v>51</v>
      </c>
      <c r="E74" s="6">
        <f t="shared" si="20"/>
        <v>223.10973023162367</v>
      </c>
      <c r="F74" s="6">
        <f t="shared" si="20"/>
        <v>8517.8612575930638</v>
      </c>
      <c r="G74" s="6">
        <f t="shared" si="20"/>
        <v>1146.7399785753685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11155.486511581184</v>
      </c>
      <c r="O74" s="6">
        <f t="shared" si="5"/>
        <v>343451.99461211043</v>
      </c>
      <c r="P74" s="6">
        <f t="shared" si="6"/>
        <v>86005.498393152637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2231.0973023162369</v>
      </c>
      <c r="Z74" s="6">
        <f t="shared" si="13"/>
        <v>38161.332734678937</v>
      </c>
      <c r="AA74" s="6">
        <f t="shared" si="14"/>
        <v>86005.498393152637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3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234.26521674320486</v>
      </c>
      <c r="F75" s="6">
        <f t="shared" si="20"/>
        <v>8943.7543204727172</v>
      </c>
      <c r="G75" s="6">
        <f t="shared" si="20"/>
        <v>1204.0769775041369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11713.260837160244</v>
      </c>
      <c r="O75" s="6">
        <f t="shared" si="5"/>
        <v>352475.68287530285</v>
      </c>
      <c r="P75" s="6">
        <f t="shared" si="6"/>
        <v>90305.77331281027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2342.6521674320488</v>
      </c>
      <c r="Z75" s="6">
        <f t="shared" si="13"/>
        <v>39163.964763922537</v>
      </c>
      <c r="AA75" s="6">
        <f t="shared" si="14"/>
        <v>90305.77331281027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3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245.97847758036511</v>
      </c>
      <c r="F76" s="6">
        <f t="shared" si="20"/>
        <v>9390.9420364963535</v>
      </c>
      <c r="G76" s="6">
        <f t="shared" si="20"/>
        <v>1264.2808263793438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12298.923879018255</v>
      </c>
      <c r="O76" s="6">
        <f t="shared" si="5"/>
        <v>361521.82191427104</v>
      </c>
      <c r="P76" s="6">
        <f t="shared" si="6"/>
        <v>94821.061978450787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2459.784775803651</v>
      </c>
      <c r="Z76" s="6">
        <f t="shared" si="13"/>
        <v>40169.091323807894</v>
      </c>
      <c r="AA76" s="6">
        <f t="shared" si="14"/>
        <v>94821.061978450787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3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258.27740145938333</v>
      </c>
      <c r="F77" s="6">
        <f t="shared" si="20"/>
        <v>9860.4891383211689</v>
      </c>
      <c r="G77" s="6">
        <f t="shared" si="20"/>
        <v>1327.4948676983108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12913.870072969168</v>
      </c>
      <c r="O77" s="6">
        <f t="shared" si="5"/>
        <v>370579.69900116458</v>
      </c>
      <c r="P77" s="6">
        <f t="shared" si="6"/>
        <v>99562.11507737331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2582.7740145938337</v>
      </c>
      <c r="Z77" s="6">
        <f t="shared" si="13"/>
        <v>41175.522111240512</v>
      </c>
      <c r="AA77" s="6">
        <f t="shared" si="14"/>
        <v>99562.11507737331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3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271.19127153235252</v>
      </c>
      <c r="F78" s="6">
        <f t="shared" si="20"/>
        <v>10353.513595237227</v>
      </c>
      <c r="G78" s="6">
        <f t="shared" si="20"/>
        <v>1393.8696110832263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13559.563576617627</v>
      </c>
      <c r="O78" s="6">
        <f t="shared" si="5"/>
        <v>379638.54565477493</v>
      </c>
      <c r="P78" s="6">
        <f t="shared" si="6"/>
        <v>104540.22083124198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2.4999999999999991</v>
      </c>
      <c r="X78" s="1">
        <v>55</v>
      </c>
      <c r="Y78" s="6">
        <f t="shared" si="12"/>
        <v>2711.9127153235254</v>
      </c>
      <c r="Z78" s="6">
        <f t="shared" si="13"/>
        <v>42182.060628308325</v>
      </c>
      <c r="AA78" s="6">
        <f t="shared" si="14"/>
        <v>104540.22083124198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3">
        <f t="shared" si="17"/>
        <v>2.4999999999999991</v>
      </c>
    </row>
    <row r="79" spans="4:32" ht="14.25" customHeight="1" outlineLevel="1" x14ac:dyDescent="0.2">
      <c r="D79" s="1">
        <v>56</v>
      </c>
      <c r="E79" s="6">
        <f t="shared" si="20"/>
        <v>284.75083510897019</v>
      </c>
      <c r="F79" s="6">
        <f t="shared" si="20"/>
        <v>10871.189274999091</v>
      </c>
      <c r="G79" s="6">
        <f t="shared" si="20"/>
        <v>1463.563091637388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14237.54175544851</v>
      </c>
      <c r="O79" s="6">
        <f t="shared" si="5"/>
        <v>388687.58878380322</v>
      </c>
      <c r="P79" s="6">
        <f t="shared" si="6"/>
        <v>109767.2318728041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2.4999999999999991</v>
      </c>
      <c r="X79" s="1">
        <v>56</v>
      </c>
      <c r="Y79" s="6">
        <f t="shared" si="12"/>
        <v>2847.508351089702</v>
      </c>
      <c r="Z79" s="6">
        <f t="shared" si="13"/>
        <v>43187.509864867025</v>
      </c>
      <c r="AA79" s="6">
        <f t="shared" si="14"/>
        <v>109767.2318728041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3">
        <f t="shared" si="17"/>
        <v>2.4999999999999991</v>
      </c>
    </row>
    <row r="80" spans="4:32" ht="14.25" customHeight="1" outlineLevel="1" x14ac:dyDescent="0.2">
      <c r="D80" s="1">
        <v>57</v>
      </c>
      <c r="E80" s="6">
        <f t="shared" si="20"/>
        <v>298.98837686441863</v>
      </c>
      <c r="F80" s="6">
        <f t="shared" si="20"/>
        <v>11414.748738749044</v>
      </c>
      <c r="G80" s="6">
        <f t="shared" si="20"/>
        <v>1536.7412462192569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14949.418843220932</v>
      </c>
      <c r="O80" s="6">
        <f t="shared" si="5"/>
        <v>397716.10187664407</v>
      </c>
      <c r="P80" s="6">
        <f t="shared" si="6"/>
        <v>115255.59346644428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2989.8837686441866</v>
      </c>
      <c r="Z80" s="6">
        <f t="shared" si="13"/>
        <v>44190.677986293784</v>
      </c>
      <c r="AA80" s="6">
        <f t="shared" si="14"/>
        <v>115255.59346644428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3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313.93779570763962</v>
      </c>
      <c r="F81" s="6">
        <f t="shared" si="20"/>
        <v>11985.486175686498</v>
      </c>
      <c r="G81" s="6">
        <f t="shared" si="20"/>
        <v>1613.5783085302201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15696.889785381982</v>
      </c>
      <c r="O81" s="6">
        <f t="shared" si="5"/>
        <v>406713.45572163735</v>
      </c>
      <c r="P81" s="6">
        <f t="shared" si="6"/>
        <v>121018.37313976651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3139.3779570763963</v>
      </c>
      <c r="Z81" s="6">
        <f t="shared" si="13"/>
        <v>45190.383969070819</v>
      </c>
      <c r="AA81" s="6">
        <f t="shared" si="14"/>
        <v>121018.37313976651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3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329.63468549302161</v>
      </c>
      <c r="F82" s="6">
        <f t="shared" si="20"/>
        <v>12584.760484470822</v>
      </c>
      <c r="G82" s="6">
        <f t="shared" si="20"/>
        <v>1694.2572239567312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16481.73427465108</v>
      </c>
      <c r="O82" s="6">
        <f t="shared" si="5"/>
        <v>415669.16814984346</v>
      </c>
      <c r="P82" s="6">
        <f t="shared" si="6"/>
        <v>127069.29179675484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2.4999999999999991</v>
      </c>
      <c r="X82" s="1">
        <v>59</v>
      </c>
      <c r="Y82" s="6">
        <f t="shared" si="12"/>
        <v>3296.3468549302161</v>
      </c>
      <c r="Z82" s="6">
        <f t="shared" si="13"/>
        <v>46185.463127760384</v>
      </c>
      <c r="AA82" s="6">
        <f t="shared" si="14"/>
        <v>127069.29179675484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3">
        <f t="shared" si="17"/>
        <v>2.4999999999999991</v>
      </c>
    </row>
    <row r="83" spans="4:32" ht="14.25" customHeight="1" outlineLevel="1" x14ac:dyDescent="0.2">
      <c r="D83" s="1">
        <v>60</v>
      </c>
      <c r="E83" s="6">
        <f t="shared" si="20"/>
        <v>346.11641976767271</v>
      </c>
      <c r="F83" s="6">
        <f t="shared" si="20"/>
        <v>13213.998508694365</v>
      </c>
      <c r="G83" s="6">
        <f t="shared" si="20"/>
        <v>1778.9700851545679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17305.820988383635</v>
      </c>
      <c r="O83" s="6">
        <f t="shared" si="5"/>
        <v>424572.95230920415</v>
      </c>
      <c r="P83" s="6">
        <f t="shared" si="6"/>
        <v>133422.75638659258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3461.1641976767269</v>
      </c>
      <c r="Z83" s="6">
        <f t="shared" si="13"/>
        <v>47174.772478800463</v>
      </c>
      <c r="AA83" s="6">
        <f t="shared" si="14"/>
        <v>133422.75638659258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3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363.42224075605628</v>
      </c>
      <c r="F84" s="6">
        <f t="shared" si="20"/>
        <v>13874.698434129081</v>
      </c>
      <c r="G84" s="6">
        <f t="shared" si="20"/>
        <v>1867.9185894122959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18171.112037802814</v>
      </c>
      <c r="O84" s="6">
        <f t="shared" si="5"/>
        <v>433414.76300400373</v>
      </c>
      <c r="P84" s="6">
        <f t="shared" si="6"/>
        <v>140093.8942059222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2.4999999999999996</v>
      </c>
      <c r="X84" s="1">
        <v>61</v>
      </c>
      <c r="Y84" s="6">
        <f t="shared" si="12"/>
        <v>3634.2224075605627</v>
      </c>
      <c r="Z84" s="6">
        <f t="shared" si="13"/>
        <v>48157.195889333751</v>
      </c>
      <c r="AA84" s="6">
        <f t="shared" si="14"/>
        <v>140093.8942059222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3">
        <f t="shared" si="17"/>
        <v>2.4999999999999996</v>
      </c>
    </row>
    <row r="85" spans="4:32" ht="14.25" customHeight="1" outlineLevel="1" x14ac:dyDescent="0.2">
      <c r="D85" s="1">
        <v>62</v>
      </c>
      <c r="E85" s="6">
        <f t="shared" si="20"/>
        <v>381.5933527938592</v>
      </c>
      <c r="F85" s="6">
        <f t="shared" si="20"/>
        <v>14568.433355835537</v>
      </c>
      <c r="G85" s="6">
        <f t="shared" si="20"/>
        <v>1961.3145188829112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19079.667639692962</v>
      </c>
      <c r="O85" s="6">
        <f t="shared" si="5"/>
        <v>442184.84066622285</v>
      </c>
      <c r="P85" s="6">
        <f t="shared" si="6"/>
        <v>147098.58891621834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3815.9335279385923</v>
      </c>
      <c r="Z85" s="6">
        <f t="shared" si="13"/>
        <v>49131.648962913649</v>
      </c>
      <c r="AA85" s="6">
        <f t="shared" si="14"/>
        <v>147098.58891621834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3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400.67302043355198</v>
      </c>
      <c r="F86" s="6">
        <f t="shared" si="20"/>
        <v>15296.855023627308</v>
      </c>
      <c r="G86" s="6">
        <f t="shared" si="20"/>
        <v>2059.3802448270558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20033.651021677601</v>
      </c>
      <c r="O86" s="6">
        <f t="shared" si="5"/>
        <v>450873.75256480183</v>
      </c>
      <c r="P86" s="6">
        <f t="shared" si="6"/>
        <v>154453.51836202919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4006.7302043355203</v>
      </c>
      <c r="Z86" s="6">
        <f t="shared" si="13"/>
        <v>50097.083618311313</v>
      </c>
      <c r="AA86" s="6">
        <f t="shared" si="14"/>
        <v>154453.51836202919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3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420.70667145522975</v>
      </c>
      <c r="F87" s="6">
        <f t="shared" si="20"/>
        <v>16061.697774808681</v>
      </c>
      <c r="G87" s="6">
        <f t="shared" si="20"/>
        <v>2162.3492570684098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21035.33357276149</v>
      </c>
      <c r="O87" s="6">
        <f t="shared" si="5"/>
        <v>459472.43090405356</v>
      </c>
      <c r="P87" s="6">
        <f t="shared" si="6"/>
        <v>162176.19428013073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4207.0667145522984</v>
      </c>
      <c r="Z87" s="6">
        <f t="shared" si="13"/>
        <v>51052.492322672617</v>
      </c>
      <c r="AA87" s="6">
        <f t="shared" si="14"/>
        <v>162176.19428013073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3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441.74200502799124</v>
      </c>
      <c r="F88" s="6">
        <f t="shared" si="20"/>
        <v>16864.782663549115</v>
      </c>
      <c r="G88" s="6">
        <f t="shared" si="20"/>
        <v>2270.4667199218297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22087.100251399563</v>
      </c>
      <c r="O88" s="6">
        <f t="shared" si="5"/>
        <v>467972.20751234121</v>
      </c>
      <c r="P88" s="6">
        <f t="shared" si="6"/>
        <v>170285.00399413722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4417.4200502799122</v>
      </c>
      <c r="Z88" s="6">
        <f t="shared" si="13"/>
        <v>51996.911945815693</v>
      </c>
      <c r="AA88" s="6">
        <f t="shared" si="14"/>
        <v>170285.00399413722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3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463.82910527939083</v>
      </c>
      <c r="F89" s="6">
        <f t="shared" si="20"/>
        <v>17708.021796726571</v>
      </c>
      <c r="G89" s="6">
        <f t="shared" si="20"/>
        <v>2383.9900559179218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23191.455263969543</v>
      </c>
      <c r="O89" s="6">
        <f t="shared" ref="O89:O123" si="22">F89*$K$21/(1+P89/$P$22)</f>
        <v>476364.8448754772</v>
      </c>
      <c r="P89" s="6">
        <f t="shared" ref="P89:P123" si="23">G89*$K$21</f>
        <v>178799.25419384413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2.4999999999999996</v>
      </c>
      <c r="X89" s="1">
        <v>66</v>
      </c>
      <c r="Y89" s="6">
        <f t="shared" si="12"/>
        <v>4638.2910527939084</v>
      </c>
      <c r="Z89" s="6">
        <f t="shared" si="13"/>
        <v>52929.427208386354</v>
      </c>
      <c r="AA89" s="6">
        <f t="shared" si="14"/>
        <v>178799.25419384413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3">
        <f t="shared" si="17"/>
        <v>2.4999999999999996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487.02056054336038</v>
      </c>
      <c r="F90" s="6">
        <f t="shared" si="25"/>
        <v>18593.422886562901</v>
      </c>
      <c r="G90" s="6">
        <f t="shared" si="25"/>
        <v>2503.1895587138179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24351.02802716802</v>
      </c>
      <c r="O90" s="6">
        <f t="shared" si="22"/>
        <v>484642.56332487392</v>
      </c>
      <c r="P90" s="6">
        <f t="shared" si="23"/>
        <v>187739.21690353635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4870.2056054336044</v>
      </c>
      <c r="Z90" s="6">
        <f t="shared" ref="Z90:Z123" si="27">O90/$X$22</f>
        <v>53849.173702763772</v>
      </c>
      <c r="AA90" s="6">
        <f t="shared" ref="AA90:AA123" si="28">P90</f>
        <v>187739.21690353635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3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511.37158857052839</v>
      </c>
      <c r="F91" s="6">
        <f t="shared" si="25"/>
        <v>19523.094030891047</v>
      </c>
      <c r="G91" s="6">
        <f t="shared" si="25"/>
        <v>2628.3490366495089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25568.57942852642</v>
      </c>
      <c r="O91" s="6">
        <f t="shared" si="22"/>
        <v>492798.06424702337</v>
      </c>
      <c r="P91" s="6">
        <f t="shared" si="23"/>
        <v>197126.17774871318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5113.7158857052837</v>
      </c>
      <c r="Z91" s="6">
        <f t="shared" si="27"/>
        <v>54755.340471891483</v>
      </c>
      <c r="AA91" s="6">
        <f t="shared" si="28"/>
        <v>197126.17774871318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3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536.94016799905478</v>
      </c>
      <c r="F92" s="6">
        <f t="shared" si="25"/>
        <v>20499.248732435597</v>
      </c>
      <c r="G92" s="6">
        <f t="shared" si="25"/>
        <v>2759.7664884819837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26847.008399952741</v>
      </c>
      <c r="O92" s="6">
        <f t="shared" si="22"/>
        <v>500824.54923720972</v>
      </c>
      <c r="P92" s="6">
        <f t="shared" si="23"/>
        <v>206982.48663614879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5369.4016799905485</v>
      </c>
      <c r="Z92" s="6">
        <f t="shared" si="27"/>
        <v>55647.172137467744</v>
      </c>
      <c r="AA92" s="6">
        <f t="shared" si="28"/>
        <v>206982.48663614879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3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563.78717639900754</v>
      </c>
      <c r="F93" s="6">
        <f t="shared" si="25"/>
        <v>21524.211169057377</v>
      </c>
      <c r="G93" s="6">
        <f t="shared" si="25"/>
        <v>2897.7548129060833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28189.358819950376</v>
      </c>
      <c r="O93" s="6">
        <f t="shared" si="22"/>
        <v>508715.73517531314</v>
      </c>
      <c r="P93" s="6">
        <f t="shared" si="23"/>
        <v>217331.61096795625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5637.8717639900751</v>
      </c>
      <c r="Z93" s="6">
        <f t="shared" si="27"/>
        <v>56523.970575034793</v>
      </c>
      <c r="AA93" s="6">
        <f t="shared" si="28"/>
        <v>217331.61096795625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3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591.97653521895791</v>
      </c>
      <c r="F94" s="6">
        <f t="shared" si="25"/>
        <v>22600.421727510246</v>
      </c>
      <c r="G94" s="6">
        <f t="shared" si="25"/>
        <v>3042.6425535513872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29598.826760947901</v>
      </c>
      <c r="O94" s="6">
        <f t="shared" si="22"/>
        <v>516465.86525410681</v>
      </c>
      <c r="P94" s="6">
        <f t="shared" si="23"/>
        <v>228198.19151635404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2.4999999999999987</v>
      </c>
      <c r="X94" s="1">
        <v>71</v>
      </c>
      <c r="Y94" s="6">
        <f t="shared" si="26"/>
        <v>5919.76535218958</v>
      </c>
      <c r="Z94" s="6">
        <f t="shared" si="27"/>
        <v>57385.096139345202</v>
      </c>
      <c r="AA94" s="6">
        <f t="shared" si="28"/>
        <v>228198.19151635404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3">
        <f t="shared" si="31"/>
        <v>2.4999999999999987</v>
      </c>
    </row>
    <row r="95" spans="4:32" ht="14.25" customHeight="1" outlineLevel="1" x14ac:dyDescent="0.2">
      <c r="D95" s="1">
        <v>72</v>
      </c>
      <c r="E95" s="6">
        <f t="shared" si="25"/>
        <v>621.57536197990589</v>
      </c>
      <c r="F95" s="6">
        <f t="shared" si="25"/>
        <v>23730.442813885758</v>
      </c>
      <c r="G95" s="6">
        <f t="shared" si="25"/>
        <v>3194.774681228957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31078.768098995297</v>
      </c>
      <c r="O95" s="6">
        <f t="shared" si="22"/>
        <v>524069.71603966167</v>
      </c>
      <c r="P95" s="6">
        <f t="shared" si="23"/>
        <v>239608.10109217177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2.4999999999999991</v>
      </c>
      <c r="X95" s="1">
        <v>72</v>
      </c>
      <c r="Y95" s="6">
        <f t="shared" si="26"/>
        <v>6215.7536197990594</v>
      </c>
      <c r="Z95" s="6">
        <f t="shared" si="27"/>
        <v>58229.968448851294</v>
      </c>
      <c r="AA95" s="6">
        <f t="shared" si="28"/>
        <v>239608.10109217177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3">
        <f t="shared" si="31"/>
        <v>2.4999999999999991</v>
      </c>
    </row>
    <row r="96" spans="4:32" ht="14.25" customHeight="1" outlineLevel="1" x14ac:dyDescent="0.2">
      <c r="D96" s="1">
        <v>73</v>
      </c>
      <c r="E96" s="6">
        <f t="shared" si="25"/>
        <v>652.65413007890118</v>
      </c>
      <c r="F96" s="6">
        <f t="shared" si="25"/>
        <v>24916.964954580046</v>
      </c>
      <c r="G96" s="6">
        <f t="shared" si="25"/>
        <v>3354.5134152904047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32632.706503945061</v>
      </c>
      <c r="O96" s="6">
        <f t="shared" si="22"/>
        <v>531522.6006885824</v>
      </c>
      <c r="P96" s="6">
        <f t="shared" si="23"/>
        <v>251588.50614678036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2.4999999999999991</v>
      </c>
      <c r="X96" s="1">
        <v>73</v>
      </c>
      <c r="Y96" s="6">
        <f t="shared" si="26"/>
        <v>6526.541300789012</v>
      </c>
      <c r="Z96" s="6">
        <f t="shared" si="27"/>
        <v>59058.066743175819</v>
      </c>
      <c r="AA96" s="6">
        <f t="shared" si="28"/>
        <v>251588.50614678036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3">
        <f t="shared" si="31"/>
        <v>2.4999999999999991</v>
      </c>
    </row>
    <row r="97" spans="4:32" ht="14.25" customHeight="1" outlineLevel="1" x14ac:dyDescent="0.2">
      <c r="D97" s="1">
        <v>74</v>
      </c>
      <c r="E97" s="6">
        <f t="shared" si="25"/>
        <v>685.28683658284615</v>
      </c>
      <c r="F97" s="6">
        <f t="shared" si="25"/>
        <v>26162.813202309047</v>
      </c>
      <c r="G97" s="6">
        <f t="shared" si="25"/>
        <v>3522.2390860549249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34264.341829142315</v>
      </c>
      <c r="O97" s="6">
        <f t="shared" si="22"/>
        <v>538820.36848716659</v>
      </c>
      <c r="P97" s="6">
        <f t="shared" si="23"/>
        <v>264167.93145411939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2.4999999999999987</v>
      </c>
      <c r="X97" s="1">
        <v>74</v>
      </c>
      <c r="Y97" s="6">
        <f t="shared" si="26"/>
        <v>6852.8683658284626</v>
      </c>
      <c r="Z97" s="6">
        <f t="shared" si="27"/>
        <v>59868.929831907401</v>
      </c>
      <c r="AA97" s="6">
        <f t="shared" si="28"/>
        <v>264167.93145411939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3">
        <f t="shared" si="31"/>
        <v>2.4999999999999987</v>
      </c>
    </row>
    <row r="98" spans="4:32" ht="14.25" customHeight="1" outlineLevel="1" x14ac:dyDescent="0.2">
      <c r="D98" s="1">
        <v>75</v>
      </c>
      <c r="E98" s="6">
        <f t="shared" si="25"/>
        <v>719.55117841198842</v>
      </c>
      <c r="F98" s="6">
        <f t="shared" si="25"/>
        <v>27470.9538624245</v>
      </c>
      <c r="G98" s="6">
        <f t="shared" si="25"/>
        <v>3698.3510403576711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35977.558920599426</v>
      </c>
      <c r="O98" s="6">
        <f t="shared" si="22"/>
        <v>545959.40091276262</v>
      </c>
      <c r="P98" s="6">
        <f t="shared" si="23"/>
        <v>277376.32802682533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2.4999999999999991</v>
      </c>
      <c r="X98" s="1">
        <v>75</v>
      </c>
      <c r="Y98" s="6">
        <f t="shared" si="26"/>
        <v>7195.5117841198853</v>
      </c>
      <c r="Z98" s="6">
        <f t="shared" si="27"/>
        <v>60662.155656973628</v>
      </c>
      <c r="AA98" s="6">
        <f t="shared" si="28"/>
        <v>277376.32802682533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3">
        <f t="shared" si="31"/>
        <v>2.4999999999999991</v>
      </c>
    </row>
    <row r="99" spans="4:32" ht="14.25" customHeight="1" outlineLevel="1" x14ac:dyDescent="0.2">
      <c r="D99" s="1">
        <v>76</v>
      </c>
      <c r="E99" s="6">
        <f t="shared" si="25"/>
        <v>755.52873733258798</v>
      </c>
      <c r="F99" s="6">
        <f t="shared" si="25"/>
        <v>28844.501555545728</v>
      </c>
      <c r="G99" s="6">
        <f t="shared" si="25"/>
        <v>3883.2685923755548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37776.436866629403</v>
      </c>
      <c r="O99" s="6">
        <f t="shared" si="22"/>
        <v>552936.60444727202</v>
      </c>
      <c r="P99" s="6">
        <f t="shared" si="23"/>
        <v>291245.14442816662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7555.2873733258803</v>
      </c>
      <c r="Z99" s="6">
        <f t="shared" si="27"/>
        <v>61437.400494141337</v>
      </c>
      <c r="AA99" s="6">
        <f t="shared" si="28"/>
        <v>291245.14442816662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3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793.30517419921716</v>
      </c>
      <c r="F100" s="6">
        <f t="shared" si="25"/>
        <v>30286.726633323007</v>
      </c>
      <c r="G100" s="6">
        <f t="shared" si="25"/>
        <v>4077.432021994332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39665.258709960865</v>
      </c>
      <c r="O100" s="6">
        <f t="shared" si="22"/>
        <v>559749.40039677441</v>
      </c>
      <c r="P100" s="6">
        <f t="shared" si="23"/>
        <v>305807.40164957492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7933.0517419921725</v>
      </c>
      <c r="Z100" s="6">
        <f t="shared" si="27"/>
        <v>62194.377821863825</v>
      </c>
      <c r="AA100" s="6">
        <f t="shared" si="28"/>
        <v>305807.40164957492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3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832.97043290917827</v>
      </c>
      <c r="F101" s="6">
        <f t="shared" si="25"/>
        <v>31801.062964989167</v>
      </c>
      <c r="G101" s="6">
        <f t="shared" si="25"/>
        <v>4281.3036230940497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41648.521645458917</v>
      </c>
      <c r="O101" s="6">
        <f t="shared" si="22"/>
        <v>566395.7119896193</v>
      </c>
      <c r="P101" s="6">
        <f t="shared" si="23"/>
        <v>321097.77173205372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8329.7043290917827</v>
      </c>
      <c r="Z101" s="6">
        <f t="shared" si="27"/>
        <v>62932.856887735477</v>
      </c>
      <c r="AA101" s="6">
        <f t="shared" si="28"/>
        <v>321097.77173205372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3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874.61895455463696</v>
      </c>
      <c r="F102" s="6">
        <f t="shared" si="25"/>
        <v>33391.116113238611</v>
      </c>
      <c r="G102" s="6">
        <f t="shared" si="25"/>
        <v>4495.3688042487511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43730.947727731858</v>
      </c>
      <c r="O102" s="6">
        <f t="shared" si="22"/>
        <v>572873.9490381683</v>
      </c>
      <c r="P102" s="6">
        <f t="shared" si="23"/>
        <v>337152.66031865636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2.4999999999999987</v>
      </c>
      <c r="X102" s="1">
        <v>79</v>
      </c>
      <c r="Y102" s="6">
        <f t="shared" si="26"/>
        <v>8746.1895455463709</v>
      </c>
      <c r="Z102" s="6">
        <f t="shared" si="27"/>
        <v>63652.661004240923</v>
      </c>
      <c r="AA102" s="6">
        <f t="shared" si="28"/>
        <v>337152.66031865636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3">
        <f t="shared" si="31"/>
        <v>2.4999999999999987</v>
      </c>
    </row>
    <row r="103" spans="4:32" ht="14.25" customHeight="1" outlineLevel="1" x14ac:dyDescent="0.2">
      <c r="D103" s="1">
        <v>80</v>
      </c>
      <c r="E103" s="6">
        <f t="shared" si="25"/>
        <v>918.34990228236904</v>
      </c>
      <c r="F103" s="6">
        <f t="shared" si="25"/>
        <v>35060.67191890056</v>
      </c>
      <c r="G103" s="6">
        <f t="shared" si="25"/>
        <v>4720.1372444611898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45917.495114118457</v>
      </c>
      <c r="O103" s="6">
        <f t="shared" si="22"/>
        <v>579182.99045692733</v>
      </c>
      <c r="P103" s="6">
        <f t="shared" si="23"/>
        <v>354010.29333458922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9183.4990228236911</v>
      </c>
      <c r="Z103" s="6">
        <f t="shared" si="27"/>
        <v>64353.665606325259</v>
      </c>
      <c r="AA103" s="6">
        <f t="shared" si="28"/>
        <v>354010.29333458922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3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964.26739739648747</v>
      </c>
      <c r="F104" s="6">
        <f t="shared" si="25"/>
        <v>36813.705514845584</v>
      </c>
      <c r="G104" s="6">
        <f t="shared" si="25"/>
        <v>4956.144106684249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48213.369869824375</v>
      </c>
      <c r="O104" s="6">
        <f t="shared" si="22"/>
        <v>585322.1649323965</v>
      </c>
      <c r="P104" s="6">
        <f t="shared" si="23"/>
        <v>371710.80800131866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2.4999999999999996</v>
      </c>
      <c r="X104" s="1">
        <v>81</v>
      </c>
      <c r="Y104" s="6">
        <f t="shared" si="26"/>
        <v>9642.6739739648747</v>
      </c>
      <c r="Z104" s="6">
        <f t="shared" si="27"/>
        <v>65035.796103599612</v>
      </c>
      <c r="AA104" s="6">
        <f t="shared" si="28"/>
        <v>371710.80800131866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3">
        <f t="shared" si="31"/>
        <v>2.4999999999999996</v>
      </c>
    </row>
    <row r="105" spans="4:32" ht="14.25" customHeight="1" outlineLevel="1" x14ac:dyDescent="0.2">
      <c r="D105" s="1">
        <v>82</v>
      </c>
      <c r="E105" s="6">
        <f t="shared" si="25"/>
        <v>1012.480767266312</v>
      </c>
      <c r="F105" s="6">
        <f t="shared" si="25"/>
        <v>38654.390790587866</v>
      </c>
      <c r="G105" s="6">
        <f t="shared" si="25"/>
        <v>5203.951312018462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50624.038363315609</v>
      </c>
      <c r="O105" s="6">
        <f t="shared" si="22"/>
        <v>591291.23003802961</v>
      </c>
      <c r="P105" s="6">
        <f t="shared" si="23"/>
        <v>390296.34840138466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2.4999999999999987</v>
      </c>
      <c r="X105" s="1">
        <v>82</v>
      </c>
      <c r="Y105" s="6">
        <f t="shared" si="26"/>
        <v>10124.807672663123</v>
      </c>
      <c r="Z105" s="6">
        <f t="shared" si="27"/>
        <v>65699.025559781061</v>
      </c>
      <c r="AA105" s="6">
        <f t="shared" si="28"/>
        <v>390296.34840138466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3">
        <f t="shared" si="31"/>
        <v>2.4999999999999987</v>
      </c>
    </row>
    <row r="106" spans="4:32" ht="14.25" customHeight="1" outlineLevel="1" x14ac:dyDescent="0.2">
      <c r="D106" s="1">
        <v>83</v>
      </c>
      <c r="E106" s="6">
        <f t="shared" si="25"/>
        <v>1063.1048056296277</v>
      </c>
      <c r="F106" s="6">
        <f t="shared" si="25"/>
        <v>40587.110330117262</v>
      </c>
      <c r="G106" s="6">
        <f t="shared" si="25"/>
        <v>5464.1488776193855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53155.240281481383</v>
      </c>
      <c r="O106" s="6">
        <f t="shared" si="22"/>
        <v>597090.35008167638</v>
      </c>
      <c r="P106" s="6">
        <f t="shared" si="23"/>
        <v>409811.16582145391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2.4999999999999991</v>
      </c>
      <c r="X106" s="1">
        <v>83</v>
      </c>
      <c r="Y106" s="6">
        <f t="shared" si="26"/>
        <v>10631.048056296277</v>
      </c>
      <c r="Z106" s="6">
        <f t="shared" si="27"/>
        <v>66343.37223129737</v>
      </c>
      <c r="AA106" s="6">
        <f t="shared" si="28"/>
        <v>409811.16582145391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3">
        <f t="shared" si="31"/>
        <v>2.4999999999999991</v>
      </c>
    </row>
    <row r="107" spans="4:32" ht="14.25" customHeight="1" outlineLevel="1" x14ac:dyDescent="0.2">
      <c r="D107" s="1">
        <v>84</v>
      </c>
      <c r="E107" s="6">
        <f t="shared" si="25"/>
        <v>1116.2600459111088</v>
      </c>
      <c r="F107" s="6">
        <f t="shared" si="25"/>
        <v>42616.465846623119</v>
      </c>
      <c r="G107" s="6">
        <f t="shared" si="25"/>
        <v>5737.3563215003542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55813.002295555445</v>
      </c>
      <c r="O107" s="6">
        <f t="shared" si="22"/>
        <v>602720.07296331425</v>
      </c>
      <c r="P107" s="6">
        <f t="shared" si="23"/>
        <v>430301.72411252657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2.4999999999999987</v>
      </c>
      <c r="X107" s="1">
        <v>84</v>
      </c>
      <c r="Y107" s="6">
        <f t="shared" si="26"/>
        <v>11162.600459111089</v>
      </c>
      <c r="Z107" s="6">
        <f t="shared" si="27"/>
        <v>66968.896995923802</v>
      </c>
      <c r="AA107" s="6">
        <f t="shared" si="28"/>
        <v>430301.72411252657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3">
        <f t="shared" si="31"/>
        <v>2.4999999999999987</v>
      </c>
    </row>
    <row r="108" spans="4:32" ht="14.25" customHeight="1" outlineLevel="1" x14ac:dyDescent="0.2">
      <c r="D108" s="1">
        <v>85</v>
      </c>
      <c r="E108" s="6">
        <f t="shared" si="25"/>
        <v>1172.0730482066645</v>
      </c>
      <c r="F108" s="6">
        <f t="shared" si="25"/>
        <v>44747.289138954278</v>
      </c>
      <c r="G108" s="6">
        <f t="shared" si="25"/>
        <v>6024.224137575372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58603.652410333227</v>
      </c>
      <c r="O108" s="6">
        <f t="shared" si="22"/>
        <v>608181.30630826997</v>
      </c>
      <c r="P108" s="6">
        <f t="shared" si="23"/>
        <v>451816.81031815289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11720.730482066645</v>
      </c>
      <c r="Z108" s="6">
        <f t="shared" si="27"/>
        <v>67575.700700918882</v>
      </c>
      <c r="AA108" s="6">
        <f t="shared" si="28"/>
        <v>451816.81031815289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3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1230.6767006169976</v>
      </c>
      <c r="F109" s="6">
        <f t="shared" si="25"/>
        <v>46984.653595901989</v>
      </c>
      <c r="G109" s="6">
        <f t="shared" si="25"/>
        <v>6325.4353444541402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61533.835030849878</v>
      </c>
      <c r="O109" s="6">
        <f t="shared" si="22"/>
        <v>613475.29312603932</v>
      </c>
      <c r="P109" s="6">
        <f t="shared" si="23"/>
        <v>474407.65083406051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2.4999999999999991</v>
      </c>
      <c r="X109" s="1">
        <v>86</v>
      </c>
      <c r="Y109" s="6">
        <f t="shared" si="26"/>
        <v>12306.767006169976</v>
      </c>
      <c r="Z109" s="6">
        <f t="shared" si="27"/>
        <v>68163.921458448807</v>
      </c>
      <c r="AA109" s="6">
        <f t="shared" si="28"/>
        <v>474407.65083406051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3">
        <f t="shared" si="31"/>
        <v>2.4999999999999991</v>
      </c>
    </row>
    <row r="110" spans="4:32" ht="14.25" customHeight="1" outlineLevel="1" x14ac:dyDescent="0.2">
      <c r="D110" s="1">
        <v>87</v>
      </c>
      <c r="E110" s="6">
        <f t="shared" si="25"/>
        <v>1292.2105356478473</v>
      </c>
      <c r="F110" s="6">
        <f t="shared" si="25"/>
        <v>49333.886275697085</v>
      </c>
      <c r="G110" s="6">
        <f t="shared" si="25"/>
        <v>6641.7071116768466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64610.526782392371</v>
      </c>
      <c r="O110" s="6">
        <f t="shared" si="22"/>
        <v>618603.58722775243</v>
      </c>
      <c r="P110" s="6">
        <f t="shared" si="23"/>
        <v>498128.03337576351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12922.105356478474</v>
      </c>
      <c r="Z110" s="6">
        <f t="shared" si="27"/>
        <v>68733.731914194708</v>
      </c>
      <c r="AA110" s="6">
        <f t="shared" si="28"/>
        <v>498128.03337576351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3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1356.8210624302401</v>
      </c>
      <c r="F111" s="6">
        <f t="shared" si="25"/>
        <v>51800.58058948195</v>
      </c>
      <c r="G111" s="6">
        <f t="shared" si="25"/>
        <v>6973.7924672606905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67841.053121511999</v>
      </c>
      <c r="O111" s="6">
        <f t="shared" si="22"/>
        <v>623568.02861680288</v>
      </c>
      <c r="P111" s="6">
        <f t="shared" si="23"/>
        <v>523034.43504455179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2.4999999999999996</v>
      </c>
      <c r="X111" s="1">
        <v>88</v>
      </c>
      <c r="Y111" s="6">
        <f t="shared" si="26"/>
        <v>13568.210624302399</v>
      </c>
      <c r="Z111" s="6">
        <f t="shared" si="27"/>
        <v>69285.336512978101</v>
      </c>
      <c r="AA111" s="6">
        <f t="shared" si="28"/>
        <v>523034.43504455179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3">
        <f t="shared" si="31"/>
        <v>2.4999999999999996</v>
      </c>
    </row>
    <row r="112" spans="4:32" ht="14.25" customHeight="1" outlineLevel="1" x14ac:dyDescent="0.2">
      <c r="D112" s="1">
        <v>89</v>
      </c>
      <c r="E112" s="6">
        <f t="shared" si="25"/>
        <v>1424.6621155517516</v>
      </c>
      <c r="F112" s="6">
        <f t="shared" si="25"/>
        <v>54390.609618956041</v>
      </c>
      <c r="G112" s="6">
        <f t="shared" si="25"/>
        <v>7322.4820906237237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71233.105777587582</v>
      </c>
      <c r="O112" s="6">
        <f t="shared" si="22"/>
        <v>628370.71904764639</v>
      </c>
      <c r="P112" s="6">
        <f t="shared" si="23"/>
        <v>549186.15679677925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2.4999999999999991</v>
      </c>
      <c r="X112" s="1">
        <v>89</v>
      </c>
      <c r="Y112" s="6">
        <f t="shared" si="26"/>
        <v>14246.621155517516</v>
      </c>
      <c r="Z112" s="6">
        <f t="shared" si="27"/>
        <v>69818.968783071818</v>
      </c>
      <c r="AA112" s="6">
        <f t="shared" si="28"/>
        <v>549186.15679677925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3">
        <f t="shared" si="31"/>
        <v>2.4999999999999991</v>
      </c>
    </row>
    <row r="113" spans="3:32" ht="14.25" customHeight="1" outlineLevel="1" x14ac:dyDescent="0.2">
      <c r="D113" s="1">
        <v>90</v>
      </c>
      <c r="E113" s="6">
        <f t="shared" si="25"/>
        <v>1495.8952213293394</v>
      </c>
      <c r="F113" s="6">
        <f t="shared" si="25"/>
        <v>57110.140099903845</v>
      </c>
      <c r="G113" s="6">
        <f t="shared" si="25"/>
        <v>7688.6061951549109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74794.761066466977</v>
      </c>
      <c r="O113" s="6">
        <f t="shared" si="22"/>
        <v>633013.9979277103</v>
      </c>
      <c r="P113" s="6">
        <f t="shared" si="23"/>
        <v>576645.46463661827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14958.952213293396</v>
      </c>
      <c r="Z113" s="6">
        <f t="shared" si="27"/>
        <v>70334.888658634474</v>
      </c>
      <c r="AA113" s="6">
        <f t="shared" si="28"/>
        <v>576645.46463661827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3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1570.6899823958063</v>
      </c>
      <c r="F114" s="6">
        <f t="shared" si="25"/>
        <v>59965.647104899035</v>
      </c>
      <c r="G114" s="6">
        <f t="shared" si="25"/>
        <v>8073.0365049126558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78534.499119790329</v>
      </c>
      <c r="O114" s="6">
        <f t="shared" si="22"/>
        <v>637500.41871711973</v>
      </c>
      <c r="P114" s="6">
        <f t="shared" si="23"/>
        <v>605477.73786844919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2.4999999999999987</v>
      </c>
      <c r="X114" s="1">
        <v>91</v>
      </c>
      <c r="Y114" s="6">
        <f t="shared" si="26"/>
        <v>15706.899823958065</v>
      </c>
      <c r="Z114" s="6">
        <f t="shared" si="27"/>
        <v>70833.379857457752</v>
      </c>
      <c r="AA114" s="6">
        <f t="shared" si="28"/>
        <v>605477.73786844919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3">
        <f t="shared" si="31"/>
        <v>2.4999999999999987</v>
      </c>
    </row>
    <row r="115" spans="3:32" ht="14.25" customHeight="1" outlineLevel="1" x14ac:dyDescent="0.2">
      <c r="D115" s="1">
        <v>92</v>
      </c>
      <c r="E115" s="6">
        <f t="shared" si="25"/>
        <v>1649.2244815155971</v>
      </c>
      <c r="F115" s="6">
        <f t="shared" si="25"/>
        <v>62963.929460144005</v>
      </c>
      <c r="G115" s="6">
        <f t="shared" si="25"/>
        <v>8476.6883301582911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82461.224075779857</v>
      </c>
      <c r="O115" s="6">
        <f t="shared" si="22"/>
        <v>641832.72596090892</v>
      </c>
      <c r="P115" s="6">
        <f t="shared" si="23"/>
        <v>635751.62476187188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16492.244815155973</v>
      </c>
      <c r="Z115" s="6">
        <f t="shared" si="27"/>
        <v>71314.747328989877</v>
      </c>
      <c r="AA115" s="6">
        <f t="shared" si="28"/>
        <v>635751.62476187188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3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1731.6857055913765</v>
      </c>
      <c r="F116" s="6">
        <f t="shared" si="25"/>
        <v>66112.125933151183</v>
      </c>
      <c r="G116" s="6">
        <f t="shared" si="25"/>
        <v>8900.5227466662036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86584.285279568838</v>
      </c>
      <c r="O116" s="6">
        <f t="shared" si="22"/>
        <v>646013.83306881692</v>
      </c>
      <c r="P116" s="6">
        <f t="shared" si="23"/>
        <v>667539.20599996531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2.4999999999999987</v>
      </c>
      <c r="X116" s="1">
        <v>93</v>
      </c>
      <c r="Y116" s="6">
        <f t="shared" si="26"/>
        <v>17316.857055913766</v>
      </c>
      <c r="Z116" s="6">
        <f t="shared" si="27"/>
        <v>71779.314785424096</v>
      </c>
      <c r="AA116" s="6">
        <f t="shared" si="28"/>
        <v>667539.20599996531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3">
        <f t="shared" si="31"/>
        <v>2.4999999999999987</v>
      </c>
    </row>
    <row r="117" spans="3:32" ht="14.25" customHeight="1" outlineLevel="1" x14ac:dyDescent="0.2">
      <c r="D117" s="1">
        <v>94</v>
      </c>
      <c r="E117" s="6">
        <f t="shared" si="25"/>
        <v>1818.2699908709458</v>
      </c>
      <c r="F117" s="6">
        <f t="shared" si="25"/>
        <v>69417.732229808767</v>
      </c>
      <c r="G117" s="6">
        <f t="shared" si="25"/>
        <v>9345.548883999516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90913.499543547281</v>
      </c>
      <c r="O117" s="6">
        <f t="shared" si="22"/>
        <v>650046.80093893281</v>
      </c>
      <c r="P117" s="6">
        <f t="shared" si="23"/>
        <v>700916.16629996372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18182.699908709455</v>
      </c>
      <c r="Z117" s="6">
        <f t="shared" si="27"/>
        <v>72227.422326548083</v>
      </c>
      <c r="AA117" s="6">
        <f t="shared" si="28"/>
        <v>700916.16629996372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3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1909.1834904144923</v>
      </c>
      <c r="F118" s="6">
        <f t="shared" si="25"/>
        <v>72888.618841299176</v>
      </c>
      <c r="G118" s="6">
        <f t="shared" si="25"/>
        <v>9812.8263281994878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95459.174520724613</v>
      </c>
      <c r="O118" s="6">
        <f t="shared" si="22"/>
        <v>653934.81750355195</v>
      </c>
      <c r="P118" s="6">
        <f t="shared" si="23"/>
        <v>735961.97461496154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2.4999999999999996</v>
      </c>
      <c r="X118" s="1">
        <v>95</v>
      </c>
      <c r="Y118" s="6">
        <f t="shared" si="26"/>
        <v>19091.834904144922</v>
      </c>
      <c r="Z118" s="6">
        <f t="shared" si="27"/>
        <v>72659.424167061326</v>
      </c>
      <c r="AA118" s="6">
        <f t="shared" si="28"/>
        <v>735961.97461496154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3">
        <f t="shared" si="31"/>
        <v>2.4999999999999996</v>
      </c>
    </row>
    <row r="119" spans="3:32" ht="14.25" customHeight="1" outlineLevel="1" x14ac:dyDescent="0.2">
      <c r="D119" s="1">
        <v>96</v>
      </c>
      <c r="E119" s="6">
        <f t="shared" si="25"/>
        <v>2004.6426649352177</v>
      </c>
      <c r="F119" s="6">
        <f t="shared" si="25"/>
        <v>76533.049783364171</v>
      </c>
      <c r="G119" s="6">
        <f t="shared" si="25"/>
        <v>10303.467644609467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100232.1332467609</v>
      </c>
      <c r="O119" s="6">
        <f t="shared" si="22"/>
        <v>657681.17825878633</v>
      </c>
      <c r="P119" s="6">
        <f t="shared" si="23"/>
        <v>772760.07334571006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20046.426649352179</v>
      </c>
      <c r="Z119" s="6">
        <f t="shared" si="27"/>
        <v>73075.686473198482</v>
      </c>
      <c r="AA119" s="6">
        <f t="shared" si="28"/>
        <v>772760.07334571006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3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2104.8747981819783</v>
      </c>
      <c r="F120" s="6">
        <f t="shared" si="25"/>
        <v>80359.702272532362</v>
      </c>
      <c r="G120" s="6">
        <f t="shared" si="25"/>
        <v>10818.641026839938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105243.73990909893</v>
      </c>
      <c r="O120" s="6">
        <f t="shared" si="22"/>
        <v>661289.26782385446</v>
      </c>
      <c r="P120" s="6">
        <f t="shared" si="23"/>
        <v>811398.07701299537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21048.747981819786</v>
      </c>
      <c r="Z120" s="6">
        <f t="shared" si="27"/>
        <v>73476.585313761607</v>
      </c>
      <c r="AA120" s="6">
        <f t="shared" si="28"/>
        <v>811398.07701299537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3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2210.1185380910774</v>
      </c>
      <c r="F121" s="6">
        <f t="shared" si="25"/>
        <v>84377.687386158985</v>
      </c>
      <c r="G121" s="6">
        <f t="shared" si="25"/>
        <v>11359.573078181935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110505.92690455388</v>
      </c>
      <c r="O121" s="6">
        <f t="shared" si="22"/>
        <v>664762.54256164539</v>
      </c>
      <c r="P121" s="6">
        <f t="shared" si="23"/>
        <v>851967.98086364509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2.4999999999999991</v>
      </c>
      <c r="X121" s="1">
        <v>98</v>
      </c>
      <c r="Y121" s="6">
        <f t="shared" si="26"/>
        <v>22101.185380910778</v>
      </c>
      <c r="Z121" s="6">
        <f t="shared" si="27"/>
        <v>73862.504729071705</v>
      </c>
      <c r="AA121" s="6">
        <f t="shared" si="28"/>
        <v>851967.98086364509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3">
        <f t="shared" si="31"/>
        <v>2.4999999999999991</v>
      </c>
    </row>
    <row r="122" spans="3:32" ht="14.25" customHeight="1" outlineLevel="1" x14ac:dyDescent="0.2">
      <c r="D122" s="1">
        <v>99</v>
      </c>
      <c r="E122" s="6">
        <f t="shared" si="25"/>
        <v>2320.6244649956311</v>
      </c>
      <c r="F122" s="6">
        <f t="shared" si="25"/>
        <v>88596.571755466939</v>
      </c>
      <c r="G122" s="6">
        <f t="shared" si="25"/>
        <v>11927.551732091033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116031.22324978157</v>
      </c>
      <c r="O122" s="6">
        <f t="shared" si="22"/>
        <v>668104.5142791284</v>
      </c>
      <c r="P122" s="6">
        <f t="shared" si="23"/>
        <v>894566.37990682747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2.4999999999999987</v>
      </c>
      <c r="X122" s="1">
        <v>99</v>
      </c>
      <c r="Y122" s="6">
        <f t="shared" si="26"/>
        <v>23206.244649956316</v>
      </c>
      <c r="Z122" s="6">
        <f t="shared" si="27"/>
        <v>74233.834919903151</v>
      </c>
      <c r="AA122" s="6">
        <f t="shared" si="28"/>
        <v>894566.37990682747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3">
        <f t="shared" si="31"/>
        <v>2.4999999999999987</v>
      </c>
    </row>
    <row r="123" spans="3:32" ht="14.25" customHeight="1" outlineLevel="1" x14ac:dyDescent="0.2">
      <c r="D123" s="1">
        <v>100</v>
      </c>
      <c r="E123" s="6">
        <f t="shared" si="25"/>
        <v>2436.6556882454133</v>
      </c>
      <c r="F123" s="6">
        <f t="shared" si="25"/>
        <v>93026.400343240297</v>
      </c>
      <c r="G123" s="6">
        <f t="shared" si="25"/>
        <v>12523.929318695586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121832.78441227069</v>
      </c>
      <c r="O123" s="6">
        <f t="shared" si="22"/>
        <v>671318.73501452163</v>
      </c>
      <c r="P123" s="6">
        <f t="shared" si="23"/>
        <v>939294.69890216889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2.4999999999999987</v>
      </c>
      <c r="X123" s="1">
        <v>100</v>
      </c>
      <c r="Y123" s="6">
        <f t="shared" si="26"/>
        <v>24366.556882454137</v>
      </c>
      <c r="Z123" s="6">
        <f t="shared" si="27"/>
        <v>74590.970557169072</v>
      </c>
      <c r="AA123" s="6">
        <f t="shared" si="28"/>
        <v>939294.69890216889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3">
        <f t="shared" si="31"/>
        <v>2.4999999999999987</v>
      </c>
    </row>
    <row r="125" spans="3:32" ht="14.25" customHeight="1" x14ac:dyDescent="0.2">
      <c r="C125" s="3" t="s">
        <v>302</v>
      </c>
      <c r="D125" s="2" t="s">
        <v>311</v>
      </c>
      <c r="I125" s="3" t="s">
        <v>303</v>
      </c>
      <c r="Q125" s="2"/>
    </row>
    <row r="126" spans="3:32" ht="14.25" customHeight="1" x14ac:dyDescent="0.2">
      <c r="D126" s="3" t="s">
        <v>301</v>
      </c>
      <c r="E126" s="3" t="s">
        <v>146</v>
      </c>
      <c r="F126" s="3" t="s">
        <v>147</v>
      </c>
      <c r="G126" s="3" t="s">
        <v>124</v>
      </c>
      <c r="H126" s="76" t="s">
        <v>15</v>
      </c>
      <c r="J126" s="24" t="s">
        <v>13</v>
      </c>
      <c r="K126" s="3" t="s">
        <v>147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30</v>
      </c>
      <c r="F128" s="1">
        <f>F6</f>
        <v>100</v>
      </c>
      <c r="G128" s="1">
        <f>SUM(G6:G9)</f>
        <v>4</v>
      </c>
      <c r="H128" s="6">
        <f t="shared" ref="H128:H131" si="34">F128/(J128-G128)</f>
        <v>12.919896640826874</v>
      </c>
      <c r="J128" s="1">
        <f>J127</f>
        <v>11.74</v>
      </c>
      <c r="K128" s="6">
        <f t="shared" ref="K128:K131" si="35">E128*H128</f>
        <v>387.59689922480624</v>
      </c>
    </row>
    <row r="129" spans="3:32" ht="14.25" customHeight="1" x14ac:dyDescent="0.2">
      <c r="D129" s="1">
        <v>3</v>
      </c>
      <c r="E129" s="1">
        <f>E128-E6</f>
        <v>25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256.67351129363448</v>
      </c>
    </row>
    <row r="130" spans="3:32" ht="14.25" customHeight="1" x14ac:dyDescent="0.2">
      <c r="D130" s="1">
        <v>2</v>
      </c>
      <c r="E130" s="1">
        <f>E129-E8</f>
        <v>20</v>
      </c>
      <c r="F130" s="1">
        <f>F7</f>
        <v>40</v>
      </c>
      <c r="G130" s="1">
        <f>G129-G8</f>
        <v>0</v>
      </c>
      <c r="H130" s="6">
        <f t="shared" si="34"/>
        <v>3.4071550255536627</v>
      </c>
      <c r="J130" s="1">
        <f t="shared" si="36"/>
        <v>11.74</v>
      </c>
      <c r="K130" s="6">
        <f t="shared" si="35"/>
        <v>68.143100511073257</v>
      </c>
    </row>
    <row r="131" spans="3:32" ht="14.25" customHeight="1" x14ac:dyDescent="0.2">
      <c r="D131" s="1">
        <v>1</v>
      </c>
      <c r="E131" s="1">
        <f>E10</f>
        <v>4</v>
      </c>
      <c r="F131" s="1">
        <f>F9</f>
        <v>40</v>
      </c>
      <c r="G131" s="1">
        <f>G9</f>
        <v>0</v>
      </c>
      <c r="H131" s="6">
        <f t="shared" si="34"/>
        <v>3.4071550255536627</v>
      </c>
      <c r="J131" s="1">
        <f t="shared" si="36"/>
        <v>11.74</v>
      </c>
      <c r="K131" s="6">
        <f t="shared" si="35"/>
        <v>13.628620102214651</v>
      </c>
    </row>
    <row r="132" spans="3:32" ht="14.25" customHeight="1" x14ac:dyDescent="0.2">
      <c r="H132" s="6">
        <f>SUM(H127:H131)</f>
        <v>30.001147143679582</v>
      </c>
      <c r="I132" s="1" t="s">
        <v>304</v>
      </c>
      <c r="J132" s="1">
        <f>MAX(J127:J131)</f>
        <v>11.74</v>
      </c>
      <c r="K132" s="6">
        <f>SUM(K127:K131)</f>
        <v>726.04213113172864</v>
      </c>
    </row>
    <row r="134" spans="3:32" ht="14.25" customHeight="1" collapsed="1" x14ac:dyDescent="0.2">
      <c r="C134" s="3" t="s">
        <v>162</v>
      </c>
      <c r="E134" s="1">
        <f>J132</f>
        <v>11.74</v>
      </c>
      <c r="F134" s="6">
        <f>K132</f>
        <v>726.04213113172864</v>
      </c>
      <c r="G134" s="17">
        <v>5</v>
      </c>
      <c r="J134" s="1" t="s">
        <v>306</v>
      </c>
      <c r="K134" s="1">
        <f>$K$21</f>
        <v>75</v>
      </c>
      <c r="L134" s="3" t="s">
        <v>305</v>
      </c>
      <c r="P134" s="6">
        <f>MAX(P137:P236)</f>
        <v>46964.734945108452</v>
      </c>
      <c r="X134" s="1" t="s">
        <v>309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54453.159834879647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186</v>
      </c>
      <c r="E136" s="1" t="s">
        <v>146</v>
      </c>
      <c r="F136" s="1" t="s">
        <v>147</v>
      </c>
      <c r="G136" s="1" t="s">
        <v>139</v>
      </c>
      <c r="H136" s="17" t="s">
        <v>140</v>
      </c>
      <c r="I136" s="17" t="s">
        <v>141</v>
      </c>
      <c r="J136" s="17" t="s">
        <v>142</v>
      </c>
      <c r="M136" s="1" t="s">
        <v>164</v>
      </c>
      <c r="N136" s="1" t="s">
        <v>165</v>
      </c>
      <c r="O136" s="1" t="s">
        <v>166</v>
      </c>
      <c r="P136" s="1" t="s">
        <v>139</v>
      </c>
      <c r="Q136" s="17" t="s">
        <v>140</v>
      </c>
      <c r="R136" s="17" t="s">
        <v>141</v>
      </c>
      <c r="S136" s="17" t="s">
        <v>142</v>
      </c>
      <c r="T136" s="17" t="s">
        <v>167</v>
      </c>
      <c r="U136" s="17" t="s">
        <v>198</v>
      </c>
      <c r="V136" s="1" t="s">
        <v>308</v>
      </c>
      <c r="X136" s="1" t="s">
        <v>164</v>
      </c>
      <c r="Y136" s="1" t="s">
        <v>165</v>
      </c>
      <c r="Z136" s="1" t="s">
        <v>166</v>
      </c>
      <c r="AA136" s="1" t="s">
        <v>139</v>
      </c>
      <c r="AB136" s="1" t="s">
        <v>140</v>
      </c>
      <c r="AC136" s="1" t="s">
        <v>141</v>
      </c>
      <c r="AD136" s="1" t="s">
        <v>142</v>
      </c>
      <c r="AE136" s="1" t="s">
        <v>307</v>
      </c>
      <c r="AF136" s="1" t="s">
        <v>199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726.04213113172864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54249.723372233777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6027.7470413593082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3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762.34423768831505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56951.571015749119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6327.9523350832351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3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800.46144957273088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59787.42508237985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6643.047231375539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3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840.48452205136743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62763.87528711788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6973.763920790876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3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882.5087481539357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65887.829603985505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7320.8699559983897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3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926.63418556163265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69166.529045511546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7685.1698939457274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3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972.96589483971411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72607.56306769076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8067.5070075211952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3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1021.6141895817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76218.88562048634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8468.7650689429265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3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1072.6948990607848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80008.83186385216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8889.8702070946838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3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1126.3296440138242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83986.1355690645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9331.7928410071672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3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1182.6461262145153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88159.947224845397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9795.5496916494885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3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1241.7784325252412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92539.852867318346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10282.205874146483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3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1303.8673541515032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97135.893652240775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10792.877072471198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3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1369.0607218590785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101958.58618719448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11328.731798577164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3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1437.5137579520322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107018.94364045605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11890.99373782845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3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1509.3894458496343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112328.49764210093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12480.94418245566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3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1584.8589181421157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117899.32099148445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13099.924554609383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3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1664.1018640492218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123744.05118357291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13749.33902039699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3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1747.3069572516829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129875.91476462953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14430.657196069948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3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1834.6723051142669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136308.7525254738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15145.416947274867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3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1926.4059203699803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143057.04553788446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15895.227281987163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3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2022.7262163884793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150135.94203667759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16681.77133740862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3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2123.862527207903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157561.2851465196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17506.809460724398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3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2230.0556535682986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165349.6414485905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18372.182383176721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3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2341.5584362467134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173518.33037774885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19279.814486416537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3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2458.6363580590491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182085.45443582372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20231.717159535969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3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2581.5681759620015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191069.93020101322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21229.992244557026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3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2710.6465847601021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200491.52010705924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22276.835567451028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3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2846.1789139981065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210370.86495882852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23374.540550980946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3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2988.4878596980125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220729.5171431104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24525.501904790042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3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3137.9122526829119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231589.97448477166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25732.219387196852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3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3294.8078653170587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242975.714688835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26997.301632092778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3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3459.5482585829118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254911.23029848581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28323.470033165089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3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3632.5256715120572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267422.06408741977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29713.562676379974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3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3814.1519550876601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280534.84479222092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31170.538310246768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3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4004.8595528420437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294277.32307656243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32697.48034184027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3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4205.1025304841451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308678.40760386281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34297.600844873647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3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4415.3576570083533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323768.20107854879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35974.244564283203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3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4636.12553985877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339578.03609819437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37730.892899799372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3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4867.9318168517093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356140.51063947735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39571.167848830817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3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5111.3284076942937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373489.52298003604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41498.835886670669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3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5366.8948280790091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391660.30583589227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43517.811759543583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3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5635.2395694829593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410689.45947006898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45632.162163340996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3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5917.0015479571084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430614.98350234982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47846.109278038872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3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6212.8516253549633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451476.30712278106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50164.034124753452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3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6523.4942066227122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473314.31738250278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52590.479709166975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3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6849.6689169538458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496171.38520483021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55130.153911647802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3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7192.1523628015402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520091.38872724172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57787.932080804632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3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7551.759980941617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545119.73355111724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60568.859283457474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3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7929.3479799886991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571303.36944084428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63478.152160093807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3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8325.8153789881344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598690.80297737697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66521.200330819658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3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8742.1061479375403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627332.10563371261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69703.567292634732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3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9179.2114553344181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657278.91670125222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73030.990744583585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3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9638.1720281011367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688584.44045695337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76509.382272994815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3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10120.080629506194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721303.43692189048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80144.826324654496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3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10626.084660981505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755492.20552275656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83943.578391417395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3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11157.388894030579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791208.56092946499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87912.06232549611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3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11715.25833873211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828511.80030490865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92056.866700545404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3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12301.021255668717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867462.66116779379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96384.740129754864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3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12916.072318452152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908123.26903704845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100902.58544856095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3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13561.875934374757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950557.07399746124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105617.45266638458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3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14239.969731093499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994828.77530193073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110536.53058910341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3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14951.968217648167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1041004.2331070387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115667.13701189318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3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15699.566628530583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1089150.3664268367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121016.70738075963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3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16484.544959957111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1139335.0363859613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126592.78182066238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3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17308.772207954968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1191626.9138589741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132402.99042877491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3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18174.210818352716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1246095.330599502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138455.03673327799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3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19082.921359270353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1302810.1129920322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144756.6792213369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3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20037.067427233869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1361841.397602621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151315.71084473567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3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21038.920798595562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1423259.4277640237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158139.93641822485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3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22090.86683852534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1487134.3305075474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165237.14783417192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3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23195.41018045161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1553535.873249884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172615.09702776489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3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24355.180689474189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1622533.1997599797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180281.46663999776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3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25572.939723947897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1694194.5450700838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188243.83834112043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3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26851.58671014529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1768586.9291578718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196509.65879531909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3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28194.166045652557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1845775.8294140804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205086.20326823115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3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29603.874347935183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1925824.832123223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213980.53690258032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3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31084.06806533195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2008795.2634241905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223199.47371379894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3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32638.271468598537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2094745.8004828305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232749.53338698117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3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34270.185042028475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2183732.0638995264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242636.89598883627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3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35983.694294129898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2275806.1926901182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252867.35474334646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3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37782.879008836397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2371016.4035165776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263446.26705739752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3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39672.022959278213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2469406.536201864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274378.50402242935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3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41655.624107242125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2571015.5879381713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285668.3986597968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3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43738.405312604234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2675877.2389847906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297319.69322053227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3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45925.325578234442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2784019.3730459595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309335.4858939955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3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48221.591857146159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2895463.5959140668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321718.1773237852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3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50632.67145000348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3010224.7563523287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334469.41737248097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3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53164.305022503642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3128310.4735654988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347590.05261838879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3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55822.520273628834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3249720.675958504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361080.07510650042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3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58613.646287310272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3374447.156201513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374938.57291127922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3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61544.328601675799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3502473.1478958717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389163.68309954129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3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64621.545031759575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3633772.9293580488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403752.54770644987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3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67852.622283347562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3768311.4601979759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418701.27335533063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3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71245.253397514913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3906044.056453384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434004.8951614871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3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74807.516067390694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4046916.1100436635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449657.34556040703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3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78547.891870760213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4190862.8582161362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465651.42869068182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3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82475.286464298231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4337809.2084674835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481978.80094083148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3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86599.050787513144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4487669.6241269475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498629.95823632751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3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90929.003326888822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4640348.0753827244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515594.2305980805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3">
        <f t="shared" si="64"/>
        <v>2.4999999999999996</v>
      </c>
    </row>
    <row r="238" spans="3:32" ht="14.25" customHeight="1" x14ac:dyDescent="0.2">
      <c r="C238" s="3" t="s">
        <v>302</v>
      </c>
      <c r="D238" s="2" t="s">
        <v>312</v>
      </c>
      <c r="I238" s="3" t="s">
        <v>303</v>
      </c>
      <c r="Q238" s="2"/>
    </row>
    <row r="239" spans="3:32" ht="14.25" customHeight="1" x14ac:dyDescent="0.2">
      <c r="D239" s="3" t="s">
        <v>301</v>
      </c>
      <c r="E239" s="3" t="s">
        <v>146</v>
      </c>
      <c r="F239" s="3" t="s">
        <v>147</v>
      </c>
      <c r="G239" s="3" t="s">
        <v>124</v>
      </c>
      <c r="H239" s="76" t="s">
        <v>15</v>
      </c>
      <c r="J239" s="24" t="s">
        <v>13</v>
      </c>
      <c r="K239" s="3" t="s">
        <v>147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29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435.04350435043506</v>
      </c>
    </row>
    <row r="242" spans="3:32" ht="14.25" customHeight="1" x14ac:dyDescent="0.2">
      <c r="D242" s="1">
        <v>3</v>
      </c>
      <c r="E242" s="1">
        <f>E241-E8</f>
        <v>24</v>
      </c>
      <c r="F242" s="1">
        <f>F7</f>
        <v>40</v>
      </c>
      <c r="G242" s="1">
        <f>G241-G8</f>
        <v>6</v>
      </c>
      <c r="H242" s="6">
        <f t="shared" si="65"/>
        <v>4.6157396722824835</v>
      </c>
      <c r="J242" s="1">
        <f t="shared" ref="J242:J244" si="66">J241</f>
        <v>14.666</v>
      </c>
      <c r="K242" s="6">
        <f t="shared" ref="K242:K244" si="67">E242*H242</f>
        <v>110.7777521347796</v>
      </c>
    </row>
    <row r="243" spans="3:32" ht="14.25" customHeight="1" x14ac:dyDescent="0.2">
      <c r="D243" s="1">
        <v>2</v>
      </c>
      <c r="E243" s="1">
        <f>E242-E7</f>
        <v>14</v>
      </c>
      <c r="F243" s="1">
        <f>F9</f>
        <v>40</v>
      </c>
      <c r="G243" s="1">
        <f>G242-G7</f>
        <v>6</v>
      </c>
      <c r="H243" s="6">
        <f t="shared" si="65"/>
        <v>4.6157396722824835</v>
      </c>
      <c r="J243" s="1">
        <f t="shared" si="66"/>
        <v>14.666</v>
      </c>
      <c r="K243" s="6">
        <f t="shared" si="67"/>
        <v>64.620355411954762</v>
      </c>
    </row>
    <row r="244" spans="3:32" ht="14.25" customHeight="1" x14ac:dyDescent="0.2">
      <c r="D244" s="1">
        <v>1</v>
      </c>
      <c r="E244" s="1">
        <f>E10</f>
        <v>4</v>
      </c>
      <c r="F244" s="1">
        <f>F10</f>
        <v>50</v>
      </c>
      <c r="G244" s="1">
        <f>G10</f>
        <v>6</v>
      </c>
      <c r="H244" s="6">
        <f t="shared" si="65"/>
        <v>5.7696745903531035</v>
      </c>
      <c r="J244" s="1">
        <f t="shared" si="66"/>
        <v>14.666</v>
      </c>
      <c r="K244" s="6">
        <f t="shared" si="67"/>
        <v>23.078698361412414</v>
      </c>
    </row>
    <row r="245" spans="3:32" ht="14.25" customHeight="1" x14ac:dyDescent="0.2">
      <c r="H245" s="6">
        <f>SUM(H240:H244)</f>
        <v>30.00265408493307</v>
      </c>
      <c r="I245" s="1" t="s">
        <v>304</v>
      </c>
      <c r="J245" s="1">
        <f>MAX(J240:J244)</f>
        <v>14.666</v>
      </c>
      <c r="K245" s="6">
        <f>SUM(K240:K244)</f>
        <v>633.52031025858184</v>
      </c>
    </row>
    <row r="247" spans="3:32" ht="14.25" customHeight="1" collapsed="1" x14ac:dyDescent="0.2">
      <c r="C247" s="3" t="s">
        <v>162</v>
      </c>
      <c r="E247" s="1">
        <f>J245</f>
        <v>14.666</v>
      </c>
      <c r="F247" s="6">
        <f>K245</f>
        <v>633.52031025858184</v>
      </c>
      <c r="G247" s="17">
        <v>5</v>
      </c>
      <c r="J247" s="1" t="s">
        <v>306</v>
      </c>
      <c r="K247" s="1">
        <f>K21</f>
        <v>75</v>
      </c>
      <c r="L247" s="3" t="s">
        <v>305</v>
      </c>
      <c r="P247" s="6">
        <f>MAX(P250:P349)</f>
        <v>46964.734945108452</v>
      </c>
      <c r="X247" s="1" t="s">
        <v>309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47514.023269393641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186</v>
      </c>
      <c r="E249" s="1" t="s">
        <v>146</v>
      </c>
      <c r="F249" s="1" t="s">
        <v>147</v>
      </c>
      <c r="G249" s="1" t="s">
        <v>139</v>
      </c>
      <c r="H249" s="17" t="s">
        <v>140</v>
      </c>
      <c r="I249" s="17" t="s">
        <v>141</v>
      </c>
      <c r="J249" s="17" t="s">
        <v>142</v>
      </c>
      <c r="M249" s="1" t="s">
        <v>164</v>
      </c>
      <c r="N249" s="1" t="s">
        <v>165</v>
      </c>
      <c r="O249" s="1" t="s">
        <v>166</v>
      </c>
      <c r="P249" s="1" t="s">
        <v>139</v>
      </c>
      <c r="Q249" s="17" t="s">
        <v>140</v>
      </c>
      <c r="R249" s="17" t="s">
        <v>141</v>
      </c>
      <c r="S249" s="17" t="s">
        <v>142</v>
      </c>
      <c r="T249" s="17" t="s">
        <v>167</v>
      </c>
      <c r="U249" s="17" t="s">
        <v>198</v>
      </c>
      <c r="V249" s="1" t="s">
        <v>308</v>
      </c>
      <c r="X249" s="1" t="s">
        <v>164</v>
      </c>
      <c r="Y249" s="1" t="s">
        <v>165</v>
      </c>
      <c r="Z249" s="1" t="s">
        <v>166</v>
      </c>
      <c r="AA249" s="1" t="s">
        <v>139</v>
      </c>
      <c r="AB249" s="1" t="s">
        <v>140</v>
      </c>
      <c r="AC249" s="1" t="s">
        <v>141</v>
      </c>
      <c r="AD249" s="1" t="s">
        <v>142</v>
      </c>
      <c r="AE249" s="1" t="s">
        <v>307</v>
      </c>
      <c r="AF249" s="1" t="s">
        <v>199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633.52031025858184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47336.511351824302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5259.6123724249228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3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665.19632577151094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49694.054094864798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5521.5615660960884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3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698.45614206008645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52168.526403158423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5796.502933684269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3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733.37894916309085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54765.678243693605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6085.0753604104002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3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770.0478966212454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57491.537285744918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6387.9485873049907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3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808.55029145230765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60352.421796954281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6705.824644106031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3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848.97780602492298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63354.954085188387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7039.4393427987097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3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891.42669632616935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66506.07450367522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7389.5638337416913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3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935.99803114247766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69813.056036851325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7757.0062263168138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3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982.79793269960157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73283.519484187505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8142.6132760208338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3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1031.9378293345817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76925.44925899207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8547.2721398880076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3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1083.5347208013109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80747.209818806397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8971.9122020895993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3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1137.7114568413763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84757.56274348656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9417.5069714985075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3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1194.5970296834453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88965.684476399183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9885.076052933242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3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1254.3268811676171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93381.184743322301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10375.687193702477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3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1317.0432252259984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98014.12566262341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10890.458406958156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3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1382.8953864872983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102875.04155905489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11430.560173228321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3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1452.0401558116635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107974.95949205123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11997.217721339026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3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1524.6421636022465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113325.42050769368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12591.713389743742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3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1600.8742717823588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118938.50162151376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13215.389069057084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3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1680.9179853714768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124826.83853699584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13869.648726332871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3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1764.9638846400505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131003.64910198786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14555.961011331985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3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1853.2120788720529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137482.75750220005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15275.861944688895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3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1945.8726828156559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144278.6191875285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16030.957687503167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3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2043.1663169564385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151406.34652304772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16822.927391449746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3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2145.3246328042605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158881.73515212801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17653.526128014222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3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2252.5908644444735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166721.29105420949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18524.587894912165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3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2365.2204076666976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174942.25827425704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19438.028697139671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3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2483.4814280500318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183562.6472947791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20395.849699419901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3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2607.6554994525341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192601.26401446963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21400.140446052181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3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2738.0382744251597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202077.73928996711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22453.082143329681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3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2874.9401881464191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212012.55898887129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23556.950998763477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3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3018.6871975537397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222427.0944929414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24714.121610326823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3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3169.6215574314269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233343.6335802867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25927.070397809632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3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3328.1026353029979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244785.41160425532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27198.379067139482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3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3494.5077670681485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256776.64287460464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28530.738097178295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3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3669.2331554215552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269342.55213330587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29926.950237033987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3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3852.6948131926333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282509.40600295627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31389.934000328474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3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4045.3295538522643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296304.54427016742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32922.727141129712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3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4247.5960315448783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310756.41084943584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34528.490094381763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3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4459.9758331221219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325894.5842547979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36210.50936164421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3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4682.9746247782286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341749.80738701415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37972.200820779348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3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4917.1233560171395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358354.01642305229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39817.1129358947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3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5162.9795238179968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375740.36857222952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41748.929841358833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3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5421.1285000088965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393943.26843951346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43771.47427105705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3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5692.1849250093419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412998.39271116385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45888.710301240426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3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5976.7941712598085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432942.71285114094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48104.745872348991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3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6275.6338798228007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453814.51546855009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50423.83505206112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3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6589.4155738139398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475653.41998689342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52850.379998543714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3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6918.8863525046372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498500.39321515628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55388.932579461805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3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7264.8306701298688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522397.76038888388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58044.195598764876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3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7628.0722036363632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547389.21221657342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60821.023579619272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3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8009.4758138181805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573519.80743312102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63724.423048124561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3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8409.9496045090891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600835.97032797232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66759.552258663593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3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8830.4470847345438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629385.48268134787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69931.720297927546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3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9271.9694389712731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659217.46950781182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73246.385500867982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3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9735.5679109198336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690382.37797296303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76709.153108106999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3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10222.346306465828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722931.94881666056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80325.772090740065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3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10733.463621789118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756919.17958552705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84102.131065058566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3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11270.136802878576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792398.27894919645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88044.253216577388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3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11833.643643022502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829424.61134958907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92158.290149954337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3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12425.325825173632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868054.63121133461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96450.514579037175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3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13046.592116432306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908345.80592515634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100927.31176946181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3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13698.921722253928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950356.52680572681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105595.16964508075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3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14383.867808366624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994146.00722220249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110460.66746913361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3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15103.061198784957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1039774.1671046988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115530.4630116332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3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15858.214258724203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1087301.5030445084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120811.27811605649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3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16651.124971660414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1136788.9432314262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126309.88258126957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3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17483.681220243434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1188297.6865094076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132033.07627882308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3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18357.865281255607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1241889.0248834933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137987.66943149926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3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19275.758545318386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1297624.1488779327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144180.46098643696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3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20239.546472584309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1355563.935229176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150618.21502546399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3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21251.523796213522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1415768.7164993109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157307.6351665901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3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22314.099986024197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1478298.032316891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164255.33692409901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3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23429.804985325405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1543210.3620941006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171467.81801045561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3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24601.295234591678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1610562.8392328683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178951.42658142981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3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25831.359996321258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1680410.9470184827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186712.32744649809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3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27122.927996137329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1752808.1966080391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194756.46628978211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3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28479.074395944186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1827805.7877525149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203089.53197250166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3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29903.028115741407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1905452.2531451255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211716.91701612505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3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31398.179521528473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1985793.0875637566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220643.67639597296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3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32968.088497604906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2068870.3632702546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229874.48480780606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3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34616.492922485144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2154722.3334417436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239413.59260463819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3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36347.317568609404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2243383.0257361783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249264.78063735313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3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38164.683447039875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2334881.8284320072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259431.31427022303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3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40072.917619391861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2429243.071925777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269915.89688064187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3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42076.563500361452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2526485.6087161391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280720.62319068215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3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44180.391675379535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2626622.3953419444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291846.93281577161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3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46389.41125914851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2729660.0800688406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303295.56445209339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3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48708.881822105934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2835598.6004253384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315066.51115837094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3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51144.325913211229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2944430.7949673319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327158.97721859242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3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53701.542208871804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3056142.0338908168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339571.33709897962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3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56386.619319315381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3170709.8733068882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352301.0970340987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3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59205.950285281164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3288103.7381320423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365344.85979244916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3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62166.247799545199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3408284.6386211566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378698.2931801285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3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65274.56018952249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3531204.9255722249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392356.10284135834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3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68538.288198998605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3656808.0891528148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406312.00990586833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3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71965.20260894853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3785028.606132302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420558.73401470023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3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75563.462739395967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3915791.8400455685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435087.98222728539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3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79341.635876365777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4049013.998460243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449890.44427336031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3">
        <f t="shared" si="96"/>
        <v>2.4999999999999996</v>
      </c>
    </row>
    <row r="351" spans="3:32" ht="14.25" customHeight="1" x14ac:dyDescent="0.2">
      <c r="C351" s="3" t="s">
        <v>302</v>
      </c>
      <c r="D351" s="2" t="s">
        <v>313</v>
      </c>
      <c r="I351" s="3" t="s">
        <v>303</v>
      </c>
      <c r="Q351" s="2"/>
    </row>
    <row r="352" spans="3:32" ht="14.25" customHeight="1" x14ac:dyDescent="0.2">
      <c r="D352" s="3" t="s">
        <v>301</v>
      </c>
      <c r="E352" s="3" t="s">
        <v>146</v>
      </c>
      <c r="F352" s="3" t="s">
        <v>147</v>
      </c>
      <c r="G352" s="3" t="s">
        <v>124</v>
      </c>
      <c r="H352" s="76" t="s">
        <v>15</v>
      </c>
      <c r="J352" s="24" t="s">
        <v>13</v>
      </c>
      <c r="K352" s="3" t="s">
        <v>147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24</v>
      </c>
      <c r="F354" s="1">
        <f>F6</f>
        <v>100</v>
      </c>
      <c r="G354" s="1">
        <f>SUM(G6:G10)-G7</f>
        <v>10</v>
      </c>
      <c r="H354" s="6">
        <f t="shared" ref="H354:H357" si="97">F354/(J354-G354)</f>
        <v>12.187690432663013</v>
      </c>
      <c r="J354" s="1">
        <f>J353</f>
        <v>18.204999999999998</v>
      </c>
      <c r="K354" s="6">
        <f t="shared" ref="K354:K357" si="98">E354*H354</f>
        <v>292.50457038391232</v>
      </c>
    </row>
    <row r="355" spans="3:32" ht="14.25" customHeight="1" x14ac:dyDescent="0.2">
      <c r="D355" s="1">
        <v>3</v>
      </c>
      <c r="E355" s="1">
        <f>E354-E6</f>
        <v>19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186.1832435080843</v>
      </c>
    </row>
    <row r="356" spans="3:32" ht="14.25" customHeight="1" x14ac:dyDescent="0.2">
      <c r="D356" s="1">
        <v>2</v>
      </c>
      <c r="E356" s="1">
        <f>E355-E9</f>
        <v>9</v>
      </c>
      <c r="F356" s="1">
        <f>F9</f>
        <v>40</v>
      </c>
      <c r="G356" s="1">
        <f>G355-G9</f>
        <v>8</v>
      </c>
      <c r="H356" s="6">
        <f t="shared" si="97"/>
        <v>3.9196472317491433</v>
      </c>
      <c r="J356" s="1">
        <f t="shared" si="99"/>
        <v>18.204999999999998</v>
      </c>
      <c r="K356" s="6">
        <f t="shared" si="98"/>
        <v>35.276825085742288</v>
      </c>
    </row>
    <row r="357" spans="3:32" ht="14.25" customHeight="1" x14ac:dyDescent="0.2">
      <c r="D357" s="1">
        <v>1</v>
      </c>
      <c r="E357" s="1">
        <f>E10</f>
        <v>4</v>
      </c>
      <c r="F357" s="1">
        <f>F10</f>
        <v>50</v>
      </c>
      <c r="G357" s="1">
        <f>G10</f>
        <v>6</v>
      </c>
      <c r="H357" s="6">
        <f t="shared" si="97"/>
        <v>4.0966816878328558</v>
      </c>
      <c r="J357" s="1">
        <f t="shared" si="99"/>
        <v>18.204999999999998</v>
      </c>
      <c r="K357" s="6">
        <f t="shared" si="98"/>
        <v>16.386726751331423</v>
      </c>
    </row>
    <row r="358" spans="3:32" ht="14.25" customHeight="1" x14ac:dyDescent="0.2">
      <c r="H358" s="6">
        <f>SUM(H353:H357)</f>
        <v>30.003137431617869</v>
      </c>
      <c r="I358" s="1" t="s">
        <v>304</v>
      </c>
      <c r="J358" s="1">
        <f>MAX(J353:J357)</f>
        <v>18.204999999999998</v>
      </c>
      <c r="K358" s="6">
        <f>SUM(K353:K357)</f>
        <v>530.35136572907027</v>
      </c>
    </row>
    <row r="360" spans="3:32" ht="14.25" customHeight="1" collapsed="1" x14ac:dyDescent="0.2">
      <c r="C360" s="3" t="s">
        <v>162</v>
      </c>
      <c r="E360" s="1">
        <f>J358</f>
        <v>18.204999999999998</v>
      </c>
      <c r="F360" s="6">
        <f>K358</f>
        <v>530.35136572907027</v>
      </c>
      <c r="G360" s="17">
        <v>5</v>
      </c>
      <c r="J360" s="1" t="s">
        <v>306</v>
      </c>
      <c r="K360" s="1">
        <f>K21</f>
        <v>75</v>
      </c>
      <c r="L360" s="3" t="s">
        <v>305</v>
      </c>
      <c r="P360" s="6">
        <f>MAX(P363:P462)</f>
        <v>46964.734945108452</v>
      </c>
      <c r="X360" s="1" t="s">
        <v>309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39776.352429680272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186</v>
      </c>
      <c r="E362" s="1" t="s">
        <v>146</v>
      </c>
      <c r="F362" s="1" t="s">
        <v>147</v>
      </c>
      <c r="G362" s="1" t="s">
        <v>139</v>
      </c>
      <c r="H362" s="17" t="s">
        <v>140</v>
      </c>
      <c r="I362" s="17" t="s">
        <v>141</v>
      </c>
      <c r="J362" s="17" t="s">
        <v>142</v>
      </c>
      <c r="M362" s="1" t="s">
        <v>164</v>
      </c>
      <c r="N362" s="1" t="s">
        <v>165</v>
      </c>
      <c r="O362" s="1" t="s">
        <v>166</v>
      </c>
      <c r="P362" s="1" t="s">
        <v>139</v>
      </c>
      <c r="Q362" s="17" t="s">
        <v>140</v>
      </c>
      <c r="R362" s="17" t="s">
        <v>141</v>
      </c>
      <c r="S362" s="17" t="s">
        <v>142</v>
      </c>
      <c r="T362" s="17" t="s">
        <v>167</v>
      </c>
      <c r="U362" s="17" t="s">
        <v>198</v>
      </c>
      <c r="V362" s="1" t="s">
        <v>308</v>
      </c>
      <c r="X362" s="1" t="s">
        <v>164</v>
      </c>
      <c r="Y362" s="1" t="s">
        <v>165</v>
      </c>
      <c r="Z362" s="1" t="s">
        <v>166</v>
      </c>
      <c r="AA362" s="1" t="s">
        <v>139</v>
      </c>
      <c r="AB362" s="1" t="s">
        <v>140</v>
      </c>
      <c r="AC362" s="1" t="s">
        <v>141</v>
      </c>
      <c r="AD362" s="1" t="s">
        <v>142</v>
      </c>
      <c r="AE362" s="1" t="s">
        <v>307</v>
      </c>
      <c r="AF362" s="1" t="s">
        <v>199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530.35136572907027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39627.748373280476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4403.0831525867197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3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556.86893401552379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41601.364677745667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4622.3738530828523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3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584.7123807163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43672.868537861279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4852.5409486512535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3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613.94799975211504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45847.073537021271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5094.1192818912523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3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644.64539973972069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48129.025737017466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5347.669526335274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3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676.87766972670681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50524.014473990617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5613.7793859989579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3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710.72155321304206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53037.583611277812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5893.064845697535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3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746.25763087369432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55675.543263809122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6186.171473756569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3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783.57051241737895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58443.982008645726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6493.7757787384144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3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822.74903803824793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61349.279596115812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6816.5866217906459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3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863.88648994016035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64398.120175778669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7155.3466861976303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3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907.08081443716844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67597.506051126096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7510.8340056806774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3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952.43485515902671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70954.771976494085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7883.863552943787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3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1000.0565979169781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74477.60000910041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8275.2888899000463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3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1050.0594278128269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78174.03492842277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8686.003880935863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3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1102.5623992034687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82052.500234279403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9116.9444704754897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3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1157.690519163642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86121.814733942927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9569.090525993659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3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1215.5750451218241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90391.20972739908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10043.467747488787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3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1276.3537973779153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94870.346798423532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10541.149644269281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3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1340.171487246811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99569.33621748013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11063.259579720014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3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1407.1800616091516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104498.75596050962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11610.972884501069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3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1477.5390646896092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109669.67134545786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12185.519038384205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3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1551.4160179240896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115093.65528585699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12788.183920650778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3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1628.9868188202943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120782.809157891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13420.312128654556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3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1710.4361597613088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126749.78427411748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14083.309363790831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3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1795.9579677493743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133007.80395334461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14778.644883704957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3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1885.755866136843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139570.68617203983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15507.854019115537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3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1980.0436594436853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146452.86677803574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16272.540753115081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3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2079.0458424158692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153669.42324215872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17074.380360239858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3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2182.9981345366632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161236.09891769133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17915.122101965702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3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2292.1480412634955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169169.3277712485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18796.591974583167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3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2406.7554433266714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177486.25954165263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19720.695504628071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3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2527.0932154930047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186204.78527567844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20689.420586186494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3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2653.4478762676549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195343.56318107064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21704.840353452295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3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2786.1202700810377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204922.04472794294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22769.116080882548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3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2925.42628358509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214960.50091951658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23884.500102168509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3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3071.6975977643442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225480.04864208231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25053.338738009144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3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3225.2824776525617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236502.67699203038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26278.075221336709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3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3386.546601535189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248051.27346473152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27561.252607192393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3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3555.873931611949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260149.64987593281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28905.516652881422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3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3733.6676281925461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272822.56787109579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30313.618652343976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3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3920.3510096021737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286095.76386173075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31788.418206858973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3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4116.3685600822828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299995.97321021953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33332.885912246616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3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4322.1869880863969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314550.95346586284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34950.105940651425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3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4538.2963374907167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329789.50643491151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36643.278492767946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3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4765.2111543652536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345741.49884614471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38415.722094016077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3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5003.4717120835148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362437.8813511621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40270.875705684681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3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5253.6452976876917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379910.70557498588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42212.300619442874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3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5516.3275625720762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398193.13890786935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44243.682100874372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3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5792.1439407006801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417319.47670347843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46368.830744830935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3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6081.7511377357141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437325.1515219264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48591.683502436266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3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6385.8386946225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458246.73902865924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50916.304336517693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3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6705.1306293536254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480121.96013207262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53346.884459119181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3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7040.3871608213058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502989.67891420441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55887.742101578267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3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7392.4065188623708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526889.89588014747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58543.32176446083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3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7762.0268448054912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551863.73602328205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61318.192891475781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3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8150.1281870457642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577953.43117538875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64217.047908376524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3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8557.634596398053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605202.29608360922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67244.699564845476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3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8985.5163262179558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633654.69763054652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70406.077514505174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3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9434.792142528855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663356.01659012202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73706.224065569113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3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9906.5317496552962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694352.60129073192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77150.289032303554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3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10401.858337138063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726691.71253951814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80743.52361550201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3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10921.951253994961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760421.45914792921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84491.273238658803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3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11468.048816694714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795590.72339011135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88398.969265567925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3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12041.45125752945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832249.07572291221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92472.11952476803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3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12643.523820405924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870446.67810050456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96716.297566722729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3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13275.700011426219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910234.17522881913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101137.13058097991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3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13939.485011997531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951662.57312636229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105740.28590292914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3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14636.459262597406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994783.1043897015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110531.45604330016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3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15368.282225727276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1039647.079605183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115516.34217835366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3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16136.69633701364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1086305.7244045341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120700.63604494823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3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16943.531153864325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1134810.0017321075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126090.00019245638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3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17790.707711557541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1185210.4189768259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131690.04655298067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3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18680.243097135415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1237556.8197235074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137506.31330261193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3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19614.255251992185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1291898.1599971086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143544.23999967874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3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20594.968014591799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1348282.2690104435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149809.14100116037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3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21624.716415321385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1406755.5945816028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156306.17717573364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3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22705.952236087458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1467362.933562065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163040.32595134055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3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23841.249847891824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1530147.1478102687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170016.34975669652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3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25033.312340286426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1595148.8664579277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177238.76293976975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3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26284.977957300744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1662406.1754467154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184711.79727185727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3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27599.226855165787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1731954.2955598775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192439.36617331972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3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28979.188197924075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1803825.250434862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200425.02782609579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3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30428.147607820276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1878047.5263168234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208671.94736853594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3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31949.55498821129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1954645.7255955499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217182.85839950555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3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33547.032737621856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2033640.2164562899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225960.02405069888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3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35224.384374502944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2115046.7812634665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235005.19791816294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3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36985.603593228101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2198876.2665802659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244319.58517558512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3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38834.883772889494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2285134.2380005755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253903.80422228615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3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40776.627961533974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2373820.6432264051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263757.84924737836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3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42815.459359610672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2464929.4870566512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273881.05411740567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3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44956.232327591213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2558448.5221546325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284272.05801718141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3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47204.04394397077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2654358.9596244935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294928.77329161041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3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49564.246141169315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2752635.2035428956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305848.35594921064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3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52042.458448227764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2853244.613654681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317027.17929496453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3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54644.581370639171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2956147.300442575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328460.81116028613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3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57376.810439171124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3061295.9567148075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340143.99519053416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3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60245.650961129679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3168635.7297156174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352070.63663506857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3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63257.933509186165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3278104.1375473156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364233.79306081287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3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66420.830184645485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3389631.0333965709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376625.67037739675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3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workbookViewId="0">
      <pane xSplit="3" ySplit="7" topLeftCell="D32" activePane="bottomRight" state="frozen"/>
      <selection pane="topRight" activeCell="D1" sqref="D1"/>
      <selection pane="bottomLeft" activeCell="A8" sqref="A8"/>
      <selection pane="bottomRight" activeCell="L53" sqref="L53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107" t="s">
        <v>221</v>
      </c>
      <c r="B1" s="108"/>
      <c r="D1" s="68" t="s">
        <v>264</v>
      </c>
      <c r="G1" s="1">
        <v>1000</v>
      </c>
      <c r="J1" s="68" t="s">
        <v>265</v>
      </c>
      <c r="L1" s="6"/>
      <c r="M1" s="6"/>
    </row>
    <row r="2" spans="1:25" ht="14.25" customHeight="1" x14ac:dyDescent="0.2">
      <c r="A2" s="109"/>
      <c r="B2" s="110"/>
      <c r="D2" s="5">
        <f>D3/$G$1</f>
        <v>1.7000000000000001E-2</v>
      </c>
      <c r="G2" s="5">
        <f>G3/$G$1</f>
        <v>0.96499999999999997</v>
      </c>
      <c r="J2" s="5">
        <f>J3/$G$1</f>
        <v>1.7000000000000001E-2</v>
      </c>
      <c r="L2" s="6"/>
      <c r="M2" s="6"/>
    </row>
    <row r="3" spans="1:25" ht="14.25" customHeight="1" thickBot="1" x14ac:dyDescent="0.25">
      <c r="C3" s="3" t="s">
        <v>222</v>
      </c>
      <c r="D3" s="42">
        <v>17</v>
      </c>
      <c r="E3" s="42"/>
      <c r="F3" s="42">
        <v>33</v>
      </c>
      <c r="G3" s="1">
        <v>965</v>
      </c>
      <c r="H3" s="42">
        <f>G1-D3-G3-J3</f>
        <v>1</v>
      </c>
      <c r="I3" s="42"/>
      <c r="J3" s="42">
        <v>17</v>
      </c>
      <c r="L3" s="6"/>
      <c r="M3" s="6"/>
    </row>
    <row r="4" spans="1:25" ht="14.25" customHeight="1" x14ac:dyDescent="0.2">
      <c r="C4" s="45"/>
      <c r="D4" s="129" t="s">
        <v>242</v>
      </c>
      <c r="E4" s="130"/>
      <c r="F4" s="131"/>
      <c r="G4" s="46"/>
      <c r="H4" s="129" t="s">
        <v>243</v>
      </c>
      <c r="I4" s="130"/>
      <c r="J4" s="131"/>
      <c r="K4" s="67"/>
      <c r="L4" s="6"/>
      <c r="M4" s="6"/>
      <c r="N4" s="10"/>
    </row>
    <row r="5" spans="1:25" ht="14.25" customHeight="1" x14ac:dyDescent="0.2">
      <c r="C5" s="45"/>
      <c r="D5" s="54">
        <v>7</v>
      </c>
      <c r="E5" s="1">
        <v>4</v>
      </c>
      <c r="F5" s="65">
        <v>1</v>
      </c>
      <c r="G5" s="46"/>
      <c r="H5" s="54">
        <v>1</v>
      </c>
      <c r="I5" s="1">
        <v>4</v>
      </c>
      <c r="J5" s="65">
        <v>7</v>
      </c>
      <c r="K5" s="47"/>
      <c r="L5" s="6"/>
      <c r="M5" s="6"/>
    </row>
    <row r="6" spans="1:25" ht="14.25" customHeight="1" x14ac:dyDescent="0.2">
      <c r="C6" s="45"/>
      <c r="D6" s="54">
        <v>8</v>
      </c>
      <c r="E6" s="1">
        <v>5</v>
      </c>
      <c r="F6" s="65">
        <v>2</v>
      </c>
      <c r="G6" s="46"/>
      <c r="H6" s="54">
        <v>2</v>
      </c>
      <c r="I6" s="1">
        <v>5</v>
      </c>
      <c r="J6" s="65">
        <v>8</v>
      </c>
      <c r="K6" s="67"/>
      <c r="L6" s="6"/>
      <c r="M6" s="6"/>
      <c r="N6" s="10"/>
    </row>
    <row r="7" spans="1:25" ht="14.25" customHeight="1" thickBot="1" x14ac:dyDescent="0.25">
      <c r="C7" s="45"/>
      <c r="D7" s="56">
        <v>9</v>
      </c>
      <c r="E7" s="57">
        <v>6</v>
      </c>
      <c r="F7" s="66">
        <v>3</v>
      </c>
      <c r="G7" s="46"/>
      <c r="H7" s="56">
        <v>3</v>
      </c>
      <c r="I7" s="57">
        <v>6</v>
      </c>
      <c r="J7" s="66">
        <v>9</v>
      </c>
      <c r="K7" s="47"/>
      <c r="L7" s="6"/>
      <c r="M7" s="6"/>
    </row>
    <row r="8" spans="1:25" ht="14.25" customHeight="1" thickBot="1" x14ac:dyDescent="0.25">
      <c r="D8" s="64">
        <v>1</v>
      </c>
      <c r="E8" s="64">
        <v>2</v>
      </c>
      <c r="F8" s="64">
        <v>3</v>
      </c>
      <c r="G8" s="48">
        <v>4</v>
      </c>
      <c r="H8" s="64">
        <v>5</v>
      </c>
      <c r="I8" s="64">
        <v>6</v>
      </c>
      <c r="J8" s="61">
        <v>100</v>
      </c>
      <c r="K8" s="49">
        <v>1</v>
      </c>
      <c r="L8" s="48">
        <v>9</v>
      </c>
      <c r="M8" s="48">
        <v>10</v>
      </c>
      <c r="N8" s="48">
        <v>11</v>
      </c>
      <c r="O8" s="48">
        <v>12</v>
      </c>
      <c r="P8" s="48">
        <v>13</v>
      </c>
      <c r="Q8" s="48">
        <v>14</v>
      </c>
      <c r="R8" s="48">
        <v>15</v>
      </c>
      <c r="S8" s="48">
        <v>16</v>
      </c>
      <c r="T8" s="48">
        <v>17</v>
      </c>
      <c r="U8" s="48">
        <v>18</v>
      </c>
      <c r="V8" s="42" t="s">
        <v>238</v>
      </c>
      <c r="W8" s="42" t="s">
        <v>239</v>
      </c>
      <c r="X8" s="42" t="s">
        <v>240</v>
      </c>
    </row>
    <row r="9" spans="1:25" ht="14.25" customHeight="1" x14ac:dyDescent="0.2">
      <c r="A9" s="4">
        <f>B9/(SUM(M10:M18)*$G$1)</f>
        <v>2.0528240256606953E-3</v>
      </c>
      <c r="B9" s="6">
        <v>3914767.6183931846</v>
      </c>
      <c r="C9" s="45">
        <f>ROW(D10)</f>
        <v>10</v>
      </c>
      <c r="D9" s="50" t="s">
        <v>244</v>
      </c>
      <c r="E9" s="51" t="s">
        <v>245</v>
      </c>
      <c r="F9" s="51" t="s">
        <v>223</v>
      </c>
      <c r="G9" s="52" t="s">
        <v>150</v>
      </c>
      <c r="H9" s="51" t="s">
        <v>87</v>
      </c>
      <c r="I9" s="51" t="s">
        <v>88</v>
      </c>
      <c r="J9" s="52" t="s">
        <v>232</v>
      </c>
      <c r="K9" s="52" t="s">
        <v>233</v>
      </c>
      <c r="L9" s="51" t="s">
        <v>32</v>
      </c>
      <c r="M9" s="51" t="s">
        <v>205</v>
      </c>
      <c r="N9" s="51" t="s">
        <v>33</v>
      </c>
      <c r="O9" s="51" t="s">
        <v>140</v>
      </c>
      <c r="P9" s="51" t="s">
        <v>141</v>
      </c>
      <c r="Q9" s="51" t="s">
        <v>142</v>
      </c>
      <c r="R9" s="51" t="s">
        <v>168</v>
      </c>
      <c r="S9" s="51" t="s">
        <v>198</v>
      </c>
      <c r="T9" s="51" t="s">
        <v>262</v>
      </c>
      <c r="U9" s="51" t="s">
        <v>199</v>
      </c>
      <c r="V9" s="51" t="s">
        <v>200</v>
      </c>
      <c r="W9" s="51" t="s">
        <v>202</v>
      </c>
      <c r="X9" s="53" t="s">
        <v>230</v>
      </c>
      <c r="Y9" s="47"/>
    </row>
    <row r="10" spans="1:25" ht="14.25" customHeight="1" x14ac:dyDescent="0.2">
      <c r="C10" s="45">
        <f>COLUMN(D10)</f>
        <v>4</v>
      </c>
      <c r="D10" s="54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246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100</v>
      </c>
      <c r="K10" s="1">
        <f>IF($G10="","",K$8)</f>
        <v>1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29352.959340692785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513303.34971270675</v>
      </c>
      <c r="N10" s="8">
        <f>IFERROR(VLOOKUP($G10,角色设定!$AB$9:$AJ$21,MATCH(N$9,角色设定!$AB$9:$AJ$9,0),0)*VLOOKUP($J10,角色成长!$D$17:$J$117,MATCH(N$9,角色成长!$D$17:$J$17,0),0)*角色成长!$L$15,"")</f>
        <v>103322.41687923859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3.0179999999999998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0.60489692307692311</v>
      </c>
      <c r="X10" s="55">
        <f>IFERROR(VLOOKUP($G10,角色技能!$D:$M,MATCH(X$9,角色技能!$D$4:$M$4,0),0)*(1+$K10/100*(VLOOKUP($H10,技能模板!$D$13:$U$19,MATCH(技能模板!U$13,技能模板!$D$13:$U$13,0),0)-1)),"")</f>
        <v>0</v>
      </c>
      <c r="Y10" s="47"/>
    </row>
    <row r="11" spans="1:25" ht="14.25" customHeight="1" x14ac:dyDescent="0.2">
      <c r="C11" s="45">
        <f>ROW(X18)</f>
        <v>18</v>
      </c>
      <c r="D11" s="54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5" t="str">
        <f>IFERROR(VLOOKUP($G11,角色技能!$D:$M,MATCH(X$9,角色技能!$D$4:$M$4,0),0)*(1+$K11/100*(VLOOKUP($H11,技能模板!$D$13:$U$19,MATCH(技能模板!U$13,技能模板!$D$13:$U$13,0),0)-1)),"")</f>
        <v/>
      </c>
      <c r="Y11" s="47"/>
    </row>
    <row r="12" spans="1:25" ht="14.25" customHeight="1" x14ac:dyDescent="0.2">
      <c r="C12" s="45">
        <f>COLUMN(X18)</f>
        <v>24</v>
      </c>
      <c r="D12" s="54">
        <f t="shared" si="0"/>
        <v>3</v>
      </c>
      <c r="E12" s="1">
        <f t="shared" si="1"/>
        <v>3</v>
      </c>
      <c r="F12" s="1">
        <f t="shared" si="2"/>
        <v>3</v>
      </c>
      <c r="G12" s="1" t="s">
        <v>258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100</v>
      </c>
      <c r="K12" s="1">
        <f t="shared" si="3"/>
        <v>1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32614.399267436427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461973.014741436</v>
      </c>
      <c r="N12" s="8">
        <f>IFERROR(VLOOKUP($G12,角色设定!$AB$9:$AJ$21,MATCH(N$9,角色设定!$AB$9:$AJ$9,0),0)*VLOOKUP($J12,角色成长!$D$17:$J$117,MATCH(N$9,角色成长!$D$17:$J$17,0),0)*角色成长!$L$15,"")</f>
        <v>103322.41687923859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3.0179999999999998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0.60489692307692311</v>
      </c>
      <c r="X12" s="55">
        <f>IFERROR(VLOOKUP($G12,角色技能!$D:$M,MATCH(X$9,角色技能!$D$4:$M$4,0),0)*(1+$K12/100*(VLOOKUP($H12,技能模板!$D$13:$U$19,MATCH(技能模板!U$13,技能模板!$D$13:$U$13,0),0)-1)),"")</f>
        <v>0</v>
      </c>
      <c r="Y12" s="47"/>
    </row>
    <row r="13" spans="1:25" ht="14.25" customHeight="1" x14ac:dyDescent="0.2">
      <c r="C13" s="45"/>
      <c r="D13" s="54">
        <f t="shared" si="0"/>
        <v>1</v>
      </c>
      <c r="E13" s="1">
        <f t="shared" si="1"/>
        <v>2</v>
      </c>
      <c r="F13" s="1">
        <f t="shared" si="2"/>
        <v>4</v>
      </c>
      <c r="G13" s="1" t="s">
        <v>259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100</v>
      </c>
      <c r="K13" s="1">
        <f t="shared" si="3"/>
        <v>1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65750.628923151831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243477.83303006654</v>
      </c>
      <c r="N13" s="8">
        <f>IFERROR(VLOOKUP($G13,角色设定!$AB$9:$AJ$21,MATCH(N$9,角色设定!$AB$9:$AJ$9,0),0)*VLOOKUP($J13,角色成长!$D$17:$J$117,MATCH(N$9,角色成长!$D$17:$J$17,0),0)*角色成长!$L$15,"")</f>
        <v>46964.734945108452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5.0333333333333314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5">
        <f>IFERROR(VLOOKUP($G13,角色技能!$D:$M,MATCH(X$9,角色技能!$D$4:$M$4,0),0)*(1+$K13/100*(VLOOKUP($H13,技能模板!$D$13:$U$19,MATCH(技能模板!U$13,技能模板!$D$13:$U$13,0),0)-1)),"")</f>
        <v>0</v>
      </c>
      <c r="Y13" s="47"/>
    </row>
    <row r="14" spans="1:25" ht="14.25" customHeight="1" x14ac:dyDescent="0.2">
      <c r="C14" s="45"/>
      <c r="D14" s="54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5" t="str">
        <f>IFERROR(VLOOKUP($G14,角色技能!$D:$M,MATCH(X$9,角色技能!$D$4:$M$4,0),0)*(1+$K14/100*(VLOOKUP($H14,技能模板!$D$13:$U$19,MATCH(技能模板!U$13,技能模板!$D$13:$U$13,0),0)-1)),"")</f>
        <v/>
      </c>
      <c r="Y14" s="47"/>
    </row>
    <row r="15" spans="1:25" ht="14.25" customHeight="1" x14ac:dyDescent="0.2">
      <c r="C15" s="45"/>
      <c r="D15" s="54">
        <f t="shared" si="0"/>
        <v>3</v>
      </c>
      <c r="E15" s="1">
        <f t="shared" si="1"/>
        <v>2</v>
      </c>
      <c r="F15" s="1">
        <f t="shared" si="2"/>
        <v>6</v>
      </c>
      <c r="G15" s="1" t="s">
        <v>260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100</v>
      </c>
      <c r="K15" s="1">
        <f t="shared" si="3"/>
        <v>1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54991.435099363349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275094.94192078855</v>
      </c>
      <c r="N15" s="8">
        <f>IFERROR(VLOOKUP($G15,角色设定!$AB$9:$AJ$21,MATCH(N$9,角色设定!$AB$9:$AJ$9,0),0)*VLOOKUP($J15,角色成长!$D$17:$J$117,MATCH(N$9,角色成长!$D$17:$J$17,0),0)*角色成长!$L$15,"")</f>
        <v>42268.261450597609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5.3650921281738073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5">
        <f>IFERROR(VLOOKUP($G15,角色技能!$D:$M,MATCH(X$9,角色技能!$D$4:$M$4,0),0)*(1+$K15/100*(VLOOKUP($H15,技能模板!$D$13:$U$19,MATCH(技能模板!U$13,技能模板!$D$13:$U$13,0),0)-1)),"")</f>
        <v>0</v>
      </c>
      <c r="Y15" s="47"/>
    </row>
    <row r="16" spans="1:25" ht="14.25" customHeight="1" x14ac:dyDescent="0.2">
      <c r="C16" s="45"/>
      <c r="D16" s="54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5" t="str">
        <f>IFERROR(VLOOKUP($G16,角色技能!$D:$M,MATCH(X$9,角色技能!$D$4:$M$4,0),0)*(1+$K16/100*(VLOOKUP($H16,技能模板!$D$13:$U$19,MATCH(技能模板!U$13,技能模板!$D$13:$U$13,0),0)-1)),"")</f>
        <v/>
      </c>
      <c r="Y16" s="47"/>
    </row>
    <row r="17" spans="1:25" ht="14.25" customHeight="1" x14ac:dyDescent="0.2">
      <c r="C17" s="45"/>
      <c r="D17" s="54">
        <f t="shared" si="0"/>
        <v>2</v>
      </c>
      <c r="E17" s="1">
        <f t="shared" si="1"/>
        <v>1</v>
      </c>
      <c r="F17" s="1">
        <f t="shared" si="2"/>
        <v>8</v>
      </c>
      <c r="G17" s="1" t="s">
        <v>261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100</v>
      </c>
      <c r="K17" s="1">
        <f t="shared" si="3"/>
        <v>1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24985.238990797694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413166.54701421608</v>
      </c>
      <c r="N17" s="8">
        <f>IFERROR(VLOOKUP($G17,角色设定!$AB$9:$AJ$21,MATCH(N$9,角色设定!$AB$9:$AJ$9,0),0)*VLOOKUP($J17,角色成长!$D$17:$J$117,MATCH(N$9,角色成长!$D$17:$J$17,0),0)*角色成长!$L$15,"")</f>
        <v>26300.25156926073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2.2933202807351152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5">
        <f>IFERROR(VLOOKUP($G17,角色技能!$D:$M,MATCH(X$9,角色技能!$D$4:$M$4,0),0)*(1+$K17/100*(VLOOKUP($H17,技能模板!$D$13:$U$19,MATCH(技能模板!U$13,技能模板!$D$13:$U$13,0),0)-1)),"")</f>
        <v>0.54244870231240705</v>
      </c>
      <c r="Y17" s="47"/>
    </row>
    <row r="18" spans="1:25" ht="14.25" customHeight="1" thickBot="1" x14ac:dyDescent="0.25">
      <c r="C18" s="45"/>
      <c r="D18" s="56" t="str">
        <f t="shared" si="0"/>
        <v/>
      </c>
      <c r="E18" s="57" t="str">
        <f t="shared" si="1"/>
        <v/>
      </c>
      <c r="F18" s="57" t="str">
        <f t="shared" si="2"/>
        <v/>
      </c>
      <c r="G18" s="57"/>
      <c r="H18" s="57" t="str">
        <f>IFERROR(VLOOKUP($G18,角色设定!$R:$S,2,0),"")</f>
        <v/>
      </c>
      <c r="I18" s="57" t="str">
        <f>IFERROR(VLOOKUP(H18,角色设定!$D$9:$E$15,2,0),"")</f>
        <v/>
      </c>
      <c r="J18" s="57" t="str">
        <f t="shared" si="3"/>
        <v/>
      </c>
      <c r="K18" s="57" t="str">
        <f t="shared" si="3"/>
        <v/>
      </c>
      <c r="L18" s="5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5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58" t="str">
        <f>IFERROR(VLOOKUP($G18,角色设定!$AB$9:$AJ$21,MATCH(N$9,角色设定!$AB$9:$AJ$9,0),0)*VLOOKUP($J18,角色成长!$D$17:$J$117,MATCH(N$9,角色成长!$D$17:$J$17,0),0)*角色成长!$L$15,"")</f>
        <v/>
      </c>
      <c r="O18" s="57" t="str">
        <f>IFERROR(VLOOKUP($G18,角色设定!$AB$9:$AJ$21,MATCH(O$9,角色设定!$AB$9:$AJ$9,0),0)*VLOOKUP($J18,角色成长!$D$17:$J$117,MATCH(O$9,角色成长!$D$17:$J$17,0),0),"")</f>
        <v/>
      </c>
      <c r="P18" s="57" t="str">
        <f>IFERROR(VLOOKUP($G18,角色设定!$AB$9:$AJ$21,MATCH(P$9,角色设定!$AB$9:$AJ$9,0),0)*VLOOKUP($J18,角色成长!$D$17:$J$117,MATCH(P$9,角色成长!$D$17:$J$17,0),0),"")</f>
        <v/>
      </c>
      <c r="Q18" s="57" t="str">
        <f>IFERROR(VLOOKUP($G18,角色设定!$AB$9:$AJ$21,MATCH(Q$9,角色设定!$AB$9:$AJ$9,0),0)*VLOOKUP($J18,角色成长!$D$17:$J$117,MATCH(Q$9,角色成长!$D$17:$J$17,0),0),"")</f>
        <v/>
      </c>
      <c r="R18" s="57" t="str">
        <f>IFERROR(VLOOKUP($G18,角色设定!$AB$9:$AJ$21,MATCH(R$9,角色设定!$AB$9:$AJ$9,0),0),"")</f>
        <v/>
      </c>
      <c r="S18" s="57" t="str">
        <f>IFERROR(VLOOKUP($G18,角色技能!$D:$M,MATCH(S$9,角色技能!$D$4:$M$4,0),0),"")</f>
        <v/>
      </c>
      <c r="T18" s="57" t="str">
        <f>IFERROR(VLOOKUP($G18,角色技能!$D:$M,MATCH(T$9,角色技能!$D$4:$M$4,0),0),"")</f>
        <v/>
      </c>
      <c r="U18" s="59" t="str">
        <f>IFERROR(VLOOKUP($G18,角色技能!$D:$M,MATCH(U$9,角色技能!$D$4:$M$4,0),0)*(1+$K18/100*(VLOOKUP($H18,技能模板!$D$13:$U$19,MATCH(技能模板!R$13,技能模板!$D$13:$U$13,0),0)-1)),"")</f>
        <v/>
      </c>
      <c r="V18" s="59" t="str">
        <f>IFERROR(VLOOKUP($G18,角色技能!$D:$M,MATCH(V$9,角色技能!$D$4:$M$4,0),0)*(1+$K18/100*(VLOOKUP($H18,技能模板!$D$13:$U$19,MATCH(技能模板!S$13,技能模板!$D$13:$U$13,0),0)-1)),"")</f>
        <v/>
      </c>
      <c r="W18" s="59" t="str">
        <f>IFERROR(VLOOKUP($G18,角色技能!$D:$M,MATCH(W$9,角色技能!$D$4:$M$4,0),0)*(1+$K18/100*(VLOOKUP($H18,技能模板!$D$13:$U$19,MATCH(技能模板!T$13,技能模板!$D$13:$U$13,0),0)-1)),"")</f>
        <v/>
      </c>
      <c r="X18" s="60" t="str">
        <f>IFERROR(VLOOKUP($G18,角色技能!$D:$M,MATCH(X$9,角色技能!$D$4:$M$4,0),0)*(1+$K18/100*(VLOOKUP($H18,技能模板!$D$13:$U$19,MATCH(技能模板!U$13,技能模板!$D$13:$U$13,0),0)-1)),"")</f>
        <v/>
      </c>
      <c r="Y18" s="47"/>
    </row>
    <row r="19" spans="1:25" ht="14.25" customHeight="1" thickBot="1" x14ac:dyDescent="0.25">
      <c r="D19" s="43"/>
      <c r="E19" s="43"/>
      <c r="F19" s="43"/>
      <c r="G19" s="43"/>
      <c r="H19" s="43"/>
      <c r="I19" s="43"/>
      <c r="J19" s="61">
        <v>100</v>
      </c>
      <c r="K19" s="61">
        <v>1</v>
      </c>
      <c r="L19" s="62"/>
      <c r="M19" s="62"/>
      <c r="N19" s="62"/>
      <c r="O19" s="43"/>
      <c r="P19" s="43"/>
      <c r="Q19" s="43"/>
      <c r="R19" s="43"/>
      <c r="S19" s="43">
        <v>0</v>
      </c>
      <c r="T19" s="43">
        <v>0</v>
      </c>
      <c r="U19" s="63"/>
      <c r="V19" s="43" t="s">
        <v>238</v>
      </c>
      <c r="W19" s="43" t="s">
        <v>239</v>
      </c>
      <c r="X19" s="43" t="s">
        <v>240</v>
      </c>
    </row>
    <row r="20" spans="1:25" ht="14.25" customHeight="1" x14ac:dyDescent="0.2">
      <c r="A20" s="4">
        <f>B20/(SUM(M21:M29)*$G$1)</f>
        <v>1.5772225332257536E-3</v>
      </c>
      <c r="B20" s="6">
        <v>3007788.1118353615</v>
      </c>
      <c r="C20" s="45">
        <f>ROW(D21)</f>
        <v>21</v>
      </c>
      <c r="D20" s="50" t="s">
        <v>244</v>
      </c>
      <c r="E20" s="51" t="s">
        <v>245</v>
      </c>
      <c r="F20" s="51" t="s">
        <v>224</v>
      </c>
      <c r="G20" s="52" t="s">
        <v>150</v>
      </c>
      <c r="H20" s="51" t="s">
        <v>87</v>
      </c>
      <c r="I20" s="51" t="s">
        <v>88</v>
      </c>
      <c r="J20" s="52" t="s">
        <v>232</v>
      </c>
      <c r="K20" s="52" t="s">
        <v>233</v>
      </c>
      <c r="L20" s="51" t="s">
        <v>32</v>
      </c>
      <c r="M20" s="51" t="s">
        <v>205</v>
      </c>
      <c r="N20" s="51" t="s">
        <v>33</v>
      </c>
      <c r="O20" s="51" t="s">
        <v>140</v>
      </c>
      <c r="P20" s="51" t="s">
        <v>141</v>
      </c>
      <c r="Q20" s="51" t="s">
        <v>142</v>
      </c>
      <c r="R20" s="51" t="s">
        <v>168</v>
      </c>
      <c r="S20" s="51" t="s">
        <v>198</v>
      </c>
      <c r="T20" s="51" t="s">
        <v>262</v>
      </c>
      <c r="U20" s="51" t="s">
        <v>199</v>
      </c>
      <c r="V20" s="51" t="s">
        <v>200</v>
      </c>
      <c r="W20" s="51" t="s">
        <v>202</v>
      </c>
      <c r="X20" s="53" t="s">
        <v>230</v>
      </c>
      <c r="Y20" s="47"/>
    </row>
    <row r="21" spans="1:25" ht="14.25" customHeight="1" x14ac:dyDescent="0.2">
      <c r="C21" s="45">
        <f>COLUMN(D21)</f>
        <v>4</v>
      </c>
      <c r="D21" s="54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277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100</v>
      </c>
      <c r="K21" s="1">
        <f>IF($G21="","",K$19)</f>
        <v>1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29352.959340692785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513303.34971270675</v>
      </c>
      <c r="N21" s="8">
        <f>IFERROR(VLOOKUP($G21,角色设定!$AB$9:$AJ$21,MATCH(N$9,角色设定!$AB$9:$AJ$9,0),0)*VLOOKUP($J21,角色成长!$D$17:$J$117,MATCH(N$9,角色成长!$D$17:$J$17,0),0)*角色成长!$L$15,"")</f>
        <v>103322.41687923859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3.0179999999999998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0.60489692307692311</v>
      </c>
      <c r="X21" s="55">
        <f>IFERROR(VLOOKUP($G21,角色技能!$D:$M,MATCH(X$9,角色技能!$D$4:$M$4,0),0)*(1+$K21/100*(VLOOKUP($H21,技能模板!$D$13:$U$19,MATCH(技能模板!U$13,技能模板!$D$13:$U$13,0),0)-1)),"")</f>
        <v>0</v>
      </c>
      <c r="Y21" s="47"/>
    </row>
    <row r="22" spans="1:25" ht="14.25" customHeight="1" x14ac:dyDescent="0.2">
      <c r="C22" s="45">
        <f>ROW(X29)</f>
        <v>29</v>
      </c>
      <c r="D22" s="54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5" t="str">
        <f>IFERROR(VLOOKUP($G22,角色技能!$D:$M,MATCH(X$9,角色技能!$D$4:$M$4,0),0)*(1+$K22/100*(VLOOKUP($H22,技能模板!$D$13:$U$19,MATCH(技能模板!U$13,技能模板!$D$13:$U$13,0),0)-1)),"")</f>
        <v/>
      </c>
      <c r="Y22" s="47"/>
    </row>
    <row r="23" spans="1:25" ht="14.25" customHeight="1" x14ac:dyDescent="0.2">
      <c r="C23" s="45">
        <f>COLUMN(X29)</f>
        <v>24</v>
      </c>
      <c r="D23" s="54">
        <f t="shared" si="4"/>
        <v>3</v>
      </c>
      <c r="E23" s="1">
        <f t="shared" si="5"/>
        <v>5</v>
      </c>
      <c r="F23" s="1">
        <f t="shared" si="6"/>
        <v>3</v>
      </c>
      <c r="G23" s="1" t="s">
        <v>247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100</v>
      </c>
      <c r="K23" s="1">
        <f t="shared" si="7"/>
        <v>1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32614.399267436427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461973.014741436</v>
      </c>
      <c r="N23" s="8">
        <f>IFERROR(VLOOKUP($G23,角色设定!$AB$9:$AJ$21,MATCH(N$9,角色设定!$AB$9:$AJ$9,0),0)*VLOOKUP($J23,角色成长!$D$17:$J$117,MATCH(N$9,角色成长!$D$17:$J$17,0),0)*角色成长!$L$15,"")</f>
        <v>103322.41687923859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3.0179999999999998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0.60489692307692311</v>
      </c>
      <c r="X23" s="55">
        <f>IFERROR(VLOOKUP($G23,角色技能!$D:$M,MATCH(X$9,角色技能!$D$4:$M$4,0),0)*(1+$K23/100*(VLOOKUP($H23,技能模板!$D$13:$U$19,MATCH(技能模板!U$13,技能模板!$D$13:$U$13,0),0)-1)),"")</f>
        <v>0</v>
      </c>
      <c r="Y23" s="47"/>
    </row>
    <row r="24" spans="1:25" ht="14.25" customHeight="1" x14ac:dyDescent="0.2">
      <c r="C24" s="45"/>
      <c r="D24" s="54">
        <f t="shared" si="4"/>
        <v>1</v>
      </c>
      <c r="E24" s="1">
        <f t="shared" si="5"/>
        <v>6</v>
      </c>
      <c r="F24" s="1">
        <f t="shared" si="6"/>
        <v>4</v>
      </c>
      <c r="G24" s="1" t="s">
        <v>250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100</v>
      </c>
      <c r="K24" s="1">
        <f t="shared" si="7"/>
        <v>1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65750.628923151831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243477.83303006654</v>
      </c>
      <c r="N24" s="8">
        <f>IFERROR(VLOOKUP($G24,角色设定!$AB$9:$AJ$21,MATCH(N$9,角色设定!$AB$9:$AJ$9,0),0)*VLOOKUP($J24,角色成长!$D$17:$J$117,MATCH(N$9,角色成长!$D$17:$J$17,0),0)*角色成长!$L$15,"")</f>
        <v>46964.734945108452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5.0333333333333314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5">
        <f>IFERROR(VLOOKUP($G24,角色技能!$D:$M,MATCH(X$9,角色技能!$D$4:$M$4,0),0)*(1+$K24/100*(VLOOKUP($H24,技能模板!$D$13:$U$19,MATCH(技能模板!U$13,技能模板!$D$13:$U$13,0),0)-1)),"")</f>
        <v>0</v>
      </c>
      <c r="Y24" s="47"/>
    </row>
    <row r="25" spans="1:25" ht="14.25" customHeight="1" x14ac:dyDescent="0.2">
      <c r="C25" s="45"/>
      <c r="D25" s="54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5" t="str">
        <f>IFERROR(VLOOKUP($G25,角色技能!$D:$M,MATCH(X$9,角色技能!$D$4:$M$4,0),0)*(1+$K25/100*(VLOOKUP($H25,技能模板!$D$13:$U$19,MATCH(技能模板!U$13,技能模板!$D$13:$U$13,0),0)-1)),"")</f>
        <v/>
      </c>
      <c r="Y25" s="47"/>
    </row>
    <row r="26" spans="1:25" ht="14.25" customHeight="1" x14ac:dyDescent="0.2">
      <c r="C26" s="45"/>
      <c r="D26" s="54">
        <f t="shared" si="4"/>
        <v>3</v>
      </c>
      <c r="E26" s="1">
        <f t="shared" si="5"/>
        <v>6</v>
      </c>
      <c r="F26" s="1">
        <f t="shared" si="6"/>
        <v>6</v>
      </c>
      <c r="G26" s="1" t="s">
        <v>252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100</v>
      </c>
      <c r="K26" s="1">
        <f t="shared" si="7"/>
        <v>1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54991.435099363349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275094.94192078855</v>
      </c>
      <c r="N26" s="8">
        <f>IFERROR(VLOOKUP($G26,角色设定!$AB$9:$AJ$21,MATCH(N$9,角色设定!$AB$9:$AJ$9,0),0)*VLOOKUP($J26,角色成长!$D$17:$J$117,MATCH(N$9,角色成长!$D$17:$J$17,0),0)*角色成长!$L$15,"")</f>
        <v>42268.261450597609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5.3650921281738073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5">
        <f>IFERROR(VLOOKUP($G26,角色技能!$D:$M,MATCH(X$9,角色技能!$D$4:$M$4,0),0)*(1+$K26/100*(VLOOKUP($H26,技能模板!$D$13:$U$19,MATCH(技能模板!U$13,技能模板!$D$13:$U$13,0),0)-1)),"")</f>
        <v>0</v>
      </c>
      <c r="Y26" s="47"/>
    </row>
    <row r="27" spans="1:25" ht="14.25" customHeight="1" x14ac:dyDescent="0.2">
      <c r="C27" s="45"/>
      <c r="D27" s="54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5" t="str">
        <f>IFERROR(VLOOKUP($G27,角色技能!$D:$M,MATCH(X$9,角色技能!$D$4:$M$4,0),0)*(1+$K27/100*(VLOOKUP($H27,技能模板!$D$13:$U$19,MATCH(技能模板!U$13,技能模板!$D$13:$U$13,0),0)-1)),"")</f>
        <v/>
      </c>
      <c r="Y27" s="47"/>
    </row>
    <row r="28" spans="1:25" ht="14.25" customHeight="1" x14ac:dyDescent="0.2">
      <c r="C28" s="45"/>
      <c r="D28" s="54">
        <f t="shared" si="4"/>
        <v>2</v>
      </c>
      <c r="E28" s="1">
        <f t="shared" si="5"/>
        <v>7</v>
      </c>
      <c r="F28" s="1">
        <f t="shared" si="6"/>
        <v>8</v>
      </c>
      <c r="G28" s="1" t="s">
        <v>256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100</v>
      </c>
      <c r="K28" s="1">
        <f t="shared" si="7"/>
        <v>1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24985.238990797694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413166.54701421608</v>
      </c>
      <c r="N28" s="8">
        <f>IFERROR(VLOOKUP($G28,角色设定!$AB$9:$AJ$21,MATCH(N$9,角色设定!$AB$9:$AJ$9,0),0)*VLOOKUP($J28,角色成长!$D$17:$J$117,MATCH(N$9,角色成长!$D$17:$J$17,0),0)*角色成长!$L$15,"")</f>
        <v>26300.25156926073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2.2933202807351152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5">
        <f>IFERROR(VLOOKUP($G28,角色技能!$D:$M,MATCH(X$9,角色技能!$D$4:$M$4,0),0)*(1+$K28/100*(VLOOKUP($H28,技能模板!$D$13:$U$19,MATCH(技能模板!U$13,技能模板!$D$13:$U$13,0),0)-1)),"")</f>
        <v>0.54244870231240705</v>
      </c>
      <c r="Y28" s="47"/>
    </row>
    <row r="29" spans="1:25" ht="14.25" customHeight="1" thickBot="1" x14ac:dyDescent="0.25">
      <c r="C29" s="45"/>
      <c r="D29" s="56" t="str">
        <f t="shared" si="4"/>
        <v/>
      </c>
      <c r="E29" s="57" t="str">
        <f t="shared" si="5"/>
        <v/>
      </c>
      <c r="F29" s="57" t="str">
        <f t="shared" si="6"/>
        <v/>
      </c>
      <c r="G29" s="57"/>
      <c r="H29" s="57" t="str">
        <f>IFERROR(VLOOKUP($G29,角色设定!$R:$S,2,0),"")</f>
        <v/>
      </c>
      <c r="I29" s="57" t="str">
        <f>IFERROR(VLOOKUP(H29,角色设定!$D$9:$E$15,2,0),"")</f>
        <v/>
      </c>
      <c r="J29" s="57" t="str">
        <f t="shared" si="7"/>
        <v/>
      </c>
      <c r="K29" s="57" t="str">
        <f t="shared" si="7"/>
        <v/>
      </c>
      <c r="L29" s="5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5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58" t="str">
        <f>IFERROR(VLOOKUP($G29,角色设定!$AB$9:$AJ$21,MATCH(N$9,角色设定!$AB$9:$AJ$9,0),0)*VLOOKUP($J29,角色成长!$D$17:$J$117,MATCH(N$9,角色成长!$D$17:$J$17,0),0)*角色成长!$L$15,"")</f>
        <v/>
      </c>
      <c r="O29" s="57" t="str">
        <f>IFERROR(VLOOKUP($G29,角色设定!$AB$9:$AJ$21,MATCH(O$9,角色设定!$AB$9:$AJ$9,0),0)*VLOOKUP($J29,角色成长!$D$17:$J$117,MATCH(O$9,角色成长!$D$17:$J$17,0),0),"")</f>
        <v/>
      </c>
      <c r="P29" s="57" t="str">
        <f>IFERROR(VLOOKUP($G29,角色设定!$AB$9:$AJ$21,MATCH(P$9,角色设定!$AB$9:$AJ$9,0),0)*VLOOKUP($J29,角色成长!$D$17:$J$117,MATCH(P$9,角色成长!$D$17:$J$17,0),0),"")</f>
        <v/>
      </c>
      <c r="Q29" s="57" t="str">
        <f>IFERROR(VLOOKUP($G29,角色设定!$AB$9:$AJ$21,MATCH(Q$9,角色设定!$AB$9:$AJ$9,0),0)*VLOOKUP($J29,角色成长!$D$17:$J$117,MATCH(Q$9,角色成长!$D$17:$J$17,0),0),"")</f>
        <v/>
      </c>
      <c r="R29" s="57" t="str">
        <f>IFERROR(VLOOKUP($G29,角色设定!$AB$9:$AJ$21,MATCH(R$9,角色设定!$AB$9:$AJ$9,0),0),"")</f>
        <v/>
      </c>
      <c r="S29" s="57" t="str">
        <f>IFERROR(VLOOKUP($G29,角色技能!$D:$M,MATCH(S$9,角色技能!$D$4:$M$4,0),0)*(1-$S$19),"")</f>
        <v/>
      </c>
      <c r="T29" s="57" t="str">
        <f>IFERROR(VLOOKUP($G29,角色技能!$D:$M,MATCH(T$9,角色技能!$D$4:$M$4,0),0),"")</f>
        <v/>
      </c>
      <c r="U29" s="59" t="str">
        <f>IFERROR(VLOOKUP($G29,角色技能!$D:$M,MATCH(U$9,角色技能!$D$4:$M$4,0),0)*(1+$K29/100*(VLOOKUP($H29,技能模板!$D$13:$U$19,MATCH(技能模板!R$13,技能模板!$D$13:$U$13,0),0)-1)),"")</f>
        <v/>
      </c>
      <c r="V29" s="59" t="str">
        <f>IFERROR(VLOOKUP($G29,角色技能!$D:$M,MATCH(V$9,角色技能!$D$4:$M$4,0),0)*(1+$K29/100*(VLOOKUP($H29,技能模板!$D$13:$U$19,MATCH(技能模板!S$13,技能模板!$D$13:$U$13,0),0)-1)),"")</f>
        <v/>
      </c>
      <c r="W29" s="59" t="str">
        <f>IFERROR(VLOOKUP($G29,角色技能!$D:$M,MATCH(W$9,角色技能!$D$4:$M$4,0),0)*(1+$K29/100*(VLOOKUP($H29,技能模板!$D$13:$U$19,MATCH(技能模板!T$13,技能模板!$D$13:$U$13,0),0)-1)),"")</f>
        <v/>
      </c>
      <c r="X29" s="60" t="str">
        <f>IFERROR(VLOOKUP($G29,角色技能!$D:$M,MATCH(X$9,角色技能!$D$4:$M$4,0),0)*(1+$K29/100*(VLOOKUP($H29,技能模板!$D$13:$U$19,MATCH(技能模板!U$13,技能模板!$D$13:$U$13,0),0)-1)),"")</f>
        <v/>
      </c>
      <c r="Y29" s="47"/>
    </row>
    <row r="30" spans="1:25" ht="14.25" customHeight="1" x14ac:dyDescent="0.2"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68" t="s">
        <v>264</v>
      </c>
      <c r="G33" s="1">
        <v>1000</v>
      </c>
      <c r="J33" s="68" t="s">
        <v>265</v>
      </c>
    </row>
    <row r="34" spans="1:25" ht="14.25" customHeight="1" x14ac:dyDescent="0.2">
      <c r="D34" s="5">
        <f>D35/G33</f>
        <v>0.60699999999999998</v>
      </c>
      <c r="G34" s="5">
        <f>G35/$G$1</f>
        <v>0</v>
      </c>
      <c r="J34" s="5">
        <f>J35/G33</f>
        <v>0.39300000000000002</v>
      </c>
    </row>
    <row r="35" spans="1:25" ht="14.25" customHeight="1" thickBot="1" x14ac:dyDescent="0.25">
      <c r="C35" s="3" t="s">
        <v>263</v>
      </c>
      <c r="D35" s="69">
        <v>607</v>
      </c>
      <c r="E35" s="69"/>
      <c r="F35" s="69">
        <v>20</v>
      </c>
      <c r="G35" s="1">
        <v>0</v>
      </c>
      <c r="H35" s="69">
        <f>G33-D35-G35-J35</f>
        <v>0</v>
      </c>
      <c r="I35" s="69"/>
      <c r="J35" s="69">
        <v>393</v>
      </c>
      <c r="M35" s="1" t="s">
        <v>241</v>
      </c>
    </row>
    <row r="36" spans="1:25" ht="14.25" customHeight="1" x14ac:dyDescent="0.2">
      <c r="D36" s="129" t="s">
        <v>242</v>
      </c>
      <c r="E36" s="130"/>
      <c r="F36" s="131"/>
      <c r="G36" s="73"/>
      <c r="H36" s="129" t="s">
        <v>243</v>
      </c>
      <c r="I36" s="130"/>
      <c r="J36" s="131"/>
    </row>
    <row r="37" spans="1:25" ht="14.25" customHeight="1" x14ac:dyDescent="0.2">
      <c r="D37" s="54">
        <v>7</v>
      </c>
      <c r="E37" s="1">
        <v>4</v>
      </c>
      <c r="F37" s="65">
        <v>1</v>
      </c>
      <c r="G37" s="73"/>
      <c r="H37" s="54">
        <v>1</v>
      </c>
      <c r="I37" s="1">
        <v>4</v>
      </c>
      <c r="J37" s="65">
        <v>7</v>
      </c>
    </row>
    <row r="38" spans="1:25" ht="14.25" customHeight="1" x14ac:dyDescent="0.2">
      <c r="D38" s="54">
        <v>8</v>
      </c>
      <c r="E38" s="1">
        <v>5</v>
      </c>
      <c r="F38" s="65">
        <v>2</v>
      </c>
      <c r="G38" s="73"/>
      <c r="H38" s="54">
        <v>2</v>
      </c>
      <c r="I38" s="1">
        <v>5</v>
      </c>
      <c r="J38" s="65">
        <v>8</v>
      </c>
    </row>
    <row r="39" spans="1:25" ht="14.25" customHeight="1" thickBot="1" x14ac:dyDescent="0.25">
      <c r="D39" s="56">
        <v>9</v>
      </c>
      <c r="E39" s="57">
        <v>6</v>
      </c>
      <c r="F39" s="66">
        <v>3</v>
      </c>
      <c r="G39" s="73"/>
      <c r="H39" s="56">
        <v>3</v>
      </c>
      <c r="I39" s="57">
        <v>6</v>
      </c>
      <c r="J39" s="66">
        <v>9</v>
      </c>
    </row>
    <row r="40" spans="1:25" ht="14.25" customHeight="1" thickBot="1" x14ac:dyDescent="0.25">
      <c r="D40" s="64">
        <v>1</v>
      </c>
      <c r="E40" s="64">
        <v>2</v>
      </c>
      <c r="F40" s="64">
        <v>3</v>
      </c>
      <c r="G40" s="48">
        <v>4</v>
      </c>
      <c r="H40" s="64">
        <v>5</v>
      </c>
      <c r="I40" s="64">
        <v>6</v>
      </c>
      <c r="J40" s="61">
        <v>50</v>
      </c>
      <c r="K40" s="49">
        <v>10</v>
      </c>
      <c r="L40" s="48">
        <v>9</v>
      </c>
      <c r="M40" s="48">
        <v>10</v>
      </c>
      <c r="N40" s="48">
        <v>11</v>
      </c>
      <c r="O40" s="48">
        <v>12</v>
      </c>
      <c r="P40" s="48">
        <v>13</v>
      </c>
      <c r="Q40" s="48">
        <v>14</v>
      </c>
      <c r="R40" s="48">
        <v>15</v>
      </c>
      <c r="S40" s="48">
        <v>16</v>
      </c>
      <c r="T40" s="48">
        <v>17</v>
      </c>
      <c r="U40" s="48">
        <v>18</v>
      </c>
      <c r="V40" s="69" t="s">
        <v>238</v>
      </c>
      <c r="W40" s="69" t="s">
        <v>239</v>
      </c>
      <c r="X40" s="69" t="s">
        <v>240</v>
      </c>
    </row>
    <row r="41" spans="1:25" ht="14.25" customHeight="1" x14ac:dyDescent="0.2">
      <c r="A41" s="4">
        <f>B41/(SUM(M42:M50)*$G$1)</f>
        <v>0.46922808391190074</v>
      </c>
      <c r="B41" s="6">
        <v>124817416.21773514</v>
      </c>
      <c r="C41" s="72">
        <f>ROW(D42)</f>
        <v>42</v>
      </c>
      <c r="D41" s="50" t="s">
        <v>244</v>
      </c>
      <c r="E41" s="51" t="s">
        <v>245</v>
      </c>
      <c r="F41" s="51" t="s">
        <v>223</v>
      </c>
      <c r="G41" s="52" t="s">
        <v>150</v>
      </c>
      <c r="H41" s="51" t="s">
        <v>87</v>
      </c>
      <c r="I41" s="51" t="s">
        <v>88</v>
      </c>
      <c r="J41" s="52" t="s">
        <v>232</v>
      </c>
      <c r="K41" s="52" t="s">
        <v>233</v>
      </c>
      <c r="L41" s="51" t="s">
        <v>32</v>
      </c>
      <c r="M41" s="51" t="s">
        <v>34</v>
      </c>
      <c r="N41" s="51" t="s">
        <v>33</v>
      </c>
      <c r="O41" s="51" t="s">
        <v>140</v>
      </c>
      <c r="P41" s="51" t="s">
        <v>141</v>
      </c>
      <c r="Q41" s="51" t="s">
        <v>142</v>
      </c>
      <c r="R41" s="51" t="s">
        <v>168</v>
      </c>
      <c r="S41" s="51" t="s">
        <v>198</v>
      </c>
      <c r="T41" s="51" t="s">
        <v>262</v>
      </c>
      <c r="U41" s="51" t="s">
        <v>199</v>
      </c>
      <c r="V41" s="51" t="s">
        <v>200</v>
      </c>
      <c r="W41" s="51" t="s">
        <v>202</v>
      </c>
      <c r="X41" s="53" t="s">
        <v>230</v>
      </c>
      <c r="Y41" s="74"/>
    </row>
    <row r="42" spans="1:25" ht="14.25" customHeight="1" x14ac:dyDescent="0.2">
      <c r="C42" s="72">
        <f>COLUMN(D42)</f>
        <v>4</v>
      </c>
      <c r="D42" s="54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277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10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2559.6874521771615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83488.694672590325</v>
      </c>
      <c r="N42" s="8">
        <f>IFERROR(VLOOKUP($G42,角色设定!$AB$9:$AJ$21,MATCH(N$9,角色设定!$AB$9:$AJ$9,0),0)*VLOOKUP($J42,角色成长!$D$17:$J$117,MATCH(N$9,角色成长!$D$17:$J$17,0),0)*角色成长!$L$15,"")</f>
        <v>9010.0998316636087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3.18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0.64896923076923074</v>
      </c>
      <c r="X42" s="55">
        <f>IFERROR(VLOOKUP($G42,角色技能!$D:$M,MATCH(X$9,角色技能!$D$4:$M$4,0),0)*(1+$K42/100*(VLOOKUP($H42,技能模板!$D$13:$U$19,MATCH(技能模板!U$13,技能模板!$D$13:$U$13,0),0)-1)),"")</f>
        <v>0</v>
      </c>
      <c r="Y42" s="74"/>
    </row>
    <row r="43" spans="1:25" ht="14.25" customHeight="1" x14ac:dyDescent="0.2">
      <c r="C43" s="72">
        <f>ROW(X50)</f>
        <v>50</v>
      </c>
      <c r="D43" s="54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5" t="str">
        <f>IFERROR(VLOOKUP($G43,角色技能!$D:$M,MATCH(X$9,角色技能!$D$4:$M$4,0),0)*(1+$K43/100*(VLOOKUP($H43,技能模板!$D$13:$U$19,MATCH(技能模板!U$13,技能模板!$D$13:$U$13,0),0)-1)),"")</f>
        <v/>
      </c>
      <c r="Y43" s="74"/>
    </row>
    <row r="44" spans="1:25" ht="14.25" customHeight="1" x14ac:dyDescent="0.2">
      <c r="C44" s="72">
        <f>COLUMN(X50)</f>
        <v>24</v>
      </c>
      <c r="D44" s="54">
        <f t="shared" si="8"/>
        <v>3</v>
      </c>
      <c r="E44" s="1">
        <f t="shared" si="9"/>
        <v>3</v>
      </c>
      <c r="F44" s="1">
        <f t="shared" si="10"/>
        <v>3</v>
      </c>
      <c r="G44" s="1" t="s">
        <v>247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10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2844.0971690857355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75139.82520533129</v>
      </c>
      <c r="N44" s="8">
        <f>IFERROR(VLOOKUP($G44,角色设定!$AB$9:$AJ$21,MATCH(N$9,角色设定!$AB$9:$AJ$9,0),0)*VLOOKUP($J44,角色成长!$D$17:$J$117,MATCH(N$9,角色成长!$D$17:$J$17,0),0)*角色成长!$L$15,"")</f>
        <v>9010.0998316636087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3.18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0.64896923076923074</v>
      </c>
      <c r="X44" s="55">
        <f>IFERROR(VLOOKUP($G44,角色技能!$D:$M,MATCH(X$9,角色技能!$D$4:$M$4,0),0)*(1+$K44/100*(VLOOKUP($H44,技能模板!$D$13:$U$19,MATCH(技能模板!U$13,技能模板!$D$13:$U$13,0),0)-1)),"")</f>
        <v>0</v>
      </c>
      <c r="Y44" s="74"/>
    </row>
    <row r="45" spans="1:25" ht="14.25" customHeight="1" x14ac:dyDescent="0.2">
      <c r="C45" s="72"/>
      <c r="D45" s="54">
        <f t="shared" si="8"/>
        <v>1</v>
      </c>
      <c r="E45" s="1">
        <f t="shared" si="9"/>
        <v>2</v>
      </c>
      <c r="F45" s="1">
        <f t="shared" si="10"/>
        <v>4</v>
      </c>
      <c r="G45" s="1" t="s">
        <v>250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10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5733.6998928768426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29976.136301533741</v>
      </c>
      <c r="N45" s="8">
        <f>IFERROR(VLOOKUP($G45,角色设定!$AB$9:$AJ$21,MATCH(N$9,角色设定!$AB$9:$AJ$9,0),0)*VLOOKUP($J45,角色成长!$D$17:$J$117,MATCH(N$9,角色成长!$D$17:$J$17,0),0)*角色成长!$L$15,"")</f>
        <v>4095.4999234834586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5.3333333333333313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5">
        <f>IFERROR(VLOOKUP($G45,角色技能!$D:$M,MATCH(X$9,角色技能!$D$4:$M$4,0),0)*(1+$K45/100*(VLOOKUP($H45,技能模板!$D$13:$U$19,MATCH(技能模板!U$13,技能模板!$D$13:$U$13,0),0)-1)),"")</f>
        <v>0</v>
      </c>
      <c r="Y45" s="74"/>
    </row>
    <row r="46" spans="1:25" ht="14.25" customHeight="1" x14ac:dyDescent="0.2">
      <c r="C46" s="72"/>
      <c r="D46" s="54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5" t="str">
        <f>IFERROR(VLOOKUP($G46,角色技能!$D:$M,MATCH(X$9,角色技能!$D$4:$M$4,0),0)*(1+$K46/100*(VLOOKUP($H46,技能模板!$D$13:$U$19,MATCH(技能模板!U$13,技能模板!$D$13:$U$13,0),0)-1)),"")</f>
        <v/>
      </c>
      <c r="Y46" s="74"/>
    </row>
    <row r="47" spans="1:25" ht="14.25" customHeight="1" x14ac:dyDescent="0.2">
      <c r="C47" s="72"/>
      <c r="D47" s="54">
        <f t="shared" si="8"/>
        <v>3</v>
      </c>
      <c r="E47" s="1">
        <f t="shared" si="9"/>
        <v>2</v>
      </c>
      <c r="F47" s="1">
        <f t="shared" si="10"/>
        <v>6</v>
      </c>
      <c r="G47" s="1" t="s">
        <v>252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10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4795.4580922242685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32915.902349061107</v>
      </c>
      <c r="N47" s="8">
        <f>IFERROR(VLOOKUP($G47,角色设定!$AB$9:$AJ$21,MATCH(N$9,角色设定!$AB$9:$AJ$9,0),0)*VLOOKUP($J47,角色成长!$D$17:$J$117,MATCH(N$9,角色成长!$D$17:$J$17,0),0)*角色成长!$L$15,"")</f>
        <v>3685.9499311351128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5.6881883624834302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5">
        <f>IFERROR(VLOOKUP($G47,角色技能!$D:$M,MATCH(X$9,角色技能!$D$4:$M$4,0),0)*(1+$K47/100*(VLOOKUP($H47,技能模板!$D$13:$U$19,MATCH(技能模板!U$13,技能模板!$D$13:$U$13,0),0)-1)),"")</f>
        <v>0</v>
      </c>
      <c r="Y47" s="74"/>
    </row>
    <row r="48" spans="1:25" ht="14.25" customHeight="1" x14ac:dyDescent="0.2">
      <c r="C48" s="72"/>
      <c r="D48" s="54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5" t="str">
        <f>IFERROR(VLOOKUP($G48,角色技能!$D:$M,MATCH(X$9,角色技能!$D$4:$M$4,0),0)*(1+$K48/100*(VLOOKUP($H48,技能模板!$D$13:$U$19,MATCH(技能模板!U$13,技能模板!$D$13:$U$13,0),0)-1)),"")</f>
        <v/>
      </c>
      <c r="Y48" s="74"/>
    </row>
    <row r="49" spans="1:25" ht="14.25" customHeight="1" x14ac:dyDescent="0.2">
      <c r="C49" s="72"/>
      <c r="D49" s="54">
        <f t="shared" si="8"/>
        <v>2</v>
      </c>
      <c r="E49" s="1">
        <f t="shared" si="9"/>
        <v>1</v>
      </c>
      <c r="F49" s="1">
        <f t="shared" si="10"/>
        <v>8</v>
      </c>
      <c r="G49" s="1" t="s">
        <v>256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10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2178.8059592932004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44485.293416973771</v>
      </c>
      <c r="N49" s="8">
        <f>IFERROR(VLOOKUP($G49,角色设定!$AB$9:$AJ$21,MATCH(N$9,角色设定!$AB$9:$AJ$9,0),0)*VLOOKUP($J49,角色成长!$D$17:$J$117,MATCH(N$9,角色成长!$D$17:$J$17,0),0)*角色成长!$L$15,"")</f>
        <v>2293.4799571507365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2.4294434088549157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5">
        <f>IFERROR(VLOOKUP($G49,角色技能!$D:$M,MATCH(X$9,角色技能!$D$4:$M$4,0),0)*(1+$K49/100*(VLOOKUP($H49,技能模板!$D$13:$U$19,MATCH(技能模板!U$13,技能模板!$D$13:$U$13,0),0)-1)),"")</f>
        <v>0.62543520671185693</v>
      </c>
      <c r="Y49" s="74"/>
    </row>
    <row r="50" spans="1:25" ht="14.25" customHeight="1" thickBot="1" x14ac:dyDescent="0.25">
      <c r="C50" s="72"/>
      <c r="D50" s="56" t="str">
        <f t="shared" si="8"/>
        <v/>
      </c>
      <c r="E50" s="57" t="str">
        <f t="shared" si="9"/>
        <v/>
      </c>
      <c r="F50" s="57" t="str">
        <f t="shared" si="10"/>
        <v/>
      </c>
      <c r="G50" s="57"/>
      <c r="H50" s="57" t="str">
        <f>IFERROR(VLOOKUP($G50,角色设定!$R:$S,2,0),"")</f>
        <v/>
      </c>
      <c r="I50" s="57" t="str">
        <f>IFERROR(VLOOKUP(H50,角色设定!$D$9:$E$15,2,0),"")</f>
        <v/>
      </c>
      <c r="J50" s="57" t="str">
        <f>IF($G50="","",J$40)</f>
        <v/>
      </c>
      <c r="K50" s="57" t="str">
        <f>IF($G50="","",K$40)</f>
        <v/>
      </c>
      <c r="L50" s="58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8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8" t="str">
        <f>IFERROR(VLOOKUP($G50,角色设定!$AB$9:$AJ$21,MATCH(N$9,角色设定!$AB$9:$AJ$9,0),0)*VLOOKUP($J50,角色成长!$D$17:$J$117,MATCH(N$9,角色成长!$D$17:$J$17,0),0)*角色成长!$L$15,"")</f>
        <v/>
      </c>
      <c r="O50" s="57" t="str">
        <f>IFERROR(VLOOKUP($G50,角色设定!$AB$9:$AJ$21,MATCH(O$9,角色设定!$AB$9:$AJ$9,0),0)*VLOOKUP($J50,角色成长!$D$17:$J$117,MATCH(O$9,角色成长!$D$17:$J$17,0),0),"")</f>
        <v/>
      </c>
      <c r="P50" s="57" t="str">
        <f>IFERROR(VLOOKUP($G50,角色设定!$AB$9:$AJ$21,MATCH(P$9,角色设定!$AB$9:$AJ$9,0),0)*VLOOKUP($J50,角色成长!$D$17:$J$117,MATCH(P$9,角色成长!$D$17:$J$17,0),0),"")</f>
        <v/>
      </c>
      <c r="Q50" s="57" t="str">
        <f>IFERROR(VLOOKUP($G50,角色设定!$AB$9:$AJ$21,MATCH(Q$9,角色设定!$AB$9:$AJ$9,0),0)*VLOOKUP($J50,角色成长!$D$17:$J$117,MATCH(Q$9,角色成长!$D$17:$J$17,0),0),"")</f>
        <v/>
      </c>
      <c r="R50" s="57" t="str">
        <f>IFERROR(VLOOKUP($G50,角色设定!$AB$9:$AJ$21,MATCH(R$9,角色设定!$AB$9:$AJ$9,0),0),"")</f>
        <v/>
      </c>
      <c r="S50" s="57" t="str">
        <f>IFERROR(VLOOKUP($G50,角色技能!$D:$M,MATCH(S$9,角色技能!$D$4:$M$4,0),0),"")</f>
        <v/>
      </c>
      <c r="T50" s="57" t="str">
        <f>IFERROR(VLOOKUP($G50,角色技能!$D:$M,MATCH(T$9,角色技能!$D$4:$M$4,0),0),"")</f>
        <v/>
      </c>
      <c r="U50" s="59" t="str">
        <f>IFERROR(VLOOKUP($G50,角色技能!$D:$M,MATCH(U$9,角色技能!$D$4:$M$4,0),0)*(1+$K50/100*(VLOOKUP($H50,技能模板!$D$13:$U$19,MATCH(技能模板!R$13,技能模板!$D$13:$U$13,0),0)-1)),"")</f>
        <v/>
      </c>
      <c r="V50" s="59" t="str">
        <f>IFERROR(VLOOKUP($G50,角色技能!$D:$M,MATCH(V$9,角色技能!$D$4:$M$4,0),0)*(1+$K50/100*(VLOOKUP($H50,技能模板!$D$13:$U$19,MATCH(技能模板!S$13,技能模板!$D$13:$U$13,0),0)-1)),"")</f>
        <v/>
      </c>
      <c r="W50" s="59" t="str">
        <f>IFERROR(VLOOKUP($G50,角色技能!$D:$M,MATCH(W$9,角色技能!$D$4:$M$4,0),0)*(1+$K50/100*(VLOOKUP($H50,技能模板!$D$13:$U$19,MATCH(技能模板!T$13,技能模板!$D$13:$U$13,0),0)-1)),"")</f>
        <v/>
      </c>
      <c r="X50" s="60" t="str">
        <f>IFERROR(VLOOKUP($G50,角色技能!$D:$M,MATCH(X$9,角色技能!$D$4:$M$4,0),0)*(1+$K50/100*(VLOOKUP($H50,技能模板!$D$13:$U$19,MATCH(技能模板!U$13,技能模板!$D$13:$U$13,0),0)-1)),"")</f>
        <v/>
      </c>
      <c r="Y50" s="74"/>
    </row>
    <row r="51" spans="1:25" ht="14.25" customHeight="1" thickBot="1" x14ac:dyDescent="0.25">
      <c r="C51" s="2" t="s">
        <v>275</v>
      </c>
      <c r="D51" s="70"/>
      <c r="E51" s="70"/>
      <c r="F51" s="70"/>
      <c r="G51" s="70"/>
      <c r="H51" s="70"/>
      <c r="I51" s="70"/>
      <c r="J51" s="61">
        <v>50</v>
      </c>
      <c r="K51" s="61">
        <v>1</v>
      </c>
      <c r="L51" s="62"/>
      <c r="M51" s="62"/>
      <c r="N51" s="62"/>
      <c r="O51" s="70"/>
      <c r="P51" s="70"/>
      <c r="Q51" s="70"/>
      <c r="R51" s="70"/>
      <c r="S51" s="70">
        <v>0</v>
      </c>
      <c r="T51" s="70">
        <v>0</v>
      </c>
      <c r="U51" s="63"/>
      <c r="V51" s="70" t="s">
        <v>238</v>
      </c>
      <c r="W51" s="70" t="s">
        <v>239</v>
      </c>
      <c r="X51" s="70" t="s">
        <v>240</v>
      </c>
    </row>
    <row r="52" spans="1:25" ht="14.25" customHeight="1" x14ac:dyDescent="0.2">
      <c r="A52" s="4">
        <f>B52/(SUM(M53:M61)*$G$1)</f>
        <v>0.19271280665289534</v>
      </c>
      <c r="B52" s="6">
        <v>64454988.080446512</v>
      </c>
      <c r="C52" s="72">
        <f>ROW(D53)</f>
        <v>53</v>
      </c>
      <c r="D52" s="50" t="s">
        <v>244</v>
      </c>
      <c r="E52" s="51" t="s">
        <v>245</v>
      </c>
      <c r="F52" s="51" t="s">
        <v>224</v>
      </c>
      <c r="G52" s="52" t="s">
        <v>150</v>
      </c>
      <c r="H52" s="51" t="s">
        <v>87</v>
      </c>
      <c r="I52" s="51" t="s">
        <v>88</v>
      </c>
      <c r="J52" s="52" t="s">
        <v>232</v>
      </c>
      <c r="K52" s="52" t="s">
        <v>233</v>
      </c>
      <c r="L52" s="51" t="s">
        <v>32</v>
      </c>
      <c r="M52" s="51" t="s">
        <v>34</v>
      </c>
      <c r="N52" s="51" t="s">
        <v>33</v>
      </c>
      <c r="O52" s="51" t="s">
        <v>140</v>
      </c>
      <c r="P52" s="51" t="s">
        <v>141</v>
      </c>
      <c r="Q52" s="51" t="s">
        <v>142</v>
      </c>
      <c r="R52" s="51" t="s">
        <v>168</v>
      </c>
      <c r="S52" s="51" t="s">
        <v>198</v>
      </c>
      <c r="T52" s="51" t="s">
        <v>262</v>
      </c>
      <c r="U52" s="51" t="s">
        <v>199</v>
      </c>
      <c r="V52" s="51" t="s">
        <v>200</v>
      </c>
      <c r="W52" s="51" t="s">
        <v>202</v>
      </c>
      <c r="X52" s="53" t="s">
        <v>230</v>
      </c>
      <c r="Y52" s="74"/>
    </row>
    <row r="53" spans="1:25" ht="14.25" customHeight="1" x14ac:dyDescent="0.2">
      <c r="C53" s="72">
        <f>COLUMN(D53)</f>
        <v>4</v>
      </c>
      <c r="D53" s="54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266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1</v>
      </c>
      <c r="L53" s="8">
        <f>VLOOKUP($J$51,怪物设定!$X:$AF,MATCH(L$52,怪物设定!$X$23:$AF$23,0),0)</f>
        <v>2124.8545736345113</v>
      </c>
      <c r="M53" s="8">
        <f>VLOOKUP($J$51,怪物设定!$X:$AF,MATCH(M$52,怪物设定!$X$23:$AF$23,0),0)</f>
        <v>37162.373724186727</v>
      </c>
      <c r="N53" s="8">
        <f>VLOOKUP($J$51,怪物设定!$X:$AF,MATCH(N$52,怪物设定!$X$23:$AF$23,0),0)</f>
        <v>81909.998469669183</v>
      </c>
      <c r="O53" s="8">
        <f>VLOOKUP($J$51,怪物设定!$X:$AF,MATCH(O$52,怪物设定!$X$23:$AF$23,0),0)</f>
        <v>0.4</v>
      </c>
      <c r="P53" s="8">
        <f>VLOOKUP($J$51,怪物设定!$X:$AF,MATCH(P$52,怪物设定!$X$23:$AF$23,0),0)</f>
        <v>1.5</v>
      </c>
      <c r="Q53" s="8">
        <f>VLOOKUP($J$51,怪物设定!$X:$AF,MATCH(Q$52,怪物设定!$X$23:$AF$23,0),0)</f>
        <v>1</v>
      </c>
      <c r="R53" s="8"/>
      <c r="S53" s="8">
        <f>VLOOKUP($J$51,怪物设定!$X:$AF,MATCH(S$52,怪物设定!$X$23:$AF$23,0),0)</f>
        <v>10</v>
      </c>
      <c r="T53" s="1">
        <v>5</v>
      </c>
      <c r="U53" s="8">
        <f>VLOOKUP($J$51,怪物设定!$X:$AF,MATCH(U$52,怪物设定!$X$23:$AF$23,0),0)</f>
        <v>2.4999999999999991</v>
      </c>
      <c r="V53" s="6">
        <v>0</v>
      </c>
      <c r="W53" s="6">
        <v>0</v>
      </c>
      <c r="X53" s="55">
        <v>0</v>
      </c>
      <c r="Y53" s="74"/>
    </row>
    <row r="54" spans="1:25" ht="14.25" customHeight="1" x14ac:dyDescent="0.2">
      <c r="C54" s="72">
        <f>ROW(X61)</f>
        <v>61</v>
      </c>
      <c r="D54" s="54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267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1</v>
      </c>
      <c r="L54" s="8">
        <f>VLOOKUP($J$51,怪物设定!$X:$AF,MATCH(L$52,怪物设定!$X$23:$AF$23,0),0)</f>
        <v>2124.8545736345113</v>
      </c>
      <c r="M54" s="8">
        <f>VLOOKUP($J$51,怪物设定!$X:$AF,MATCH(M$52,怪物设定!$X$23:$AF$23,0),0)</f>
        <v>37162.373724186727</v>
      </c>
      <c r="N54" s="8">
        <f>VLOOKUP($J$51,怪物设定!$X:$AF,MATCH(N$52,怪物设定!$X$23:$AF$23,0),0)</f>
        <v>81909.998469669183</v>
      </c>
      <c r="O54" s="8">
        <f>VLOOKUP($J$51,怪物设定!$X:$AF,MATCH(O$52,怪物设定!$X$23:$AF$23,0),0)</f>
        <v>0.4</v>
      </c>
      <c r="P54" s="8">
        <f>VLOOKUP($J$51,怪物设定!$X:$AF,MATCH(P$52,怪物设定!$X$23:$AF$23,0),0)</f>
        <v>1.5</v>
      </c>
      <c r="Q54" s="8">
        <f>VLOOKUP($J$51,怪物设定!$X:$AF,MATCH(Q$52,怪物设定!$X$23:$AF$23,0),0)</f>
        <v>1</v>
      </c>
      <c r="S54" s="8">
        <f>VLOOKUP($J$51,怪物设定!$X:$AF,MATCH(S$52,怪物设定!$X$23:$AF$23,0),0)</f>
        <v>10</v>
      </c>
      <c r="T54" s="1">
        <v>5</v>
      </c>
      <c r="U54" s="8">
        <f>VLOOKUP($J$51,怪物设定!$X:$AF,MATCH(U$52,怪物设定!$X$23:$AF$23,0),0)</f>
        <v>2.4999999999999991</v>
      </c>
      <c r="V54" s="6">
        <v>0</v>
      </c>
      <c r="W54" s="6">
        <v>0</v>
      </c>
      <c r="X54" s="55">
        <v>0</v>
      </c>
      <c r="Y54" s="74"/>
    </row>
    <row r="55" spans="1:25" ht="14.25" customHeight="1" x14ac:dyDescent="0.2">
      <c r="C55" s="72">
        <f>COLUMN(X50)</f>
        <v>24</v>
      </c>
      <c r="D55" s="54">
        <f t="shared" si="12"/>
        <v>3</v>
      </c>
      <c r="E55" s="1">
        <f t="shared" si="13"/>
        <v>5</v>
      </c>
      <c r="F55" s="1">
        <f t="shared" si="14"/>
        <v>3</v>
      </c>
      <c r="G55" s="1" t="s">
        <v>268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1</v>
      </c>
      <c r="L55" s="8">
        <f>VLOOKUP($J$51,怪物设定!$X:$AF,MATCH(L$52,怪物设定!$X$23:$AF$23,0),0)</f>
        <v>2124.8545736345113</v>
      </c>
      <c r="M55" s="8">
        <f>VLOOKUP($J$51,怪物设定!$X:$AF,MATCH(M$52,怪物设定!$X$23:$AF$23,0),0)</f>
        <v>37162.373724186727</v>
      </c>
      <c r="N55" s="8">
        <f>VLOOKUP($J$51,怪物设定!$X:$AF,MATCH(N$52,怪物设定!$X$23:$AF$23,0),0)</f>
        <v>81909.998469669183</v>
      </c>
      <c r="O55" s="8">
        <f>VLOOKUP($J$51,怪物设定!$X:$AF,MATCH(O$52,怪物设定!$X$23:$AF$23,0),0)</f>
        <v>0.4</v>
      </c>
      <c r="P55" s="8">
        <f>VLOOKUP($J$51,怪物设定!$X:$AF,MATCH(P$52,怪物设定!$X$23:$AF$23,0),0)</f>
        <v>1.5</v>
      </c>
      <c r="Q55" s="8">
        <f>VLOOKUP($J$51,怪物设定!$X:$AF,MATCH(Q$52,怪物设定!$X$23:$AF$23,0),0)</f>
        <v>1</v>
      </c>
      <c r="S55" s="8">
        <f>VLOOKUP($J$51,怪物设定!$X:$AF,MATCH(S$52,怪物设定!$X$23:$AF$23,0),0)</f>
        <v>10</v>
      </c>
      <c r="T55" s="1">
        <v>5</v>
      </c>
      <c r="U55" s="8">
        <f>VLOOKUP($J$51,怪物设定!$X:$AF,MATCH(U$52,怪物设定!$X$23:$AF$23,0),0)</f>
        <v>2.4999999999999991</v>
      </c>
      <c r="V55" s="6">
        <v>0</v>
      </c>
      <c r="W55" s="6">
        <v>0</v>
      </c>
      <c r="X55" s="55">
        <v>0</v>
      </c>
      <c r="Y55" s="74"/>
    </row>
    <row r="56" spans="1:25" ht="14.25" customHeight="1" x14ac:dyDescent="0.2">
      <c r="C56" s="72"/>
      <c r="D56" s="54">
        <f t="shared" si="12"/>
        <v>1</v>
      </c>
      <c r="E56" s="1">
        <f t="shared" si="13"/>
        <v>6</v>
      </c>
      <c r="F56" s="1">
        <f t="shared" si="14"/>
        <v>4</v>
      </c>
      <c r="G56" s="1" t="s">
        <v>269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1</v>
      </c>
      <c r="L56" s="8">
        <f>VLOOKUP($J$51,怪物设定!$X:$AF,MATCH(L$52,怪物设定!$X$23:$AF$23,0),0)</f>
        <v>2124.8545736345113</v>
      </c>
      <c r="M56" s="8">
        <f>VLOOKUP($J$51,怪物设定!$X:$AF,MATCH(M$52,怪物设定!$X$23:$AF$23,0),0)</f>
        <v>37162.373724186727</v>
      </c>
      <c r="N56" s="8">
        <f>VLOOKUP($J$51,怪物设定!$X:$AF,MATCH(N$52,怪物设定!$X$23:$AF$23,0),0)</f>
        <v>81909.998469669183</v>
      </c>
      <c r="O56" s="8">
        <f>VLOOKUP($J$51,怪物设定!$X:$AF,MATCH(O$52,怪物设定!$X$23:$AF$23,0),0)</f>
        <v>0.4</v>
      </c>
      <c r="P56" s="8">
        <f>VLOOKUP($J$51,怪物设定!$X:$AF,MATCH(P$52,怪物设定!$X$23:$AF$23,0),0)</f>
        <v>1.5</v>
      </c>
      <c r="Q56" s="8">
        <f>VLOOKUP($J$51,怪物设定!$X:$AF,MATCH(Q$52,怪物设定!$X$23:$AF$23,0),0)</f>
        <v>1</v>
      </c>
      <c r="S56" s="8">
        <f>VLOOKUP($J$51,怪物设定!$X:$AF,MATCH(S$52,怪物设定!$X$23:$AF$23,0),0)</f>
        <v>10</v>
      </c>
      <c r="T56" s="1">
        <v>5</v>
      </c>
      <c r="U56" s="8">
        <f>VLOOKUP($J$51,怪物设定!$X:$AF,MATCH(U$52,怪物设定!$X$23:$AF$23,0),0)</f>
        <v>2.4999999999999991</v>
      </c>
      <c r="V56" s="6">
        <v>0</v>
      </c>
      <c r="W56" s="6">
        <v>0</v>
      </c>
      <c r="X56" s="55">
        <v>0</v>
      </c>
      <c r="Y56" s="74"/>
    </row>
    <row r="57" spans="1:25" ht="14.25" customHeight="1" x14ac:dyDescent="0.2">
      <c r="C57" s="72"/>
      <c r="D57" s="54">
        <f t="shared" si="12"/>
        <v>2</v>
      </c>
      <c r="E57" s="1">
        <f t="shared" si="13"/>
        <v>6</v>
      </c>
      <c r="F57" s="1">
        <f t="shared" si="14"/>
        <v>5</v>
      </c>
      <c r="G57" s="1" t="s">
        <v>270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1</v>
      </c>
      <c r="L57" s="8">
        <f>VLOOKUP($J$51,怪物设定!$X:$AF,MATCH(L$52,怪物设定!$X$23:$AF$23,0),0)</f>
        <v>2124.8545736345113</v>
      </c>
      <c r="M57" s="8">
        <f>VLOOKUP($J$51,怪物设定!$X:$AF,MATCH(M$52,怪物设定!$X$23:$AF$23,0),0)</f>
        <v>37162.373724186727</v>
      </c>
      <c r="N57" s="8">
        <f>VLOOKUP($J$51,怪物设定!$X:$AF,MATCH(N$52,怪物设定!$X$23:$AF$23,0),0)</f>
        <v>81909.998469669183</v>
      </c>
      <c r="O57" s="8">
        <f>VLOOKUP($J$51,怪物设定!$X:$AF,MATCH(O$52,怪物设定!$X$23:$AF$23,0),0)</f>
        <v>0.4</v>
      </c>
      <c r="P57" s="8">
        <f>VLOOKUP($J$51,怪物设定!$X:$AF,MATCH(P$52,怪物设定!$X$23:$AF$23,0),0)</f>
        <v>1.5</v>
      </c>
      <c r="Q57" s="8">
        <f>VLOOKUP($J$51,怪物设定!$X:$AF,MATCH(Q$52,怪物设定!$X$23:$AF$23,0),0)</f>
        <v>1</v>
      </c>
      <c r="S57" s="8">
        <f>VLOOKUP($J$51,怪物设定!$X:$AF,MATCH(S$52,怪物设定!$X$23:$AF$23,0),0)</f>
        <v>10</v>
      </c>
      <c r="T57" s="1">
        <v>5</v>
      </c>
      <c r="U57" s="8">
        <f>VLOOKUP($J$51,怪物设定!$X:$AF,MATCH(U$52,怪物设定!$X$23:$AF$23,0),0)</f>
        <v>2.4999999999999991</v>
      </c>
      <c r="V57" s="6">
        <v>0</v>
      </c>
      <c r="W57" s="6">
        <v>0</v>
      </c>
      <c r="X57" s="55">
        <v>0</v>
      </c>
      <c r="Y57" s="74"/>
    </row>
    <row r="58" spans="1:25" ht="14.25" customHeight="1" x14ac:dyDescent="0.2">
      <c r="C58" s="72"/>
      <c r="D58" s="54">
        <f t="shared" si="12"/>
        <v>3</v>
      </c>
      <c r="E58" s="1">
        <f t="shared" si="13"/>
        <v>6</v>
      </c>
      <c r="F58" s="1">
        <f t="shared" si="14"/>
        <v>6</v>
      </c>
      <c r="G58" s="1" t="s">
        <v>271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1</v>
      </c>
      <c r="L58" s="8">
        <f>VLOOKUP($J$51,怪物设定!$X:$AF,MATCH(L$52,怪物设定!$X$23:$AF$23,0),0)</f>
        <v>2124.8545736345113</v>
      </c>
      <c r="M58" s="8">
        <f>VLOOKUP($J$51,怪物设定!$X:$AF,MATCH(M$52,怪物设定!$X$23:$AF$23,0),0)</f>
        <v>37162.373724186727</v>
      </c>
      <c r="N58" s="8">
        <f>VLOOKUP($J$51,怪物设定!$X:$AF,MATCH(N$52,怪物设定!$X$23:$AF$23,0),0)</f>
        <v>81909.998469669183</v>
      </c>
      <c r="O58" s="8">
        <f>VLOOKUP($J$51,怪物设定!$X:$AF,MATCH(O$52,怪物设定!$X$23:$AF$23,0),0)</f>
        <v>0.4</v>
      </c>
      <c r="P58" s="8">
        <f>VLOOKUP($J$51,怪物设定!$X:$AF,MATCH(P$52,怪物设定!$X$23:$AF$23,0),0)</f>
        <v>1.5</v>
      </c>
      <c r="Q58" s="8">
        <f>VLOOKUP($J$51,怪物设定!$X:$AF,MATCH(Q$52,怪物设定!$X$23:$AF$23,0),0)</f>
        <v>1</v>
      </c>
      <c r="S58" s="8">
        <f>VLOOKUP($J$51,怪物设定!$X:$AF,MATCH(S$52,怪物设定!$X$23:$AF$23,0),0)</f>
        <v>10</v>
      </c>
      <c r="T58" s="1">
        <v>5</v>
      </c>
      <c r="U58" s="8">
        <f>VLOOKUP($J$51,怪物设定!$X:$AF,MATCH(U$52,怪物设定!$X$23:$AF$23,0),0)</f>
        <v>2.4999999999999991</v>
      </c>
      <c r="V58" s="6">
        <v>0</v>
      </c>
      <c r="W58" s="6">
        <v>0</v>
      </c>
      <c r="X58" s="55">
        <v>0</v>
      </c>
      <c r="Y58" s="74"/>
    </row>
    <row r="59" spans="1:25" ht="14.25" customHeight="1" x14ac:dyDescent="0.2">
      <c r="C59" s="72"/>
      <c r="D59" s="54">
        <f t="shared" si="12"/>
        <v>1</v>
      </c>
      <c r="E59" s="1">
        <f t="shared" si="13"/>
        <v>7</v>
      </c>
      <c r="F59" s="1">
        <f t="shared" si="14"/>
        <v>7</v>
      </c>
      <c r="G59" s="1" t="s">
        <v>272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1</v>
      </c>
      <c r="L59" s="8">
        <f>VLOOKUP($J$51,怪物设定!$X:$AF,MATCH(L$52,怪物设定!$X$23:$AF$23,0),0)</f>
        <v>2124.8545736345113</v>
      </c>
      <c r="M59" s="8">
        <f>VLOOKUP($J$51,怪物设定!$X:$AF,MATCH(M$52,怪物设定!$X$23:$AF$23,0),0)</f>
        <v>37162.373724186727</v>
      </c>
      <c r="N59" s="8">
        <f>VLOOKUP($J$51,怪物设定!$X:$AF,MATCH(N$52,怪物设定!$X$23:$AF$23,0),0)</f>
        <v>81909.998469669183</v>
      </c>
      <c r="O59" s="8">
        <f>VLOOKUP($J$51,怪物设定!$X:$AF,MATCH(O$52,怪物设定!$X$23:$AF$23,0),0)</f>
        <v>0.4</v>
      </c>
      <c r="P59" s="8">
        <f>VLOOKUP($J$51,怪物设定!$X:$AF,MATCH(P$52,怪物设定!$X$23:$AF$23,0),0)</f>
        <v>1.5</v>
      </c>
      <c r="Q59" s="8">
        <f>VLOOKUP($J$51,怪物设定!$X:$AF,MATCH(Q$52,怪物设定!$X$23:$AF$23,0),0)</f>
        <v>1</v>
      </c>
      <c r="S59" s="8">
        <f>VLOOKUP($J$51,怪物设定!$X:$AF,MATCH(S$52,怪物设定!$X$23:$AF$23,0),0)</f>
        <v>10</v>
      </c>
      <c r="T59" s="1">
        <v>5</v>
      </c>
      <c r="U59" s="8">
        <f>VLOOKUP($J$51,怪物设定!$X:$AF,MATCH(U$52,怪物设定!$X$23:$AF$23,0),0)</f>
        <v>2.4999999999999991</v>
      </c>
      <c r="V59" s="6">
        <v>0</v>
      </c>
      <c r="W59" s="6">
        <v>0</v>
      </c>
      <c r="X59" s="55">
        <v>0</v>
      </c>
      <c r="Y59" s="74"/>
    </row>
    <row r="60" spans="1:25" ht="14.25" customHeight="1" x14ac:dyDescent="0.2">
      <c r="C60" s="72"/>
      <c r="D60" s="54">
        <f t="shared" si="12"/>
        <v>2</v>
      </c>
      <c r="E60" s="1">
        <f t="shared" si="13"/>
        <v>7</v>
      </c>
      <c r="F60" s="1">
        <f t="shared" si="14"/>
        <v>8</v>
      </c>
      <c r="G60" s="1" t="s">
        <v>273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1</v>
      </c>
      <c r="L60" s="8">
        <f>VLOOKUP($J$51,怪物设定!$X:$AF,MATCH(L$52,怪物设定!$X$23:$AF$23,0),0)</f>
        <v>2124.8545736345113</v>
      </c>
      <c r="M60" s="8">
        <f>VLOOKUP($J$51,怪物设定!$X:$AF,MATCH(M$52,怪物设定!$X$23:$AF$23,0),0)</f>
        <v>37162.373724186727</v>
      </c>
      <c r="N60" s="8">
        <f>VLOOKUP($J$51,怪物设定!$X:$AF,MATCH(N$52,怪物设定!$X$23:$AF$23,0),0)</f>
        <v>81909.998469669183</v>
      </c>
      <c r="O60" s="8">
        <f>VLOOKUP($J$51,怪物设定!$X:$AF,MATCH(O$52,怪物设定!$X$23:$AF$23,0),0)</f>
        <v>0.4</v>
      </c>
      <c r="P60" s="8">
        <f>VLOOKUP($J$51,怪物设定!$X:$AF,MATCH(P$52,怪物设定!$X$23:$AF$23,0),0)</f>
        <v>1.5</v>
      </c>
      <c r="Q60" s="8">
        <f>VLOOKUP($J$51,怪物设定!$X:$AF,MATCH(Q$52,怪物设定!$X$23:$AF$23,0),0)</f>
        <v>1</v>
      </c>
      <c r="S60" s="8">
        <f>VLOOKUP($J$51,怪物设定!$X:$AF,MATCH(S$52,怪物设定!$X$23:$AF$23,0),0)</f>
        <v>10</v>
      </c>
      <c r="T60" s="1">
        <v>5</v>
      </c>
      <c r="U60" s="8">
        <f>VLOOKUP($J$51,怪物设定!$X:$AF,MATCH(U$52,怪物设定!$X$23:$AF$23,0),0)</f>
        <v>2.4999999999999991</v>
      </c>
      <c r="V60" s="6">
        <v>0</v>
      </c>
      <c r="W60" s="6">
        <v>0</v>
      </c>
      <c r="X60" s="55">
        <v>2</v>
      </c>
      <c r="Y60" s="74"/>
    </row>
    <row r="61" spans="1:25" ht="14.25" customHeight="1" thickBot="1" x14ac:dyDescent="0.25">
      <c r="C61" s="72"/>
      <c r="D61" s="56">
        <f t="shared" si="12"/>
        <v>3</v>
      </c>
      <c r="E61" s="57">
        <f t="shared" si="13"/>
        <v>7</v>
      </c>
      <c r="F61" s="57">
        <f t="shared" si="14"/>
        <v>9</v>
      </c>
      <c r="G61" s="57" t="s">
        <v>274</v>
      </c>
      <c r="H61" s="57" t="str">
        <f>IFERROR(VLOOKUP($G61,角色设定!$R:$S,2,0),"")</f>
        <v/>
      </c>
      <c r="I61" s="57" t="str">
        <f>IFERROR(VLOOKUP(H61,角色设定!$D$9:$E$15,2,0),"")</f>
        <v/>
      </c>
      <c r="J61" s="57">
        <f t="shared" si="15"/>
        <v>50</v>
      </c>
      <c r="K61" s="57">
        <f t="shared" si="15"/>
        <v>1</v>
      </c>
      <c r="L61" s="58">
        <f>VLOOKUP($J$51,怪物设定!$X:$AF,MATCH(L$52,怪物设定!$X$23:$AF$23,0),0)</f>
        <v>2124.8545736345113</v>
      </c>
      <c r="M61" s="58">
        <f>VLOOKUP($J$51,怪物设定!$X:$AF,MATCH(M$52,怪物设定!$X$23:$AF$23,0),0)</f>
        <v>37162.373724186727</v>
      </c>
      <c r="N61" s="58">
        <f>VLOOKUP($J$51,怪物设定!$X:$AF,MATCH(N$52,怪物设定!$X$23:$AF$23,0),0)</f>
        <v>81909.998469669183</v>
      </c>
      <c r="O61" s="58">
        <f>VLOOKUP($J$51,怪物设定!$X:$AF,MATCH(O$52,怪物设定!$X$23:$AF$23,0),0)</f>
        <v>0.4</v>
      </c>
      <c r="P61" s="58">
        <f>VLOOKUP($J$51,怪物设定!$X:$AF,MATCH(P$52,怪物设定!$X$23:$AF$23,0),0)</f>
        <v>1.5</v>
      </c>
      <c r="Q61" s="58">
        <f>VLOOKUP($J$51,怪物设定!$X:$AF,MATCH(Q$52,怪物设定!$X$23:$AF$23,0),0)</f>
        <v>1</v>
      </c>
      <c r="R61" s="57"/>
      <c r="S61" s="58">
        <f>VLOOKUP($J$51,怪物设定!$X:$AF,MATCH(S$52,怪物设定!$X$23:$AF$23,0),0)</f>
        <v>10</v>
      </c>
      <c r="T61" s="57">
        <v>5</v>
      </c>
      <c r="U61" s="58">
        <f>VLOOKUP($J$51,怪物设定!$X:$AF,MATCH(U$52,怪物设定!$X$23:$AF$23,0),0)</f>
        <v>2.4999999999999991</v>
      </c>
      <c r="V61" s="59">
        <v>0</v>
      </c>
      <c r="W61" s="59">
        <v>0</v>
      </c>
      <c r="X61" s="60">
        <v>0</v>
      </c>
      <c r="Y61" s="74"/>
    </row>
    <row r="62" spans="1:25" ht="14.25" customHeight="1" x14ac:dyDescent="0.2"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2023-02-01T06:34:13Z</dcterms:modified>
</cp:coreProperties>
</file>
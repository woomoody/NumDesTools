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751FC06F-D96E-4F5E-B957-B55A23D0EE64}" xr6:coauthVersionLast="47" xr6:coauthVersionMax="47" xr10:uidLastSave="{00000000-0000-0000-0000-000000000000}"/>
  <bookViews>
    <workbookView xWindow="28680" yWindow="-165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模型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4" i="9" l="1"/>
  <c r="U55" i="9"/>
  <c r="U56" i="9"/>
  <c r="U57" i="9"/>
  <c r="U58" i="9"/>
  <c r="U59" i="9"/>
  <c r="U60" i="9"/>
  <c r="U61" i="9"/>
  <c r="U53" i="9"/>
  <c r="L54" i="9"/>
  <c r="M54" i="9"/>
  <c r="N54" i="9"/>
  <c r="O54" i="9"/>
  <c r="P54" i="9"/>
  <c r="L55" i="9"/>
  <c r="M55" i="9"/>
  <c r="N55" i="9"/>
  <c r="O55" i="9"/>
  <c r="P55" i="9"/>
  <c r="L56" i="9"/>
  <c r="M56" i="9"/>
  <c r="N56" i="9"/>
  <c r="O56" i="9"/>
  <c r="P56" i="9"/>
  <c r="L57" i="9"/>
  <c r="M57" i="9"/>
  <c r="N57" i="9"/>
  <c r="O57" i="9"/>
  <c r="P57" i="9"/>
  <c r="L58" i="9"/>
  <c r="M58" i="9"/>
  <c r="N58" i="9"/>
  <c r="O58" i="9"/>
  <c r="P58" i="9"/>
  <c r="L59" i="9"/>
  <c r="M59" i="9"/>
  <c r="N59" i="9"/>
  <c r="O59" i="9"/>
  <c r="P59" i="9"/>
  <c r="L60" i="9"/>
  <c r="M60" i="9"/>
  <c r="N60" i="9"/>
  <c r="O60" i="9"/>
  <c r="P60" i="9"/>
  <c r="L61" i="9"/>
  <c r="M61" i="9"/>
  <c r="N61" i="9"/>
  <c r="O61" i="9"/>
  <c r="P61" i="9"/>
  <c r="Q54" i="9"/>
  <c r="Q55" i="9"/>
  <c r="Q56" i="9"/>
  <c r="Q57" i="9"/>
  <c r="Q58" i="9"/>
  <c r="Q59" i="9"/>
  <c r="Q60" i="9"/>
  <c r="Q61" i="9"/>
  <c r="S61" i="9"/>
  <c r="M42" i="9"/>
  <c r="M53" i="9"/>
  <c r="S54" i="9"/>
  <c r="S55" i="9"/>
  <c r="S56" i="9"/>
  <c r="S57" i="9"/>
  <c r="S58" i="9"/>
  <c r="S59" i="9"/>
  <c r="S60" i="9"/>
  <c r="N53" i="9"/>
  <c r="O53" i="9"/>
  <c r="P53" i="9"/>
  <c r="Q53" i="9"/>
  <c r="S53" i="9"/>
  <c r="L53" i="9"/>
  <c r="Y26" i="11"/>
  <c r="Z26" i="11"/>
  <c r="AA26" i="11"/>
  <c r="AB26" i="11"/>
  <c r="AC26" i="11"/>
  <c r="AD26" i="11"/>
  <c r="AE26" i="11"/>
  <c r="AF26" i="11"/>
  <c r="Y27" i="11"/>
  <c r="Z27" i="11"/>
  <c r="AA27" i="11"/>
  <c r="AB27" i="11"/>
  <c r="AC27" i="11"/>
  <c r="AD27" i="11"/>
  <c r="AE27" i="11"/>
  <c r="AF27" i="11"/>
  <c r="Y28" i="11"/>
  <c r="Z28" i="11"/>
  <c r="AA28" i="11"/>
  <c r="AB28" i="11"/>
  <c r="AC28" i="11"/>
  <c r="AD28" i="11"/>
  <c r="AE28" i="11"/>
  <c r="AF28" i="11"/>
  <c r="Y29" i="11"/>
  <c r="Z29" i="11"/>
  <c r="AA29" i="11"/>
  <c r="AB29" i="11"/>
  <c r="AC29" i="11"/>
  <c r="AD29" i="11"/>
  <c r="AE29" i="11"/>
  <c r="AF29" i="11"/>
  <c r="Y30" i="11"/>
  <c r="Z30" i="11"/>
  <c r="AA30" i="11"/>
  <c r="AB30" i="11"/>
  <c r="AC30" i="11"/>
  <c r="AD30" i="11"/>
  <c r="AE30" i="11"/>
  <c r="AF30" i="11"/>
  <c r="Y31" i="11"/>
  <c r="Z31" i="11"/>
  <c r="AA31" i="11"/>
  <c r="AB31" i="11"/>
  <c r="AC31" i="11"/>
  <c r="AD31" i="11"/>
  <c r="AE31" i="11"/>
  <c r="AF31" i="11"/>
  <c r="Y32" i="11"/>
  <c r="Z32" i="11"/>
  <c r="AA32" i="11"/>
  <c r="AB32" i="11"/>
  <c r="AC32" i="11"/>
  <c r="AD32" i="11"/>
  <c r="AE32" i="11"/>
  <c r="AF32" i="11"/>
  <c r="Y33" i="11"/>
  <c r="Z33" i="11"/>
  <c r="AA33" i="11"/>
  <c r="AB33" i="11"/>
  <c r="AC33" i="11"/>
  <c r="AD33" i="11"/>
  <c r="AE33" i="11"/>
  <c r="AF33" i="11"/>
  <c r="Y34" i="11"/>
  <c r="Z34" i="11"/>
  <c r="AA34" i="11"/>
  <c r="AB34" i="11"/>
  <c r="AC34" i="11"/>
  <c r="AD34" i="11"/>
  <c r="AE34" i="11"/>
  <c r="AF34" i="11"/>
  <c r="Y35" i="11"/>
  <c r="Z35" i="11"/>
  <c r="AA35" i="11"/>
  <c r="AB35" i="11"/>
  <c r="AC35" i="11"/>
  <c r="AD35" i="11"/>
  <c r="AE35" i="11"/>
  <c r="AF35" i="11"/>
  <c r="Y36" i="11"/>
  <c r="Z36" i="11"/>
  <c r="AA36" i="11"/>
  <c r="AB36" i="11"/>
  <c r="AC36" i="11"/>
  <c r="AD36" i="11"/>
  <c r="AE36" i="11"/>
  <c r="AF36" i="11"/>
  <c r="Y37" i="11"/>
  <c r="Z37" i="11"/>
  <c r="AA37" i="11"/>
  <c r="AB37" i="11"/>
  <c r="AC37" i="11"/>
  <c r="AD37" i="11"/>
  <c r="AE37" i="11"/>
  <c r="AF37" i="11"/>
  <c r="Y38" i="11"/>
  <c r="Z38" i="11"/>
  <c r="AA38" i="11"/>
  <c r="AB38" i="11"/>
  <c r="AC38" i="11"/>
  <c r="AD38" i="11"/>
  <c r="AE38" i="11"/>
  <c r="AF38" i="11"/>
  <c r="Y39" i="11"/>
  <c r="Z39" i="11"/>
  <c r="AA39" i="11"/>
  <c r="AB39" i="11"/>
  <c r="AC39" i="11"/>
  <c r="AD39" i="11"/>
  <c r="AE39" i="11"/>
  <c r="AF39" i="11"/>
  <c r="Y40" i="11"/>
  <c r="Z40" i="11"/>
  <c r="AA40" i="11"/>
  <c r="AB40" i="11"/>
  <c r="AC40" i="11"/>
  <c r="AD40" i="11"/>
  <c r="AE40" i="11"/>
  <c r="AF40" i="11"/>
  <c r="Y41" i="11"/>
  <c r="Z41" i="11"/>
  <c r="AA41" i="11"/>
  <c r="AB41" i="11"/>
  <c r="AC41" i="11"/>
  <c r="AD41" i="11"/>
  <c r="AE41" i="11"/>
  <c r="AF41" i="11"/>
  <c r="Y42" i="11"/>
  <c r="Z42" i="11"/>
  <c r="AA42" i="11"/>
  <c r="AB42" i="11"/>
  <c r="AC42" i="11"/>
  <c r="AD42" i="11"/>
  <c r="AE42" i="11"/>
  <c r="AF42" i="11"/>
  <c r="Y43" i="11"/>
  <c r="Z43" i="11"/>
  <c r="AA43" i="11"/>
  <c r="AB43" i="11"/>
  <c r="AC43" i="11"/>
  <c r="AD43" i="11"/>
  <c r="AE43" i="11"/>
  <c r="AF43" i="11"/>
  <c r="Y44" i="11"/>
  <c r="Z44" i="11"/>
  <c r="AA44" i="11"/>
  <c r="AB44" i="11"/>
  <c r="AC44" i="11"/>
  <c r="AD44" i="11"/>
  <c r="AE44" i="11"/>
  <c r="AF44" i="11"/>
  <c r="Y45" i="11"/>
  <c r="Z45" i="11"/>
  <c r="AA45" i="11"/>
  <c r="AB45" i="11"/>
  <c r="AC45" i="11"/>
  <c r="AD45" i="11"/>
  <c r="AE45" i="11"/>
  <c r="AF45" i="11"/>
  <c r="Y46" i="11"/>
  <c r="Z46" i="11"/>
  <c r="AA46" i="11"/>
  <c r="AB46" i="11"/>
  <c r="AC46" i="11"/>
  <c r="AD46" i="11"/>
  <c r="AE46" i="11"/>
  <c r="AF46" i="11"/>
  <c r="Y47" i="11"/>
  <c r="Z47" i="11"/>
  <c r="AA47" i="11"/>
  <c r="AB47" i="11"/>
  <c r="AC47" i="11"/>
  <c r="AD47" i="11"/>
  <c r="AE47" i="11"/>
  <c r="AF47" i="11"/>
  <c r="Y48" i="11"/>
  <c r="Z48" i="11"/>
  <c r="AA48" i="11"/>
  <c r="AB48" i="11"/>
  <c r="AC48" i="11"/>
  <c r="AD48" i="11"/>
  <c r="AE48" i="11"/>
  <c r="AF48" i="11"/>
  <c r="Y49" i="11"/>
  <c r="Z49" i="11"/>
  <c r="AA49" i="11"/>
  <c r="AB49" i="11"/>
  <c r="AC49" i="11"/>
  <c r="AD49" i="11"/>
  <c r="AE49" i="11"/>
  <c r="AF49" i="11"/>
  <c r="Y50" i="11"/>
  <c r="Z50" i="11"/>
  <c r="AA50" i="11"/>
  <c r="AB50" i="11"/>
  <c r="AC50" i="11"/>
  <c r="AD50" i="11"/>
  <c r="AE50" i="11"/>
  <c r="AF50" i="11"/>
  <c r="Y51" i="11"/>
  <c r="Z51" i="11"/>
  <c r="AA51" i="11"/>
  <c r="AB51" i="11"/>
  <c r="AC51" i="11"/>
  <c r="AD51" i="11"/>
  <c r="AE51" i="11"/>
  <c r="AF51" i="11"/>
  <c r="Y52" i="11"/>
  <c r="Z52" i="11"/>
  <c r="AA52" i="11"/>
  <c r="AB52" i="11"/>
  <c r="AC52" i="11"/>
  <c r="AD52" i="11"/>
  <c r="AE52" i="11"/>
  <c r="AF52" i="11"/>
  <c r="Y53" i="11"/>
  <c r="Z53" i="11"/>
  <c r="AA53" i="11"/>
  <c r="AB53" i="11"/>
  <c r="AC53" i="11"/>
  <c r="AD53" i="11"/>
  <c r="AE53" i="11"/>
  <c r="AF53" i="11"/>
  <c r="Y54" i="11"/>
  <c r="Z54" i="11"/>
  <c r="AA54" i="11"/>
  <c r="AB54" i="11"/>
  <c r="AC54" i="11"/>
  <c r="AD54" i="11"/>
  <c r="AE54" i="11"/>
  <c r="AF54" i="11"/>
  <c r="Y55" i="11"/>
  <c r="Z55" i="11"/>
  <c r="AA55" i="11"/>
  <c r="AB55" i="11"/>
  <c r="AC55" i="11"/>
  <c r="AD55" i="11"/>
  <c r="AE55" i="11"/>
  <c r="AF55" i="11"/>
  <c r="Y56" i="11"/>
  <c r="Z56" i="11"/>
  <c r="AA56" i="11"/>
  <c r="AB56" i="11"/>
  <c r="AC56" i="11"/>
  <c r="AD56" i="11"/>
  <c r="AE56" i="11"/>
  <c r="AF56" i="11"/>
  <c r="Y57" i="11"/>
  <c r="Z57" i="11"/>
  <c r="AA57" i="11"/>
  <c r="AB57" i="11"/>
  <c r="AC57" i="11"/>
  <c r="AD57" i="11"/>
  <c r="AE57" i="11"/>
  <c r="AF57" i="11"/>
  <c r="Y58" i="11"/>
  <c r="Z58" i="11"/>
  <c r="AA58" i="11"/>
  <c r="AB58" i="11"/>
  <c r="AC58" i="11"/>
  <c r="AD58" i="11"/>
  <c r="AE58" i="11"/>
  <c r="AF58" i="11"/>
  <c r="Y59" i="11"/>
  <c r="Z59" i="11"/>
  <c r="AA59" i="11"/>
  <c r="AB59" i="11"/>
  <c r="AC59" i="11"/>
  <c r="AD59" i="11"/>
  <c r="AE59" i="11"/>
  <c r="AF59" i="11"/>
  <c r="Y60" i="11"/>
  <c r="Z60" i="11"/>
  <c r="AA60" i="11"/>
  <c r="AB60" i="11"/>
  <c r="AC60" i="11"/>
  <c r="AD60" i="11"/>
  <c r="AE60" i="11"/>
  <c r="AF60" i="11"/>
  <c r="Y61" i="11"/>
  <c r="Z61" i="11"/>
  <c r="AA61" i="11"/>
  <c r="AB61" i="11"/>
  <c r="AC61" i="11"/>
  <c r="AD61" i="11"/>
  <c r="AE61" i="11"/>
  <c r="AF61" i="11"/>
  <c r="Y62" i="11"/>
  <c r="Z62" i="11"/>
  <c r="AA62" i="11"/>
  <c r="AB62" i="11"/>
  <c r="AC62" i="11"/>
  <c r="AD62" i="11"/>
  <c r="AE62" i="11"/>
  <c r="AF62" i="11"/>
  <c r="Y63" i="11"/>
  <c r="Z63" i="11"/>
  <c r="AA63" i="11"/>
  <c r="AB63" i="11"/>
  <c r="AC63" i="11"/>
  <c r="AD63" i="11"/>
  <c r="AE63" i="11"/>
  <c r="AF63" i="11"/>
  <c r="Y64" i="11"/>
  <c r="Z64" i="11"/>
  <c r="AA64" i="11"/>
  <c r="AB64" i="11"/>
  <c r="AC64" i="11"/>
  <c r="AD64" i="11"/>
  <c r="AE64" i="11"/>
  <c r="AF64" i="11"/>
  <c r="Y65" i="11"/>
  <c r="Z65" i="11"/>
  <c r="AA65" i="11"/>
  <c r="AB65" i="11"/>
  <c r="AC65" i="11"/>
  <c r="AD65" i="11"/>
  <c r="AE65" i="11"/>
  <c r="AF65" i="11"/>
  <c r="Y66" i="11"/>
  <c r="Z66" i="11"/>
  <c r="AA66" i="11"/>
  <c r="AB66" i="11"/>
  <c r="AC66" i="11"/>
  <c r="AD66" i="11"/>
  <c r="AE66" i="11"/>
  <c r="AF66" i="11"/>
  <c r="Y67" i="11"/>
  <c r="Z67" i="11"/>
  <c r="AA67" i="11"/>
  <c r="AB67" i="11"/>
  <c r="AC67" i="11"/>
  <c r="AD67" i="11"/>
  <c r="AE67" i="11"/>
  <c r="AF67" i="11"/>
  <c r="Y68" i="11"/>
  <c r="Z68" i="11"/>
  <c r="AA68" i="11"/>
  <c r="AB68" i="11"/>
  <c r="AC68" i="11"/>
  <c r="AD68" i="11"/>
  <c r="AE68" i="11"/>
  <c r="AF68" i="11"/>
  <c r="Y69" i="11"/>
  <c r="Z69" i="11"/>
  <c r="AA69" i="11"/>
  <c r="AB69" i="11"/>
  <c r="AC69" i="11"/>
  <c r="AD69" i="11"/>
  <c r="AE69" i="11"/>
  <c r="AF69" i="11"/>
  <c r="Y70" i="11"/>
  <c r="Z70" i="11"/>
  <c r="AA70" i="11"/>
  <c r="AB70" i="11"/>
  <c r="AC70" i="11"/>
  <c r="AD70" i="11"/>
  <c r="AE70" i="11"/>
  <c r="AF70" i="11"/>
  <c r="Y71" i="11"/>
  <c r="Z71" i="11"/>
  <c r="AA71" i="11"/>
  <c r="AB71" i="11"/>
  <c r="AC71" i="11"/>
  <c r="AD71" i="11"/>
  <c r="AE71" i="11"/>
  <c r="AF71" i="11"/>
  <c r="Y72" i="11"/>
  <c r="Z72" i="11"/>
  <c r="AA72" i="11"/>
  <c r="AB72" i="11"/>
  <c r="AC72" i="11"/>
  <c r="AD72" i="11"/>
  <c r="AE72" i="11"/>
  <c r="AF72" i="11"/>
  <c r="Y73" i="11"/>
  <c r="Z73" i="11"/>
  <c r="AA73" i="11"/>
  <c r="AB73" i="11"/>
  <c r="AC73" i="11"/>
  <c r="AD73" i="11"/>
  <c r="AE73" i="11"/>
  <c r="AF73" i="11"/>
  <c r="Y74" i="11"/>
  <c r="Z74" i="11"/>
  <c r="AA74" i="11"/>
  <c r="AB74" i="11"/>
  <c r="AC74" i="11"/>
  <c r="AD74" i="11"/>
  <c r="AE74" i="11"/>
  <c r="AF74" i="11"/>
  <c r="Y75" i="11"/>
  <c r="Z75" i="11"/>
  <c r="AA75" i="11"/>
  <c r="AB75" i="11"/>
  <c r="AC75" i="11"/>
  <c r="AD75" i="11"/>
  <c r="AE75" i="11"/>
  <c r="AF75" i="11"/>
  <c r="Y76" i="11"/>
  <c r="Z76" i="11"/>
  <c r="AA76" i="11"/>
  <c r="AB76" i="11"/>
  <c r="AC76" i="11"/>
  <c r="AD76" i="11"/>
  <c r="AE76" i="11"/>
  <c r="AF76" i="11"/>
  <c r="Y77" i="11"/>
  <c r="Z77" i="11"/>
  <c r="AA77" i="11"/>
  <c r="AB77" i="11"/>
  <c r="AC77" i="11"/>
  <c r="AD77" i="11"/>
  <c r="AE77" i="11"/>
  <c r="AF77" i="11"/>
  <c r="Y78" i="11"/>
  <c r="Z78" i="11"/>
  <c r="AA78" i="11"/>
  <c r="AB78" i="11"/>
  <c r="AC78" i="11"/>
  <c r="AD78" i="11"/>
  <c r="AE78" i="11"/>
  <c r="AF78" i="11"/>
  <c r="Y79" i="11"/>
  <c r="Z79" i="11"/>
  <c r="AA79" i="11"/>
  <c r="AB79" i="11"/>
  <c r="AC79" i="11"/>
  <c r="AD79" i="11"/>
  <c r="AE79" i="11"/>
  <c r="AF79" i="11"/>
  <c r="Y80" i="11"/>
  <c r="Z80" i="11"/>
  <c r="AA80" i="11"/>
  <c r="AB80" i="11"/>
  <c r="AC80" i="11"/>
  <c r="AD80" i="11"/>
  <c r="AE80" i="11"/>
  <c r="AF80" i="11"/>
  <c r="Y81" i="11"/>
  <c r="Z81" i="11"/>
  <c r="AA81" i="11"/>
  <c r="AB81" i="11"/>
  <c r="AC81" i="11"/>
  <c r="AD81" i="11"/>
  <c r="AE81" i="11"/>
  <c r="AF81" i="11"/>
  <c r="Y82" i="11"/>
  <c r="Z82" i="11"/>
  <c r="AA82" i="11"/>
  <c r="AB82" i="11"/>
  <c r="AC82" i="11"/>
  <c r="AD82" i="11"/>
  <c r="AE82" i="11"/>
  <c r="AF82" i="11"/>
  <c r="Y83" i="11"/>
  <c r="Z83" i="11"/>
  <c r="AA83" i="11"/>
  <c r="AB83" i="11"/>
  <c r="AC83" i="11"/>
  <c r="AD83" i="11"/>
  <c r="AE83" i="11"/>
  <c r="AF83" i="11"/>
  <c r="Y84" i="11"/>
  <c r="Z84" i="11"/>
  <c r="AA84" i="11"/>
  <c r="AB84" i="11"/>
  <c r="AC84" i="11"/>
  <c r="AD84" i="11"/>
  <c r="AE84" i="11"/>
  <c r="AF84" i="11"/>
  <c r="Y85" i="11"/>
  <c r="Z85" i="11"/>
  <c r="AA85" i="11"/>
  <c r="AB85" i="11"/>
  <c r="AC85" i="11"/>
  <c r="AD85" i="11"/>
  <c r="AE85" i="11"/>
  <c r="AF85" i="11"/>
  <c r="Y86" i="11"/>
  <c r="Z86" i="11"/>
  <c r="AA86" i="11"/>
  <c r="AB86" i="11"/>
  <c r="AC86" i="11"/>
  <c r="AD86" i="11"/>
  <c r="AE86" i="11"/>
  <c r="AF86" i="11"/>
  <c r="Y87" i="11"/>
  <c r="Z87" i="11"/>
  <c r="AA87" i="11"/>
  <c r="AB87" i="11"/>
  <c r="AC87" i="11"/>
  <c r="AD87" i="11"/>
  <c r="AE87" i="11"/>
  <c r="AF87" i="11"/>
  <c r="Y88" i="11"/>
  <c r="Z88" i="11"/>
  <c r="AA88" i="11"/>
  <c r="AB88" i="11"/>
  <c r="AC88" i="11"/>
  <c r="AD88" i="11"/>
  <c r="AE88" i="11"/>
  <c r="AF88" i="11"/>
  <c r="Y89" i="11"/>
  <c r="Z89" i="11"/>
  <c r="AA89" i="11"/>
  <c r="AB89" i="11"/>
  <c r="AC89" i="11"/>
  <c r="AD89" i="11"/>
  <c r="AE89" i="11"/>
  <c r="AF89" i="11"/>
  <c r="Y90" i="11"/>
  <c r="Z90" i="11"/>
  <c r="AA90" i="11"/>
  <c r="AB90" i="11"/>
  <c r="AC90" i="11"/>
  <c r="AD90" i="11"/>
  <c r="AE90" i="11"/>
  <c r="AF90" i="11"/>
  <c r="Y91" i="11"/>
  <c r="Z91" i="11"/>
  <c r="AA91" i="11"/>
  <c r="AB91" i="11"/>
  <c r="AC91" i="11"/>
  <c r="AD91" i="11"/>
  <c r="AE91" i="11"/>
  <c r="AF91" i="11"/>
  <c r="Y92" i="11"/>
  <c r="Z92" i="11"/>
  <c r="AA92" i="11"/>
  <c r="AB92" i="11"/>
  <c r="AC92" i="11"/>
  <c r="AD92" i="11"/>
  <c r="AE92" i="11"/>
  <c r="AF92" i="11"/>
  <c r="Y93" i="11"/>
  <c r="Z93" i="11"/>
  <c r="AA93" i="11"/>
  <c r="AB93" i="11"/>
  <c r="AC93" i="11"/>
  <c r="AD93" i="11"/>
  <c r="AE93" i="11"/>
  <c r="AF93" i="11"/>
  <c r="Y94" i="11"/>
  <c r="Z94" i="11"/>
  <c r="AA94" i="11"/>
  <c r="AB94" i="11"/>
  <c r="AC94" i="11"/>
  <c r="AD94" i="11"/>
  <c r="AE94" i="11"/>
  <c r="AF94" i="11"/>
  <c r="Y95" i="11"/>
  <c r="Z95" i="11"/>
  <c r="AA95" i="11"/>
  <c r="AB95" i="11"/>
  <c r="AC95" i="11"/>
  <c r="AD95" i="11"/>
  <c r="AE95" i="11"/>
  <c r="AF95" i="11"/>
  <c r="Y96" i="11"/>
  <c r="Z96" i="11"/>
  <c r="AA96" i="11"/>
  <c r="AB96" i="11"/>
  <c r="AC96" i="11"/>
  <c r="AD96" i="11"/>
  <c r="AE96" i="11"/>
  <c r="AF96" i="11"/>
  <c r="Y97" i="11"/>
  <c r="Z97" i="11"/>
  <c r="AA97" i="11"/>
  <c r="AB97" i="11"/>
  <c r="AC97" i="11"/>
  <c r="AD97" i="11"/>
  <c r="AE97" i="11"/>
  <c r="AF97" i="11"/>
  <c r="Y98" i="11"/>
  <c r="Z98" i="11"/>
  <c r="AA98" i="11"/>
  <c r="AB98" i="11"/>
  <c r="AC98" i="11"/>
  <c r="AD98" i="11"/>
  <c r="AE98" i="11"/>
  <c r="AF98" i="11"/>
  <c r="Y99" i="11"/>
  <c r="Z99" i="11"/>
  <c r="AA99" i="11"/>
  <c r="AB99" i="11"/>
  <c r="AC99" i="11"/>
  <c r="AD99" i="11"/>
  <c r="AE99" i="11"/>
  <c r="AF99" i="11"/>
  <c r="Y100" i="11"/>
  <c r="Z100" i="11"/>
  <c r="AA100" i="11"/>
  <c r="AB100" i="11"/>
  <c r="AC100" i="11"/>
  <c r="AD100" i="11"/>
  <c r="AE100" i="11"/>
  <c r="AF100" i="11"/>
  <c r="Y101" i="11"/>
  <c r="Z101" i="11"/>
  <c r="AA101" i="11"/>
  <c r="AB101" i="11"/>
  <c r="AC101" i="11"/>
  <c r="AD101" i="11"/>
  <c r="AE101" i="11"/>
  <c r="AF101" i="11"/>
  <c r="Y102" i="11"/>
  <c r="Z102" i="11"/>
  <c r="AA102" i="11"/>
  <c r="AB102" i="11"/>
  <c r="AC102" i="11"/>
  <c r="AD102" i="11"/>
  <c r="AE102" i="11"/>
  <c r="AF102" i="11"/>
  <c r="Y103" i="11"/>
  <c r="Z103" i="11"/>
  <c r="AA103" i="11"/>
  <c r="AB103" i="11"/>
  <c r="AC103" i="11"/>
  <c r="AD103" i="11"/>
  <c r="AE103" i="11"/>
  <c r="AF103" i="11"/>
  <c r="Y104" i="11"/>
  <c r="Z104" i="11"/>
  <c r="AA104" i="11"/>
  <c r="AB104" i="11"/>
  <c r="AC104" i="11"/>
  <c r="AD104" i="11"/>
  <c r="AE104" i="11"/>
  <c r="AF104" i="11"/>
  <c r="Y105" i="11"/>
  <c r="Z105" i="11"/>
  <c r="AA105" i="11"/>
  <c r="AB105" i="11"/>
  <c r="AC105" i="11"/>
  <c r="AD105" i="11"/>
  <c r="AE105" i="11"/>
  <c r="AF105" i="11"/>
  <c r="Y106" i="11"/>
  <c r="Z106" i="11"/>
  <c r="AA106" i="11"/>
  <c r="AB106" i="11"/>
  <c r="AC106" i="11"/>
  <c r="AD106" i="11"/>
  <c r="AE106" i="11"/>
  <c r="AF106" i="11"/>
  <c r="Y107" i="11"/>
  <c r="Z107" i="11"/>
  <c r="AA107" i="11"/>
  <c r="AB107" i="11"/>
  <c r="AC107" i="11"/>
  <c r="AD107" i="11"/>
  <c r="AE107" i="11"/>
  <c r="AF107" i="11"/>
  <c r="Y108" i="11"/>
  <c r="Z108" i="11"/>
  <c r="AA108" i="11"/>
  <c r="AB108" i="11"/>
  <c r="AC108" i="11"/>
  <c r="AD108" i="11"/>
  <c r="AE108" i="11"/>
  <c r="AF108" i="11"/>
  <c r="Y109" i="11"/>
  <c r="Z109" i="11"/>
  <c r="AA109" i="11"/>
  <c r="AB109" i="11"/>
  <c r="AC109" i="11"/>
  <c r="AD109" i="11"/>
  <c r="AE109" i="11"/>
  <c r="AF109" i="11"/>
  <c r="Y110" i="11"/>
  <c r="Z110" i="11"/>
  <c r="AA110" i="11"/>
  <c r="AB110" i="11"/>
  <c r="AC110" i="11"/>
  <c r="AD110" i="11"/>
  <c r="AE110" i="11"/>
  <c r="AF110" i="11"/>
  <c r="Y111" i="11"/>
  <c r="Z111" i="11"/>
  <c r="AA111" i="11"/>
  <c r="AB111" i="11"/>
  <c r="AC111" i="11"/>
  <c r="AD111" i="11"/>
  <c r="AE111" i="11"/>
  <c r="AF111" i="11"/>
  <c r="Y112" i="11"/>
  <c r="Z112" i="11"/>
  <c r="AA112" i="11"/>
  <c r="AB112" i="11"/>
  <c r="AC112" i="11"/>
  <c r="AD112" i="11"/>
  <c r="AE112" i="11"/>
  <c r="AF112" i="11"/>
  <c r="Y113" i="11"/>
  <c r="Z113" i="11"/>
  <c r="AA113" i="11"/>
  <c r="AB113" i="11"/>
  <c r="AC113" i="11"/>
  <c r="AD113" i="11"/>
  <c r="AE113" i="11"/>
  <c r="AF113" i="11"/>
  <c r="Y114" i="11"/>
  <c r="Z114" i="11"/>
  <c r="AA114" i="11"/>
  <c r="AB114" i="11"/>
  <c r="AC114" i="11"/>
  <c r="AD114" i="11"/>
  <c r="AE114" i="11"/>
  <c r="AF114" i="11"/>
  <c r="Y115" i="11"/>
  <c r="Z115" i="11"/>
  <c r="AA115" i="11"/>
  <c r="AB115" i="11"/>
  <c r="AC115" i="11"/>
  <c r="AD115" i="11"/>
  <c r="AE115" i="11"/>
  <c r="AF115" i="11"/>
  <c r="Y116" i="11"/>
  <c r="Z116" i="11"/>
  <c r="AA116" i="11"/>
  <c r="AB116" i="11"/>
  <c r="AC116" i="11"/>
  <c r="AD116" i="11"/>
  <c r="AE116" i="11"/>
  <c r="AF116" i="11"/>
  <c r="Y117" i="11"/>
  <c r="Z117" i="11"/>
  <c r="AA117" i="11"/>
  <c r="AB117" i="11"/>
  <c r="AC117" i="11"/>
  <c r="AD117" i="11"/>
  <c r="AE117" i="11"/>
  <c r="AF117" i="11"/>
  <c r="Y118" i="11"/>
  <c r="Z118" i="11"/>
  <c r="AA118" i="11"/>
  <c r="AB118" i="11"/>
  <c r="AC118" i="11"/>
  <c r="AD118" i="11"/>
  <c r="AE118" i="11"/>
  <c r="AF118" i="11"/>
  <c r="Y119" i="11"/>
  <c r="Z119" i="11"/>
  <c r="AA119" i="11"/>
  <c r="AB119" i="11"/>
  <c r="AC119" i="11"/>
  <c r="AD119" i="11"/>
  <c r="AE119" i="11"/>
  <c r="AF119" i="11"/>
  <c r="Y120" i="11"/>
  <c r="Z120" i="11"/>
  <c r="AA120" i="11"/>
  <c r="AB120" i="11"/>
  <c r="AC120" i="11"/>
  <c r="AD120" i="11"/>
  <c r="AE120" i="11"/>
  <c r="AF120" i="11"/>
  <c r="Y121" i="11"/>
  <c r="Z121" i="11"/>
  <c r="AA121" i="11"/>
  <c r="AB121" i="11"/>
  <c r="AC121" i="11"/>
  <c r="AD121" i="11"/>
  <c r="AE121" i="11"/>
  <c r="AF121" i="11"/>
  <c r="Y122" i="11"/>
  <c r="Z122" i="11"/>
  <c r="AA122" i="11"/>
  <c r="AB122" i="11"/>
  <c r="AC122" i="11"/>
  <c r="AD122" i="11"/>
  <c r="AE122" i="11"/>
  <c r="AF122" i="11"/>
  <c r="Y123" i="11"/>
  <c r="Z123" i="11"/>
  <c r="AA123" i="11"/>
  <c r="AB123" i="11"/>
  <c r="AC123" i="11"/>
  <c r="AD123" i="11"/>
  <c r="AE123" i="11"/>
  <c r="AF123" i="11"/>
  <c r="Y25" i="11"/>
  <c r="Z25" i="11"/>
  <c r="AA25" i="11"/>
  <c r="AB25" i="11"/>
  <c r="AC25" i="11"/>
  <c r="AD25" i="11"/>
  <c r="AE25" i="11"/>
  <c r="AF25" i="11"/>
  <c r="AF24" i="11"/>
  <c r="AE24" i="11"/>
  <c r="AC24" i="11"/>
  <c r="AD24" i="11"/>
  <c r="AB24" i="11"/>
  <c r="Z24" i="11"/>
  <c r="Y24" i="11"/>
  <c r="AA24" i="11"/>
  <c r="P21" i="11"/>
  <c r="L14" i="5"/>
  <c r="F14" i="5"/>
  <c r="G14" i="5"/>
  <c r="V27" i="11"/>
  <c r="V35" i="11"/>
  <c r="V36" i="11"/>
  <c r="V37" i="11"/>
  <c r="V38" i="11"/>
  <c r="V39" i="11"/>
  <c r="V40" i="11"/>
  <c r="V41" i="11"/>
  <c r="V42" i="11"/>
  <c r="V44" i="11"/>
  <c r="V53" i="11"/>
  <c r="V54" i="11"/>
  <c r="V55" i="11"/>
  <c r="V56" i="11"/>
  <c r="V57" i="11"/>
  <c r="V58" i="11"/>
  <c r="V62" i="11"/>
  <c r="V63" i="11"/>
  <c r="V64" i="11"/>
  <c r="V72" i="11"/>
  <c r="V73" i="11"/>
  <c r="V74" i="11"/>
  <c r="V75" i="11"/>
  <c r="V80" i="11"/>
  <c r="V81" i="11"/>
  <c r="V82" i="11"/>
  <c r="V83" i="11"/>
  <c r="V84" i="11"/>
  <c r="V91" i="11"/>
  <c r="V92" i="11"/>
  <c r="V93" i="11"/>
  <c r="V95" i="11"/>
  <c r="V99" i="11"/>
  <c r="V100" i="11"/>
  <c r="V101" i="11"/>
  <c r="V102" i="11"/>
  <c r="V103" i="11"/>
  <c r="V104" i="11"/>
  <c r="V111" i="11"/>
  <c r="V118" i="11"/>
  <c r="V119" i="11"/>
  <c r="V120" i="11"/>
  <c r="V121" i="11"/>
  <c r="V122" i="11"/>
  <c r="V123" i="11"/>
  <c r="N25" i="11"/>
  <c r="V25" i="11" s="1"/>
  <c r="N26" i="11"/>
  <c r="V26" i="11" s="1"/>
  <c r="N27" i="11"/>
  <c r="N28" i="11"/>
  <c r="V28" i="11" s="1"/>
  <c r="N29" i="11"/>
  <c r="V29" i="11" s="1"/>
  <c r="P29" i="11"/>
  <c r="O29" i="11" s="1"/>
  <c r="N30" i="11"/>
  <c r="V30" i="11" s="1"/>
  <c r="P30" i="11"/>
  <c r="O30" i="11" s="1"/>
  <c r="N31" i="11"/>
  <c r="V31" i="11" s="1"/>
  <c r="N32" i="11"/>
  <c r="V32" i="11" s="1"/>
  <c r="P32" i="11"/>
  <c r="O32" i="11" s="1"/>
  <c r="N33" i="11"/>
  <c r="V33" i="11" s="1"/>
  <c r="P33" i="11"/>
  <c r="O33" i="11" s="1"/>
  <c r="N34" i="11"/>
  <c r="V34" i="11" s="1"/>
  <c r="N35" i="11"/>
  <c r="N36" i="11"/>
  <c r="P36" i="11"/>
  <c r="O36" i="11" s="1"/>
  <c r="N37" i="11"/>
  <c r="N38" i="11"/>
  <c r="P38" i="11"/>
  <c r="O38" i="11" s="1"/>
  <c r="N39" i="11"/>
  <c r="N40" i="11"/>
  <c r="N41" i="11"/>
  <c r="N42" i="11"/>
  <c r="P42" i="11"/>
  <c r="O42" i="11" s="1"/>
  <c r="N43" i="11"/>
  <c r="V43" i="11" s="1"/>
  <c r="N44" i="11"/>
  <c r="N45" i="11"/>
  <c r="V45" i="11" s="1"/>
  <c r="N46" i="11"/>
  <c r="V46" i="11" s="1"/>
  <c r="P46" i="11"/>
  <c r="O46" i="11" s="1"/>
  <c r="N47" i="11"/>
  <c r="V47" i="11" s="1"/>
  <c r="P47" i="11"/>
  <c r="O47" i="11" s="1"/>
  <c r="N48" i="11"/>
  <c r="V48" i="11" s="1"/>
  <c r="N49" i="11"/>
  <c r="V49" i="11" s="1"/>
  <c r="N50" i="11"/>
  <c r="V50" i="11" s="1"/>
  <c r="N51" i="11"/>
  <c r="V51" i="11" s="1"/>
  <c r="P51" i="11"/>
  <c r="O51" i="11" s="1"/>
  <c r="N52" i="11"/>
  <c r="V52" i="11" s="1"/>
  <c r="P52" i="11"/>
  <c r="O52" i="11" s="1"/>
  <c r="N53" i="11"/>
  <c r="N54" i="11"/>
  <c r="N55" i="11"/>
  <c r="P55" i="11"/>
  <c r="O55" i="11" s="1"/>
  <c r="N56" i="11"/>
  <c r="P56" i="11"/>
  <c r="O56" i="11" s="1"/>
  <c r="N57" i="11"/>
  <c r="P57" i="11"/>
  <c r="O57" i="11" s="1"/>
  <c r="N58" i="11"/>
  <c r="N59" i="11"/>
  <c r="V59" i="11" s="1"/>
  <c r="P59" i="11"/>
  <c r="O59" i="11" s="1"/>
  <c r="N60" i="11"/>
  <c r="V60" i="11" s="1"/>
  <c r="N61" i="11"/>
  <c r="V61" i="11" s="1"/>
  <c r="N62" i="11"/>
  <c r="P62" i="11"/>
  <c r="O62" i="11" s="1"/>
  <c r="N63" i="11"/>
  <c r="N64" i="11"/>
  <c r="P64" i="11"/>
  <c r="O64" i="11" s="1"/>
  <c r="N65" i="11"/>
  <c r="V65" i="11" s="1"/>
  <c r="P65" i="11"/>
  <c r="O65" i="11" s="1"/>
  <c r="N66" i="11"/>
  <c r="V66" i="11" s="1"/>
  <c r="P66" i="11"/>
  <c r="O66" i="11" s="1"/>
  <c r="N67" i="11"/>
  <c r="V67" i="11" s="1"/>
  <c r="N68" i="11"/>
  <c r="V68" i="11" s="1"/>
  <c r="N69" i="11"/>
  <c r="V69" i="11" s="1"/>
  <c r="P69" i="11"/>
  <c r="O69" i="11" s="1"/>
  <c r="N70" i="11"/>
  <c r="V70" i="11" s="1"/>
  <c r="N71" i="11"/>
  <c r="V71" i="11" s="1"/>
  <c r="P71" i="11"/>
  <c r="O71" i="11" s="1"/>
  <c r="N72" i="11"/>
  <c r="P72" i="11"/>
  <c r="O72" i="11" s="1"/>
  <c r="N73" i="11"/>
  <c r="N74" i="11"/>
  <c r="N75" i="11"/>
  <c r="P75" i="11"/>
  <c r="O75" i="11" s="1"/>
  <c r="N76" i="11"/>
  <c r="V76" i="11" s="1"/>
  <c r="N77" i="11"/>
  <c r="V77" i="11" s="1"/>
  <c r="N78" i="11"/>
  <c r="V78" i="11" s="1"/>
  <c r="P78" i="11"/>
  <c r="O78" i="11" s="1"/>
  <c r="N79" i="11"/>
  <c r="V79" i="11" s="1"/>
  <c r="N80" i="11"/>
  <c r="N81" i="11"/>
  <c r="N82" i="11"/>
  <c r="P82" i="11"/>
  <c r="O82" i="11" s="1"/>
  <c r="N83" i="11"/>
  <c r="P83" i="11"/>
  <c r="O83" i="11" s="1"/>
  <c r="N84" i="11"/>
  <c r="P84" i="11"/>
  <c r="O84" i="11" s="1"/>
  <c r="N85" i="11"/>
  <c r="V85" i="11" s="1"/>
  <c r="N86" i="11"/>
  <c r="V86" i="11" s="1"/>
  <c r="N87" i="11"/>
  <c r="V87" i="11" s="1"/>
  <c r="N88" i="11"/>
  <c r="V88" i="11" s="1"/>
  <c r="N89" i="11"/>
  <c r="V89" i="11" s="1"/>
  <c r="P89" i="11"/>
  <c r="O89" i="11" s="1"/>
  <c r="N90" i="11"/>
  <c r="V90" i="11" s="1"/>
  <c r="N91" i="11"/>
  <c r="P91" i="11"/>
  <c r="O91" i="11" s="1"/>
  <c r="N92" i="11"/>
  <c r="P92" i="11"/>
  <c r="O92" i="11" s="1"/>
  <c r="N93" i="11"/>
  <c r="P93" i="11"/>
  <c r="O93" i="11" s="1"/>
  <c r="N94" i="11"/>
  <c r="V94" i="11" s="1"/>
  <c r="N95" i="11"/>
  <c r="N96" i="11"/>
  <c r="V96" i="11" s="1"/>
  <c r="P96" i="11"/>
  <c r="O96" i="11" s="1"/>
  <c r="N97" i="11"/>
  <c r="V97" i="11" s="1"/>
  <c r="N98" i="11"/>
  <c r="V98" i="11" s="1"/>
  <c r="N99" i="11"/>
  <c r="N100" i="11"/>
  <c r="N101" i="11"/>
  <c r="N102" i="11"/>
  <c r="P102" i="11"/>
  <c r="O102" i="11" s="1"/>
  <c r="N103" i="11"/>
  <c r="P103" i="11"/>
  <c r="O103" i="11" s="1"/>
  <c r="N104" i="11"/>
  <c r="N105" i="11"/>
  <c r="V105" i="11" s="1"/>
  <c r="N106" i="11"/>
  <c r="V106" i="11" s="1"/>
  <c r="P106" i="11"/>
  <c r="O106" i="11" s="1"/>
  <c r="N107" i="11"/>
  <c r="V107" i="11" s="1"/>
  <c r="N108" i="11"/>
  <c r="V108" i="11" s="1"/>
  <c r="N109" i="11"/>
  <c r="V109" i="11" s="1"/>
  <c r="N110" i="11"/>
  <c r="V110" i="11" s="1"/>
  <c r="N111" i="11"/>
  <c r="P111" i="11"/>
  <c r="O111" i="11" s="1"/>
  <c r="N112" i="11"/>
  <c r="V112" i="11" s="1"/>
  <c r="P112" i="11"/>
  <c r="O112" i="11" s="1"/>
  <c r="N113" i="11"/>
  <c r="V113" i="11" s="1"/>
  <c r="N114" i="11"/>
  <c r="V114" i="11" s="1"/>
  <c r="N115" i="11"/>
  <c r="V115" i="11" s="1"/>
  <c r="P115" i="11"/>
  <c r="O115" i="11" s="1"/>
  <c r="N116" i="11"/>
  <c r="V116" i="11" s="1"/>
  <c r="P116" i="11"/>
  <c r="O116" i="11" s="1"/>
  <c r="N117" i="11"/>
  <c r="V117" i="11" s="1"/>
  <c r="N118" i="11"/>
  <c r="N119" i="11"/>
  <c r="P119" i="11"/>
  <c r="O119" i="11" s="1"/>
  <c r="N120" i="11"/>
  <c r="P120" i="11"/>
  <c r="O120" i="11" s="1"/>
  <c r="N121" i="11"/>
  <c r="N122" i="11"/>
  <c r="N123" i="11"/>
  <c r="O22" i="11"/>
  <c r="N18" i="5"/>
  <c r="P22" i="11"/>
  <c r="V24" i="11"/>
  <c r="N24" i="11"/>
  <c r="K14" i="8"/>
  <c r="K21" i="11"/>
  <c r="C22" i="5"/>
  <c r="E19" i="5"/>
  <c r="F19" i="5"/>
  <c r="G19" i="5"/>
  <c r="E20" i="5"/>
  <c r="F20" i="5"/>
  <c r="G20" i="5"/>
  <c r="E21" i="5"/>
  <c r="F21" i="5"/>
  <c r="G21" i="5"/>
  <c r="E22" i="5"/>
  <c r="F22" i="5"/>
  <c r="G22" i="5"/>
  <c r="E23" i="5"/>
  <c r="F23" i="5"/>
  <c r="G23" i="5"/>
  <c r="E24" i="5"/>
  <c r="F24" i="5"/>
  <c r="G24" i="5"/>
  <c r="E25" i="5"/>
  <c r="F25" i="5"/>
  <c r="G25" i="5"/>
  <c r="E26" i="5"/>
  <c r="F26" i="5"/>
  <c r="G26" i="5"/>
  <c r="E27" i="5"/>
  <c r="F27" i="5"/>
  <c r="G27" i="5"/>
  <c r="E28" i="5"/>
  <c r="F28" i="5"/>
  <c r="G28" i="5"/>
  <c r="E29" i="5"/>
  <c r="F29" i="5"/>
  <c r="G29" i="5"/>
  <c r="E30" i="5"/>
  <c r="F30" i="5"/>
  <c r="G30" i="5"/>
  <c r="E31" i="5"/>
  <c r="F31" i="5"/>
  <c r="G31" i="5"/>
  <c r="E32" i="5"/>
  <c r="F32" i="5"/>
  <c r="G32" i="5"/>
  <c r="E33" i="5"/>
  <c r="F33" i="5"/>
  <c r="G33" i="5"/>
  <c r="E34" i="5"/>
  <c r="F34" i="5"/>
  <c r="G34" i="5"/>
  <c r="E35" i="5"/>
  <c r="F35" i="5"/>
  <c r="G35" i="5"/>
  <c r="E36" i="5"/>
  <c r="F36" i="5"/>
  <c r="G36" i="5"/>
  <c r="E37" i="5"/>
  <c r="F37" i="5"/>
  <c r="G37" i="5"/>
  <c r="E38" i="5"/>
  <c r="F38" i="5"/>
  <c r="G38" i="5"/>
  <c r="E39" i="5"/>
  <c r="F39" i="5"/>
  <c r="G39" i="5"/>
  <c r="E40" i="5"/>
  <c r="F40" i="5"/>
  <c r="G40" i="5"/>
  <c r="E41" i="5"/>
  <c r="F41" i="5"/>
  <c r="G41" i="5"/>
  <c r="E42" i="5"/>
  <c r="F42" i="5"/>
  <c r="G42" i="5"/>
  <c r="E43" i="5"/>
  <c r="F43" i="5"/>
  <c r="G43" i="5"/>
  <c r="E44" i="5"/>
  <c r="F44" i="5"/>
  <c r="G44" i="5"/>
  <c r="E45" i="5"/>
  <c r="F45" i="5"/>
  <c r="G45" i="5"/>
  <c r="E46" i="5"/>
  <c r="F46" i="5"/>
  <c r="G46" i="5"/>
  <c r="E47" i="5"/>
  <c r="F47" i="5"/>
  <c r="G47" i="5"/>
  <c r="E48" i="5"/>
  <c r="F48" i="5"/>
  <c r="G48" i="5"/>
  <c r="E49" i="5"/>
  <c r="F49" i="5"/>
  <c r="G49" i="5"/>
  <c r="E50" i="5"/>
  <c r="F50" i="5"/>
  <c r="G50" i="5"/>
  <c r="E51" i="5"/>
  <c r="F51" i="5"/>
  <c r="G51" i="5"/>
  <c r="E52" i="5"/>
  <c r="F52" i="5"/>
  <c r="G52" i="5"/>
  <c r="E53" i="5"/>
  <c r="F53" i="5"/>
  <c r="G53" i="5"/>
  <c r="E54" i="5"/>
  <c r="F54" i="5"/>
  <c r="G54" i="5"/>
  <c r="E55" i="5"/>
  <c r="F55" i="5"/>
  <c r="G55" i="5"/>
  <c r="E56" i="5"/>
  <c r="F56" i="5"/>
  <c r="G56" i="5"/>
  <c r="E57" i="5"/>
  <c r="F57" i="5"/>
  <c r="G57" i="5"/>
  <c r="E58" i="5"/>
  <c r="F58" i="5"/>
  <c r="G58" i="5"/>
  <c r="E59" i="5"/>
  <c r="F59" i="5"/>
  <c r="G59" i="5"/>
  <c r="E60" i="5"/>
  <c r="F60" i="5"/>
  <c r="G60" i="5"/>
  <c r="E61" i="5"/>
  <c r="F61" i="5"/>
  <c r="G61" i="5"/>
  <c r="E62" i="5"/>
  <c r="F62" i="5"/>
  <c r="G62" i="5"/>
  <c r="E63" i="5"/>
  <c r="F63" i="5"/>
  <c r="G63" i="5"/>
  <c r="E64" i="5"/>
  <c r="F64" i="5"/>
  <c r="G64" i="5"/>
  <c r="E65" i="5"/>
  <c r="F65" i="5"/>
  <c r="G65" i="5"/>
  <c r="E66" i="5"/>
  <c r="F66" i="5"/>
  <c r="G66" i="5"/>
  <c r="E67" i="5"/>
  <c r="F67" i="5"/>
  <c r="G67" i="5"/>
  <c r="E68" i="5"/>
  <c r="F68" i="5"/>
  <c r="G68" i="5"/>
  <c r="E69" i="5"/>
  <c r="F69" i="5"/>
  <c r="G69" i="5"/>
  <c r="E70" i="5"/>
  <c r="F70" i="5"/>
  <c r="G70" i="5"/>
  <c r="E71" i="5"/>
  <c r="F71" i="5"/>
  <c r="G71" i="5"/>
  <c r="E72" i="5"/>
  <c r="F72" i="5"/>
  <c r="G72" i="5"/>
  <c r="E73" i="5"/>
  <c r="F73" i="5"/>
  <c r="G73" i="5"/>
  <c r="E74" i="5"/>
  <c r="F74" i="5"/>
  <c r="G74" i="5"/>
  <c r="E75" i="5"/>
  <c r="F75" i="5"/>
  <c r="G75" i="5"/>
  <c r="E76" i="5"/>
  <c r="F76" i="5"/>
  <c r="G76" i="5"/>
  <c r="E77" i="5"/>
  <c r="F77" i="5"/>
  <c r="G77" i="5"/>
  <c r="E78" i="5"/>
  <c r="F78" i="5"/>
  <c r="G78" i="5"/>
  <c r="E79" i="5"/>
  <c r="F79" i="5"/>
  <c r="G79" i="5"/>
  <c r="E80" i="5"/>
  <c r="F80" i="5"/>
  <c r="G80" i="5"/>
  <c r="E81" i="5"/>
  <c r="F81" i="5"/>
  <c r="G81" i="5"/>
  <c r="E82" i="5"/>
  <c r="F82" i="5"/>
  <c r="G82" i="5"/>
  <c r="E83" i="5"/>
  <c r="F83" i="5"/>
  <c r="G83" i="5"/>
  <c r="E84" i="5"/>
  <c r="F84" i="5"/>
  <c r="G84" i="5"/>
  <c r="E85" i="5"/>
  <c r="F85" i="5"/>
  <c r="G85" i="5"/>
  <c r="E86" i="5"/>
  <c r="F86" i="5"/>
  <c r="G86" i="5"/>
  <c r="E87" i="5"/>
  <c r="F87" i="5"/>
  <c r="G87" i="5"/>
  <c r="E88" i="5"/>
  <c r="F88" i="5"/>
  <c r="G88" i="5"/>
  <c r="E89" i="5"/>
  <c r="F89" i="5"/>
  <c r="G89" i="5"/>
  <c r="E90" i="5"/>
  <c r="F90" i="5"/>
  <c r="G90" i="5"/>
  <c r="E91" i="5"/>
  <c r="F91" i="5"/>
  <c r="G91" i="5"/>
  <c r="E92" i="5"/>
  <c r="F92" i="5"/>
  <c r="G92" i="5"/>
  <c r="E93" i="5"/>
  <c r="F93" i="5"/>
  <c r="G93" i="5"/>
  <c r="E94" i="5"/>
  <c r="F94" i="5"/>
  <c r="G94" i="5"/>
  <c r="E95" i="5"/>
  <c r="F95" i="5"/>
  <c r="G95" i="5"/>
  <c r="E96" i="5"/>
  <c r="F96" i="5"/>
  <c r="G96" i="5"/>
  <c r="E97" i="5"/>
  <c r="F97" i="5"/>
  <c r="G97" i="5"/>
  <c r="E98" i="5"/>
  <c r="F98" i="5"/>
  <c r="G98" i="5"/>
  <c r="E99" i="5"/>
  <c r="F99" i="5"/>
  <c r="G99" i="5"/>
  <c r="E100" i="5"/>
  <c r="F100" i="5"/>
  <c r="G100" i="5"/>
  <c r="E101" i="5"/>
  <c r="F101" i="5"/>
  <c r="G101" i="5"/>
  <c r="E102" i="5"/>
  <c r="F102" i="5"/>
  <c r="G102" i="5"/>
  <c r="E103" i="5"/>
  <c r="F103" i="5"/>
  <c r="G103" i="5"/>
  <c r="E104" i="5"/>
  <c r="F104" i="5"/>
  <c r="G104" i="5"/>
  <c r="E105" i="5"/>
  <c r="F105" i="5"/>
  <c r="G105" i="5"/>
  <c r="E106" i="5"/>
  <c r="F106" i="5"/>
  <c r="G106" i="5"/>
  <c r="E107" i="5"/>
  <c r="F107" i="5"/>
  <c r="G107" i="5"/>
  <c r="E108" i="5"/>
  <c r="F108" i="5"/>
  <c r="G108" i="5"/>
  <c r="E109" i="5"/>
  <c r="F109" i="5"/>
  <c r="G109" i="5"/>
  <c r="E110" i="5"/>
  <c r="F110" i="5"/>
  <c r="G110" i="5"/>
  <c r="E111" i="5"/>
  <c r="F111" i="5"/>
  <c r="G111" i="5"/>
  <c r="E112" i="5"/>
  <c r="F112" i="5"/>
  <c r="G112" i="5"/>
  <c r="E113" i="5"/>
  <c r="F113" i="5"/>
  <c r="G113" i="5"/>
  <c r="E114" i="5"/>
  <c r="F114" i="5"/>
  <c r="G114" i="5"/>
  <c r="E115" i="5"/>
  <c r="F115" i="5"/>
  <c r="G115" i="5"/>
  <c r="E116" i="5"/>
  <c r="F116" i="5"/>
  <c r="G116" i="5"/>
  <c r="E117" i="5"/>
  <c r="F117" i="5"/>
  <c r="G117" i="5"/>
  <c r="F18" i="5"/>
  <c r="G18" i="5"/>
  <c r="E18" i="5"/>
  <c r="E26" i="11"/>
  <c r="F26" i="11"/>
  <c r="G26" i="11"/>
  <c r="P26" i="11" s="1"/>
  <c r="O26" i="11" s="1"/>
  <c r="E27" i="11"/>
  <c r="F27" i="11"/>
  <c r="G27" i="11"/>
  <c r="P27" i="11" s="1"/>
  <c r="O27" i="11" s="1"/>
  <c r="E28" i="11"/>
  <c r="F28" i="11"/>
  <c r="G28" i="11"/>
  <c r="P28" i="11" s="1"/>
  <c r="O28" i="11" s="1"/>
  <c r="E29" i="11"/>
  <c r="F29" i="11"/>
  <c r="G29" i="11"/>
  <c r="E30" i="11"/>
  <c r="F30" i="11"/>
  <c r="G30" i="11"/>
  <c r="E31" i="11"/>
  <c r="F31" i="11"/>
  <c r="G31" i="11"/>
  <c r="P31" i="11" s="1"/>
  <c r="O31" i="11" s="1"/>
  <c r="E32" i="11"/>
  <c r="F32" i="11"/>
  <c r="G32" i="11"/>
  <c r="E33" i="11"/>
  <c r="F33" i="11"/>
  <c r="G33" i="11"/>
  <c r="E34" i="11"/>
  <c r="F34" i="11"/>
  <c r="G34" i="11"/>
  <c r="P34" i="11" s="1"/>
  <c r="O34" i="11" s="1"/>
  <c r="E35" i="11"/>
  <c r="F35" i="11"/>
  <c r="G35" i="11"/>
  <c r="P35" i="11" s="1"/>
  <c r="O35" i="11" s="1"/>
  <c r="E36" i="11"/>
  <c r="F36" i="11"/>
  <c r="G36" i="11"/>
  <c r="E37" i="11"/>
  <c r="F37" i="11"/>
  <c r="G37" i="11"/>
  <c r="P37" i="11" s="1"/>
  <c r="O37" i="11" s="1"/>
  <c r="E38" i="11"/>
  <c r="F38" i="11"/>
  <c r="G38" i="11"/>
  <c r="E39" i="11"/>
  <c r="F39" i="11"/>
  <c r="G39" i="11"/>
  <c r="P39" i="11" s="1"/>
  <c r="O39" i="11" s="1"/>
  <c r="E40" i="11"/>
  <c r="F40" i="11"/>
  <c r="G40" i="11"/>
  <c r="P40" i="11" s="1"/>
  <c r="O40" i="11" s="1"/>
  <c r="E41" i="11"/>
  <c r="F41" i="11"/>
  <c r="G41" i="11"/>
  <c r="P41" i="11" s="1"/>
  <c r="O41" i="11" s="1"/>
  <c r="E42" i="11"/>
  <c r="F42" i="11"/>
  <c r="G42" i="11"/>
  <c r="E43" i="11"/>
  <c r="F43" i="11"/>
  <c r="G43" i="11"/>
  <c r="P43" i="11" s="1"/>
  <c r="O43" i="11" s="1"/>
  <c r="E44" i="11"/>
  <c r="F44" i="11"/>
  <c r="G44" i="11"/>
  <c r="P44" i="11" s="1"/>
  <c r="O44" i="11" s="1"/>
  <c r="E45" i="11"/>
  <c r="F45" i="11"/>
  <c r="G45" i="11"/>
  <c r="P45" i="11" s="1"/>
  <c r="O45" i="11" s="1"/>
  <c r="E46" i="11"/>
  <c r="F46" i="11"/>
  <c r="G46" i="11"/>
  <c r="E47" i="11"/>
  <c r="F47" i="11"/>
  <c r="G47" i="11"/>
  <c r="E48" i="11"/>
  <c r="F48" i="11"/>
  <c r="G48" i="11"/>
  <c r="P48" i="11" s="1"/>
  <c r="O48" i="11" s="1"/>
  <c r="E49" i="11"/>
  <c r="F49" i="11"/>
  <c r="G49" i="11"/>
  <c r="P49" i="11" s="1"/>
  <c r="O49" i="11" s="1"/>
  <c r="E50" i="11"/>
  <c r="F50" i="11"/>
  <c r="G50" i="11"/>
  <c r="P50" i="11" s="1"/>
  <c r="O50" i="11" s="1"/>
  <c r="E51" i="11"/>
  <c r="F51" i="11"/>
  <c r="G51" i="11"/>
  <c r="E52" i="11"/>
  <c r="F52" i="11"/>
  <c r="G52" i="11"/>
  <c r="E53" i="11"/>
  <c r="F53" i="11"/>
  <c r="G53" i="11"/>
  <c r="P53" i="11" s="1"/>
  <c r="O53" i="11" s="1"/>
  <c r="E54" i="11"/>
  <c r="F54" i="11"/>
  <c r="G54" i="11"/>
  <c r="P54" i="11" s="1"/>
  <c r="O54" i="11" s="1"/>
  <c r="E55" i="11"/>
  <c r="F55" i="11"/>
  <c r="G55" i="11"/>
  <c r="E56" i="11"/>
  <c r="F56" i="11"/>
  <c r="G56" i="11"/>
  <c r="E57" i="11"/>
  <c r="F57" i="11"/>
  <c r="G57" i="11"/>
  <c r="E58" i="11"/>
  <c r="F58" i="11"/>
  <c r="G58" i="11"/>
  <c r="P58" i="11" s="1"/>
  <c r="O58" i="11" s="1"/>
  <c r="E59" i="11"/>
  <c r="F59" i="11"/>
  <c r="G59" i="11"/>
  <c r="E60" i="11"/>
  <c r="F60" i="11"/>
  <c r="G60" i="11"/>
  <c r="P60" i="11" s="1"/>
  <c r="O60" i="11" s="1"/>
  <c r="E61" i="11"/>
  <c r="F61" i="11"/>
  <c r="G61" i="11"/>
  <c r="P61" i="11" s="1"/>
  <c r="O61" i="11" s="1"/>
  <c r="E62" i="11"/>
  <c r="F62" i="11"/>
  <c r="G62" i="11"/>
  <c r="E63" i="11"/>
  <c r="F63" i="11"/>
  <c r="G63" i="11"/>
  <c r="P63" i="11" s="1"/>
  <c r="O63" i="11" s="1"/>
  <c r="E64" i="11"/>
  <c r="F64" i="11"/>
  <c r="G64" i="11"/>
  <c r="E65" i="11"/>
  <c r="F65" i="11"/>
  <c r="G65" i="11"/>
  <c r="E66" i="11"/>
  <c r="F66" i="11"/>
  <c r="G66" i="11"/>
  <c r="E67" i="11"/>
  <c r="F67" i="11"/>
  <c r="G67" i="11"/>
  <c r="P67" i="11" s="1"/>
  <c r="O67" i="11" s="1"/>
  <c r="E68" i="11"/>
  <c r="F68" i="11"/>
  <c r="G68" i="11"/>
  <c r="P68" i="11" s="1"/>
  <c r="O68" i="11" s="1"/>
  <c r="E69" i="11"/>
  <c r="F69" i="11"/>
  <c r="G69" i="11"/>
  <c r="E70" i="11"/>
  <c r="F70" i="11"/>
  <c r="G70" i="11"/>
  <c r="P70" i="11" s="1"/>
  <c r="O70" i="11" s="1"/>
  <c r="E71" i="11"/>
  <c r="F71" i="11"/>
  <c r="G71" i="11"/>
  <c r="E72" i="11"/>
  <c r="F72" i="11"/>
  <c r="G72" i="11"/>
  <c r="E73" i="11"/>
  <c r="F73" i="11"/>
  <c r="G73" i="11"/>
  <c r="P73" i="11" s="1"/>
  <c r="O73" i="11" s="1"/>
  <c r="E74" i="11"/>
  <c r="F74" i="11"/>
  <c r="G74" i="11"/>
  <c r="P74" i="11" s="1"/>
  <c r="O74" i="11" s="1"/>
  <c r="E75" i="11"/>
  <c r="F75" i="11"/>
  <c r="G75" i="11"/>
  <c r="E76" i="11"/>
  <c r="F76" i="11"/>
  <c r="G76" i="11"/>
  <c r="P76" i="11" s="1"/>
  <c r="O76" i="11" s="1"/>
  <c r="E77" i="11"/>
  <c r="F77" i="11"/>
  <c r="G77" i="11"/>
  <c r="P77" i="11" s="1"/>
  <c r="O77" i="11" s="1"/>
  <c r="E78" i="11"/>
  <c r="F78" i="11"/>
  <c r="G78" i="11"/>
  <c r="E79" i="11"/>
  <c r="F79" i="11"/>
  <c r="G79" i="11"/>
  <c r="P79" i="11" s="1"/>
  <c r="O79" i="11" s="1"/>
  <c r="E80" i="11"/>
  <c r="F80" i="11"/>
  <c r="G80" i="11"/>
  <c r="P80" i="11" s="1"/>
  <c r="O80" i="11" s="1"/>
  <c r="E81" i="11"/>
  <c r="F81" i="11"/>
  <c r="G81" i="11"/>
  <c r="P81" i="11" s="1"/>
  <c r="O81" i="11" s="1"/>
  <c r="E82" i="11"/>
  <c r="F82" i="11"/>
  <c r="G82" i="11"/>
  <c r="E83" i="11"/>
  <c r="F83" i="11"/>
  <c r="G83" i="11"/>
  <c r="E84" i="11"/>
  <c r="F84" i="11"/>
  <c r="G84" i="11"/>
  <c r="E85" i="11"/>
  <c r="F85" i="11"/>
  <c r="G85" i="11"/>
  <c r="P85" i="11" s="1"/>
  <c r="O85" i="11" s="1"/>
  <c r="E86" i="11"/>
  <c r="F86" i="11"/>
  <c r="G86" i="11"/>
  <c r="P86" i="11" s="1"/>
  <c r="O86" i="11" s="1"/>
  <c r="E87" i="11"/>
  <c r="F87" i="11"/>
  <c r="G87" i="11"/>
  <c r="P87" i="11" s="1"/>
  <c r="O87" i="11" s="1"/>
  <c r="E88" i="11"/>
  <c r="F88" i="11"/>
  <c r="G88" i="11"/>
  <c r="P88" i="11" s="1"/>
  <c r="O88" i="11" s="1"/>
  <c r="E89" i="11"/>
  <c r="F89" i="11"/>
  <c r="G89" i="11"/>
  <c r="E90" i="11"/>
  <c r="F90" i="11"/>
  <c r="G90" i="11"/>
  <c r="P90" i="11" s="1"/>
  <c r="O90" i="11" s="1"/>
  <c r="E91" i="11"/>
  <c r="F91" i="11"/>
  <c r="G91" i="11"/>
  <c r="E92" i="11"/>
  <c r="F92" i="11"/>
  <c r="G92" i="11"/>
  <c r="E93" i="11"/>
  <c r="F93" i="11"/>
  <c r="G93" i="11"/>
  <c r="E94" i="11"/>
  <c r="F94" i="11"/>
  <c r="G94" i="11"/>
  <c r="P94" i="11" s="1"/>
  <c r="O94" i="11" s="1"/>
  <c r="E95" i="11"/>
  <c r="F95" i="11"/>
  <c r="G95" i="11"/>
  <c r="P95" i="11" s="1"/>
  <c r="O95" i="11" s="1"/>
  <c r="E96" i="11"/>
  <c r="F96" i="11"/>
  <c r="G96" i="11"/>
  <c r="E97" i="11"/>
  <c r="F97" i="11"/>
  <c r="G97" i="11"/>
  <c r="P97" i="11" s="1"/>
  <c r="O97" i="11" s="1"/>
  <c r="E98" i="11"/>
  <c r="F98" i="11"/>
  <c r="G98" i="11"/>
  <c r="P98" i="11" s="1"/>
  <c r="O98" i="11" s="1"/>
  <c r="E99" i="11"/>
  <c r="F99" i="11"/>
  <c r="G99" i="11"/>
  <c r="P99" i="11" s="1"/>
  <c r="O99" i="11" s="1"/>
  <c r="E100" i="11"/>
  <c r="F100" i="11"/>
  <c r="G100" i="11"/>
  <c r="P100" i="11" s="1"/>
  <c r="O100" i="11" s="1"/>
  <c r="E101" i="11"/>
  <c r="F101" i="11"/>
  <c r="G101" i="11"/>
  <c r="P101" i="11" s="1"/>
  <c r="O101" i="11" s="1"/>
  <c r="E102" i="11"/>
  <c r="F102" i="11"/>
  <c r="G102" i="11"/>
  <c r="E103" i="11"/>
  <c r="F103" i="11"/>
  <c r="G103" i="11"/>
  <c r="E104" i="11"/>
  <c r="F104" i="11"/>
  <c r="G104" i="11"/>
  <c r="P104" i="11" s="1"/>
  <c r="O104" i="11" s="1"/>
  <c r="E105" i="11"/>
  <c r="F105" i="11"/>
  <c r="G105" i="11"/>
  <c r="P105" i="11" s="1"/>
  <c r="O105" i="11" s="1"/>
  <c r="E106" i="11"/>
  <c r="F106" i="11"/>
  <c r="G106" i="11"/>
  <c r="E107" i="11"/>
  <c r="F107" i="11"/>
  <c r="G107" i="11"/>
  <c r="P107" i="11" s="1"/>
  <c r="O107" i="11" s="1"/>
  <c r="E108" i="11"/>
  <c r="F108" i="11"/>
  <c r="G108" i="11"/>
  <c r="P108" i="11" s="1"/>
  <c r="O108" i="11" s="1"/>
  <c r="E109" i="11"/>
  <c r="F109" i="11"/>
  <c r="G109" i="11"/>
  <c r="P109" i="11" s="1"/>
  <c r="O109" i="11" s="1"/>
  <c r="E110" i="11"/>
  <c r="F110" i="11"/>
  <c r="G110" i="11"/>
  <c r="P110" i="11" s="1"/>
  <c r="O110" i="11" s="1"/>
  <c r="E111" i="11"/>
  <c r="F111" i="11"/>
  <c r="G111" i="11"/>
  <c r="E112" i="11"/>
  <c r="F112" i="11"/>
  <c r="G112" i="11"/>
  <c r="E113" i="11"/>
  <c r="F113" i="11"/>
  <c r="G113" i="11"/>
  <c r="P113" i="11" s="1"/>
  <c r="O113" i="11" s="1"/>
  <c r="E114" i="11"/>
  <c r="F114" i="11"/>
  <c r="G114" i="11"/>
  <c r="P114" i="11" s="1"/>
  <c r="O114" i="11" s="1"/>
  <c r="E115" i="11"/>
  <c r="F115" i="11"/>
  <c r="G115" i="11"/>
  <c r="E116" i="11"/>
  <c r="F116" i="11"/>
  <c r="G116" i="11"/>
  <c r="E117" i="11"/>
  <c r="F117" i="11"/>
  <c r="G117" i="11"/>
  <c r="P117" i="11" s="1"/>
  <c r="O117" i="11" s="1"/>
  <c r="E118" i="11"/>
  <c r="F118" i="11"/>
  <c r="G118" i="11"/>
  <c r="P118" i="11" s="1"/>
  <c r="O118" i="11" s="1"/>
  <c r="E119" i="11"/>
  <c r="F119" i="11"/>
  <c r="G119" i="11"/>
  <c r="E120" i="11"/>
  <c r="F120" i="11"/>
  <c r="G120" i="11"/>
  <c r="E121" i="11"/>
  <c r="F121" i="11"/>
  <c r="G121" i="11"/>
  <c r="P121" i="11" s="1"/>
  <c r="O121" i="11" s="1"/>
  <c r="E122" i="11"/>
  <c r="F122" i="11"/>
  <c r="G122" i="11"/>
  <c r="P122" i="11" s="1"/>
  <c r="O122" i="11" s="1"/>
  <c r="E123" i="11"/>
  <c r="F123" i="11"/>
  <c r="G123" i="11"/>
  <c r="P123" i="11" s="1"/>
  <c r="O123" i="11" s="1"/>
  <c r="E25" i="11"/>
  <c r="F25" i="11"/>
  <c r="G25" i="11"/>
  <c r="P25" i="11" s="1"/>
  <c r="O25" i="11" s="1"/>
  <c r="F24" i="11"/>
  <c r="G24" i="11"/>
  <c r="P24" i="11" s="1"/>
  <c r="O24" i="11" s="1"/>
  <c r="E24" i="11"/>
  <c r="F22" i="11"/>
  <c r="G22" i="11"/>
  <c r="E22" i="11"/>
  <c r="F21" i="11"/>
  <c r="E21" i="11"/>
  <c r="F16" i="4"/>
  <c r="F10" i="4"/>
  <c r="G16" i="4"/>
  <c r="K15" i="11"/>
  <c r="K16" i="11"/>
  <c r="K17" i="11"/>
  <c r="K18" i="11"/>
  <c r="K14" i="11"/>
  <c r="K19" i="11" s="1"/>
  <c r="H19" i="11"/>
  <c r="H15" i="11"/>
  <c r="H16" i="11"/>
  <c r="H17" i="11"/>
  <c r="H18" i="11"/>
  <c r="H14" i="11"/>
  <c r="J19" i="11"/>
  <c r="G18" i="11"/>
  <c r="G17" i="11"/>
  <c r="G16" i="11"/>
  <c r="G15" i="11"/>
  <c r="G14" i="11"/>
  <c r="F18" i="11"/>
  <c r="F17" i="11"/>
  <c r="F16" i="11"/>
  <c r="F15" i="11"/>
  <c r="F14" i="11"/>
  <c r="E15" i="11"/>
  <c r="E16" i="11"/>
  <c r="E17" i="11"/>
  <c r="E18" i="11"/>
  <c r="E14" i="11"/>
  <c r="E25" i="3"/>
  <c r="G23" i="3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F25" i="3"/>
  <c r="F24" i="3"/>
  <c r="E24" i="3"/>
  <c r="F23" i="3"/>
  <c r="E23" i="3"/>
  <c r="N61" i="2" l="1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P44" i="9" s="1"/>
  <c r="K44" i="9"/>
  <c r="J45" i="9"/>
  <c r="K45" i="9"/>
  <c r="J46" i="9"/>
  <c r="P46" i="9" s="1"/>
  <c r="K46" i="9"/>
  <c r="J47" i="9"/>
  <c r="K47" i="9"/>
  <c r="J48" i="9"/>
  <c r="K48" i="9"/>
  <c r="J49" i="9"/>
  <c r="P49" i="9" s="1"/>
  <c r="K49" i="9"/>
  <c r="K42" i="9"/>
  <c r="J42" i="9"/>
  <c r="O42" i="9" s="1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R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R44" i="9"/>
  <c r="H44" i="9"/>
  <c r="I44" i="9" s="1"/>
  <c r="T43" i="9"/>
  <c r="S43" i="9"/>
  <c r="H43" i="9"/>
  <c r="C43" i="9"/>
  <c r="T42" i="9"/>
  <c r="S42" i="9"/>
  <c r="R42" i="9"/>
  <c r="H42" i="9"/>
  <c r="I42" i="9" s="1"/>
  <c r="C42" i="9"/>
  <c r="C41" i="9"/>
  <c r="F42" i="9" s="1"/>
  <c r="H35" i="9"/>
  <c r="J34" i="9"/>
  <c r="G34" i="9"/>
  <c r="D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F29" i="9" l="1"/>
  <c r="E29" i="9" s="1"/>
  <c r="Q65" i="2"/>
  <c r="S65" i="2" s="1"/>
  <c r="Q62" i="2"/>
  <c r="S62" i="2" s="1"/>
  <c r="Q61" i="2"/>
  <c r="S61" i="2" s="1"/>
  <c r="Q63" i="2"/>
  <c r="S63" i="2" s="1"/>
  <c r="F50" i="9"/>
  <c r="E50" i="9" s="1"/>
  <c r="W42" i="9"/>
  <c r="Q42" i="9"/>
  <c r="P42" i="9"/>
  <c r="F49" i="9"/>
  <c r="F44" i="9"/>
  <c r="E46" i="9"/>
  <c r="U44" i="9"/>
  <c r="X48" i="9"/>
  <c r="F48" i="9"/>
  <c r="E48" i="9" s="1"/>
  <c r="U46" i="9"/>
  <c r="F45" i="9"/>
  <c r="N42" i="9"/>
  <c r="D50" i="9"/>
  <c r="F47" i="9"/>
  <c r="U49" i="9"/>
  <c r="F43" i="9"/>
  <c r="E42" i="9"/>
  <c r="D42" i="9"/>
  <c r="W46" i="9"/>
  <c r="X46" i="9"/>
  <c r="V46" i="9"/>
  <c r="X44" i="9"/>
  <c r="W44" i="9"/>
  <c r="X42" i="9"/>
  <c r="V47" i="9"/>
  <c r="X47" i="9"/>
  <c r="U42" i="9"/>
  <c r="W45" i="9"/>
  <c r="V42" i="9"/>
  <c r="V45" i="9"/>
  <c r="X45" i="9"/>
  <c r="W47" i="9"/>
  <c r="V44" i="9"/>
  <c r="V48" i="9"/>
  <c r="W48" i="9"/>
  <c r="Q46" i="9"/>
  <c r="Q49" i="9"/>
  <c r="O44" i="9"/>
  <c r="O49" i="9"/>
  <c r="O46" i="9"/>
  <c r="Q44" i="9"/>
  <c r="I53" i="9"/>
  <c r="W49" i="9"/>
  <c r="D55" i="9"/>
  <c r="D56" i="9"/>
  <c r="D57" i="9"/>
  <c r="D58" i="9"/>
  <c r="D59" i="9"/>
  <c r="D60" i="9"/>
  <c r="D61" i="9"/>
  <c r="X49" i="9"/>
  <c r="I43" i="9"/>
  <c r="N44" i="9"/>
  <c r="M44" i="9" s="1"/>
  <c r="N46" i="9"/>
  <c r="M46" i="9" s="1"/>
  <c r="N49" i="9"/>
  <c r="M49" i="9" s="1"/>
  <c r="V49" i="9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L42" i="9" l="1"/>
  <c r="S67" i="2"/>
  <c r="D48" i="9"/>
  <c r="L44" i="9"/>
  <c r="E44" i="9"/>
  <c r="D44" i="9"/>
  <c r="D49" i="9"/>
  <c r="E49" i="9"/>
  <c r="D43" i="9"/>
  <c r="E43" i="9"/>
  <c r="E45" i="9"/>
  <c r="D45" i="9"/>
  <c r="L46" i="9"/>
  <c r="E47" i="9"/>
  <c r="D47" i="9"/>
  <c r="L49" i="9"/>
  <c r="A52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R45" i="9" s="1"/>
  <c r="AA15" i="4"/>
  <c r="AJ15" i="4" s="1"/>
  <c r="R47" i="9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50" i="9" s="1"/>
  <c r="AA21" i="4"/>
  <c r="AJ21" i="4" s="1"/>
  <c r="AA10" i="4"/>
  <c r="AJ10" i="4" s="1"/>
  <c r="R43" i="9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Q10" i="8" l="1"/>
  <c r="P7" i="8"/>
  <c r="Q8" i="8"/>
  <c r="Q9" i="8"/>
  <c r="P6" i="8"/>
  <c r="F14" i="8"/>
  <c r="J14" i="8" s="1"/>
  <c r="N28" i="4" s="1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N28" i="9"/>
  <c r="M28" i="9" s="1"/>
  <c r="R17" i="9"/>
  <c r="P11" i="9"/>
  <c r="R21" i="9"/>
  <c r="O18" i="9"/>
  <c r="R27" i="9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H25" i="3"/>
  <c r="H24" i="3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AB63" i="7" l="1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H5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V18" i="5"/>
  <c r="L18" i="9"/>
  <c r="L25" i="9"/>
  <c r="L16" i="9"/>
  <c r="L11" i="9"/>
  <c r="L14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O47" i="9" s="1"/>
  <c r="AH15" i="4"/>
  <c r="P47" i="9" s="1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O48" i="9" l="1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9" i="1"/>
  <c r="F6" i="5"/>
  <c r="F5" i="5"/>
  <c r="G7" i="5" s="1"/>
  <c r="H15" i="7" l="1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23" i="9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E35" i="3" l="1"/>
  <c r="E34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10" i="4"/>
  <c r="V10" i="4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F15" i="7" l="1"/>
  <c r="F6" i="7"/>
  <c r="F9" i="7"/>
  <c r="F5" i="7"/>
  <c r="F11" i="7"/>
  <c r="F10" i="7"/>
  <c r="O22" i="3"/>
  <c r="O14" i="8"/>
  <c r="S14" i="8" s="1"/>
  <c r="L18" i="8"/>
  <c r="P18" i="8"/>
  <c r="K17" i="8"/>
  <c r="F17" i="8"/>
  <c r="J17" i="8" s="1"/>
  <c r="N31" i="4" s="1"/>
  <c r="O17" i="8"/>
  <c r="L16" i="8"/>
  <c r="P16" i="8"/>
  <c r="K15" i="8"/>
  <c r="F15" i="8"/>
  <c r="J15" i="8" s="1"/>
  <c r="N29" i="4" s="1"/>
  <c r="O15" i="8"/>
  <c r="S15" i="8" s="1"/>
  <c r="K16" i="8"/>
  <c r="F16" i="8"/>
  <c r="J16" i="8" s="1"/>
  <c r="N30" i="4" s="1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K18" i="8"/>
  <c r="F18" i="8"/>
  <c r="J18" i="8" s="1"/>
  <c r="N32" i="4" s="1"/>
  <c r="O18" i="8"/>
  <c r="K19" i="8"/>
  <c r="F19" i="8"/>
  <c r="J19" i="8" s="1"/>
  <c r="N33" i="4" s="1"/>
  <c r="O19" i="8"/>
  <c r="S19" i="8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U18" i="5" s="1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M19" i="8" l="1"/>
  <c r="L14" i="8"/>
  <c r="M14" i="8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K6" i="10" l="1"/>
  <c r="W12" i="9" s="1"/>
  <c r="K5" i="10"/>
  <c r="W22" i="9" s="1"/>
  <c r="L16" i="10"/>
  <c r="L15" i="10"/>
  <c r="X17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X28" i="9"/>
  <c r="U12" i="9"/>
  <c r="U23" i="9"/>
  <c r="U10" i="9"/>
  <c r="U21" i="9"/>
  <c r="W21" i="9"/>
  <c r="W23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W10" i="9" l="1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U16" i="5" l="1"/>
  <c r="X5" i="7"/>
  <c r="N14" i="5"/>
  <c r="AJ18" i="5" l="1"/>
  <c r="V19" i="5"/>
  <c r="U19" i="5" s="1"/>
  <c r="AI19" i="5" s="1"/>
  <c r="X6" i="7"/>
  <c r="P5" i="7"/>
  <c r="W5" i="7"/>
  <c r="O5" i="7" s="1"/>
  <c r="AI18" i="5"/>
  <c r="AD18" i="5"/>
  <c r="M18" i="5"/>
  <c r="N19" i="5"/>
  <c r="L5" i="7" l="1"/>
  <c r="V20" i="5"/>
  <c r="AJ20" i="5" s="1"/>
  <c r="X7" i="7"/>
  <c r="AJ19" i="5"/>
  <c r="AM19" i="5" s="1"/>
  <c r="P6" i="7"/>
  <c r="W6" i="7"/>
  <c r="O6" i="7" s="1"/>
  <c r="AL19" i="5"/>
  <c r="AD19" i="5"/>
  <c r="AI14" i="5"/>
  <c r="M19" i="5"/>
  <c r="K18" i="5" s="1"/>
  <c r="N20" i="5"/>
  <c r="U20" i="5" l="1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21" i="5" l="1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I22" i="5" s="1"/>
  <c r="AL22" i="5" s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L23" i="5" l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K22" i="5"/>
  <c r="M24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AI26" i="5" s="1"/>
  <c r="AL26" i="5" s="1"/>
  <c r="P13" i="7"/>
  <c r="W13" i="7"/>
  <c r="O13" i="7" s="1"/>
  <c r="V27" i="5"/>
  <c r="U27" i="5" s="1"/>
  <c r="AI27" i="5" s="1"/>
  <c r="X14" i="7"/>
  <c r="L12" i="7"/>
  <c r="K24" i="5"/>
  <c r="M26" i="5"/>
  <c r="N27" i="5"/>
  <c r="AL27" i="5" l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U28" i="5" l="1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AM46" i="5" s="1"/>
  <c r="X33" i="7"/>
  <c r="P32" i="7"/>
  <c r="W32" i="7"/>
  <c r="O32" i="7" s="1"/>
  <c r="AD45" i="5"/>
  <c r="K43" i="5"/>
  <c r="M45" i="5"/>
  <c r="N46" i="5"/>
  <c r="U46" i="5" l="1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K114" i="5"/>
  <c r="M116" i="5"/>
  <c r="N117" i="5"/>
  <c r="AD116" i="5" l="1"/>
  <c r="AJ117" i="5"/>
  <c r="AM117" i="5" s="1"/>
  <c r="L103" i="7"/>
  <c r="P104" i="7"/>
  <c r="W104" i="7"/>
  <c r="O104" i="7" s="1"/>
  <c r="AD117" i="5"/>
  <c r="V118" i="5"/>
  <c r="AL117" i="5"/>
  <c r="M117" i="5"/>
  <c r="P15" i="5"/>
  <c r="K115" i="5"/>
  <c r="N119" i="5"/>
  <c r="N121" i="5" s="1"/>
  <c r="L104" i="7" l="1"/>
  <c r="L4" i="7" s="1"/>
  <c r="M119" i="5"/>
  <c r="M121" i="5" s="1"/>
  <c r="N118" i="5"/>
  <c r="K116" i="5"/>
  <c r="AJ118" i="5"/>
  <c r="AM118" i="5" s="1"/>
  <c r="V6" i="7"/>
  <c r="N6" i="7" s="1"/>
  <c r="T6" i="7" s="1"/>
  <c r="V5" i="7"/>
  <c r="N5" i="7" s="1"/>
  <c r="T5" i="7" s="1"/>
  <c r="T19" i="5"/>
  <c r="AC19" i="5" s="1"/>
  <c r="AE19" i="5" s="1"/>
  <c r="L21" i="5"/>
  <c r="T18" i="5"/>
  <c r="AC18" i="5" s="1"/>
  <c r="AE18" i="5" s="1"/>
  <c r="B20" i="5"/>
  <c r="L18" i="5"/>
  <c r="U5" i="7" l="1"/>
  <c r="AH19" i="5"/>
  <c r="AF19" i="5"/>
  <c r="T21" i="5"/>
  <c r="V8" i="7"/>
  <c r="N8" i="7" s="1"/>
  <c r="T8" i="7" s="1"/>
  <c r="T20" i="5"/>
  <c r="V7" i="7"/>
  <c r="N7" i="7" s="1"/>
  <c r="T7" i="7" s="1"/>
  <c r="U6" i="7" s="1"/>
  <c r="L20" i="5"/>
  <c r="L19" i="5"/>
  <c r="T16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<sst xmlns="http://schemas.openxmlformats.org/spreadsheetml/2006/main" count="819" uniqueCount="323">
  <si>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</si>
  <si>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</si>
  <si>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</si>
  <si>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</si>
  <si>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</si>
  <si>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</si>
  <si>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</si>
  <si>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</si>
  <si>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</si>
  <si>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</si>
  <si>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</si>
  <si>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</si>
  <si>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</si>
  <si>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</si>
  <si>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</si>
  <si>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</si>
  <si>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</si>
  <si>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</si>
  <si>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</si>
  <si>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</si>
  <si>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</si>
  <si>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</si>
  <si>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</si>
  <si>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</si>
  <si>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</si>
  <si>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</si>
  <si>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</si>
  <si>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</si>
  <si>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</si>
  <si>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</si>
  <si>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</si>
  <si>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</si>
  <si>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</si>
  <si>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</si>
  <si>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</si>
  <si>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</si>
  <si>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</si>
  <si>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</si>
  <si>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</si>
  <si>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</si>
  <si>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</si>
  <si>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</si>
  <si>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</si>
  <si>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</si>
  <si>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</si>
  <si>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</si>
  <si>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</si>
  <si>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</si>
  <si>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</si>
  <si>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</si>
  <si>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</si>
  <si>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</si>
  <si>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</si>
  <si>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</si>
  <si>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</si>
  <si>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</si>
  <si>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</si>
  <si>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</si>
  <si>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</si>
  <si>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</si>
  <si>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</si>
  <si>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</si>
  <si>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</si>
  <si>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</si>
  <si>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</si>
  <si>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</si>
  <si>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</si>
  <si>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</si>
  <si>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</si>
  <si>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</si>
  <si>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</si>
  <si>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</si>
  <si>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</si>
  <si>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</si>
  <si>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</si>
  <si>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</si>
  <si>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</si>
  <si>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</si>
  <si>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</si>
  <si>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</si>
  <si>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</si>
  <si>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</si>
  <si>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</si>
  <si>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</si>
  <si>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</si>
  <si>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</si>
  <si>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</si>
  <si>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</si>
  <si>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</si>
  <si>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</si>
  <si>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</si>
  <si>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</si>
  <si>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</si>
  <si>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</si>
  <si>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</si>
  <si>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</si>
  <si>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</si>
  <si>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</si>
  <si>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</si>
  <si>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</si>
  <si>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</si>
  <si>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</si>
  <si>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</si>
  <si>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</si>
  <si>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</si>
  <si>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</si>
  <si>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</si>
  <si>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</si>
  <si>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</si>
  <si>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</si>
  <si>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</si>
  <si>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</si>
  <si>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</si>
  <si>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</si>
  <si>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</si>
  <si>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</si>
  <si>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</si>
  <si>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</si>
  <si>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</si>
  <si>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</si>
  <si>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</si>
  <si>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</si>
  <si>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</si>
  <si>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</si>
  <si>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</si>
  <si>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</si>
  <si>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</si>
  <si>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</si>
  <si>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</si>
  <si>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</si>
  <si>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</si>
  <si>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</si>
  <si>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</si>
  <si>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</si>
  <si>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</si>
  <si>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</si>
  <si>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</si>
  <si>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</si>
  <si>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</si>
  <si>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</si>
  <si>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</si>
  <si>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</si>
  <si>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</si>
  <si>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</si>
  <si>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</si>
  <si>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</si>
  <si>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</si>
  <si>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</si>
  <si>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</si>
  <si>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</si>
  <si>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</si>
  <si>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</si>
  <si>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</si>
  <si>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</si>
  <si>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</si>
  <si>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</si>
  <si>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</si>
  <si>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</si>
  <si>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</si>
  <si>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</si>
  <si>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</si>
  <si>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</si>
  <si>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</si>
  <si>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</si>
  <si>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</si>
  <si>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</si>
  <si>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</si>
  <si>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</si>
  <si>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</si>
  <si>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</si>
  <si>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</si>
  <si>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</si>
  <si>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</si>
  <si>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</si>
  <si>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</si>
  <si>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</si>
  <si>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</si>
  <si>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</si>
  <si>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</si>
  <si>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</si>
  <si>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</si>
  <si>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</si>
  <si>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</si>
  <si>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</si>
  <si>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</si>
  <si>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</si>
  <si>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</si>
  <si>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</si>
  <si>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</si>
  <si>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</si>
  <si>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</si>
  <si>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</si>
  <si>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</si>
  <si>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</si>
  <si>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</si>
  <si>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</si>
  <si>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</si>
  <si>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</si>
  <si>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</si>
  <si>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</si>
  <si>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</si>
  <si>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</si>
  <si>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</si>
  <si>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</si>
  <si>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</si>
  <si>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</si>
  <si>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</si>
  <si>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</si>
  <si>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</si>
  <si>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</si>
  <si>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</si>
  <si>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</si>
  <si>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</si>
  <si>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</si>
  <si>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</si>
  <si>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</si>
  <si>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</si>
  <si>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</si>
  <si>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</si>
  <si>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</si>
  <si>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</si>
  <si>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</si>
  <si>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</si>
  <si>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</si>
  <si>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</si>
  <si>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</si>
  <si>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</si>
  <si>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</si>
  <si>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</si>
  <si>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</si>
  <si>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</si>
  <si>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</si>
  <si>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</si>
  <si>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</si>
  <si>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</si>
  <si>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</si>
  <si>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</si>
  <si>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</si>
  <si>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</si>
  <si>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</si>
  <si>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</si>
  <si>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</si>
  <si>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</si>
  <si>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</si>
  <si>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</si>
  <si>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</si>
  <si>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</si>
  <si>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</si>
  <si>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</si>
  <si>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</si>
  <si>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</si>
  <si>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</si>
  <si>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</si>
  <si>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</si>
  <si>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</si>
  <si>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</si>
  <si>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</si>
  <si>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</si>
  <si>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</si>
  <si>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</si>
  <si>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</si>
  <si>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</si>
  <si>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</si>
  <si>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</si>
  <si>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</si>
  <si>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</si>
  <si>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</si>
  <si>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</si>
  <si>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</si>
  <si>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</si>
  <si>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</si>
  <si>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</si>
  <si>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</si>
  <si>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</si>
  <si>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</si>
  <si>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</si>
  <si>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</si>
  <si>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</si>
  <si>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</si>
  <si>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</si>
  <si>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</si>
  <si>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</si>
  <si>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</si>
  <si>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</si>
  <si>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</si>
  <si>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</si>
  <si>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</si>
  <si>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</si>
  <si>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</si>
  <si>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</si>
  <si>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</si>
  <si>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</si>
  <si>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</si>
  <si>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</si>
  <si>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</si>
  <si>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</si>
  <si>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</si>
  <si>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</si>
  <si>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</si>
  <si>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</si>
  <si>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</si>
  <si>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</si>
  <si>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</si>
  <si>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</si>
  <si>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</si>
  <si>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</si>
  <si>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</si>
  <si>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</si>
  <si>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</si>
  <si>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</si>
  <si>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</si>
  <si>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</si>
  <si>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</si>
  <si>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</si>
  <si>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</si>
  <si>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</si>
  <si>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</si>
  <si>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</si>
  <si>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</si>
  <si>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</si>
  <si>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</si>
  <si>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大招CD计算公式有问题</t>
    <phoneticPr fontId="1" type="noConversion"/>
  </si>
  <si>
    <t>1分9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</si>
</sst>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8.0849999999999991</c:v>
                </c:pt>
                <c:pt idx="3">
                  <c:v>8.4892500000000002</c:v>
                </c:pt>
                <c:pt idx="4">
                  <c:v>8.913712499999999</c:v>
                </c:pt>
                <c:pt idx="5">
                  <c:v>9.3593981250000002</c:v>
                </c:pt>
                <c:pt idx="6">
                  <c:v>9.8273680312499998</c:v>
                </c:pt>
                <c:pt idx="7">
                  <c:v>10.318736432812502</c:v>
                </c:pt>
                <c:pt idx="8">
                  <c:v>10.834673254453126</c:v>
                </c:pt>
                <c:pt idx="9">
                  <c:v>11.376406917175782</c:v>
                </c:pt>
                <c:pt idx="10">
                  <c:v>11.945227263034571</c:v>
                </c:pt>
                <c:pt idx="11">
                  <c:v>12.5424886261863</c:v>
                </c:pt>
                <c:pt idx="12">
                  <c:v>13.169613057495614</c:v>
                </c:pt>
                <c:pt idx="13">
                  <c:v>13.828093710370396</c:v>
                </c:pt>
                <c:pt idx="14">
                  <c:v>14.519498395888913</c:v>
                </c:pt>
                <c:pt idx="15">
                  <c:v>15.245473315683364</c:v>
                </c:pt>
                <c:pt idx="16">
                  <c:v>16.00774698146753</c:v>
                </c:pt>
                <c:pt idx="17">
                  <c:v>16.808134330540909</c:v>
                </c:pt>
                <c:pt idx="18">
                  <c:v>17.648541047067955</c:v>
                </c:pt>
                <c:pt idx="19">
                  <c:v>18.530968099421351</c:v>
                </c:pt>
                <c:pt idx="20">
                  <c:v>19.457516504392419</c:v>
                </c:pt>
                <c:pt idx="21">
                  <c:v>20.43039232961204</c:v>
                </c:pt>
                <c:pt idx="22">
                  <c:v>21.45191194609264</c:v>
                </c:pt>
                <c:pt idx="23">
                  <c:v>22.524507543397277</c:v>
                </c:pt>
                <c:pt idx="24">
                  <c:v>23.650732920567137</c:v>
                </c:pt>
                <c:pt idx="25">
                  <c:v>24.833269566595494</c:v>
                </c:pt>
                <c:pt idx="26">
                  <c:v>26.07493304492527</c:v>
                </c:pt>
                <c:pt idx="27">
                  <c:v>27.378679697171538</c:v>
                </c:pt>
                <c:pt idx="28">
                  <c:v>28.74761368203011</c:v>
                </c:pt>
                <c:pt idx="29">
                  <c:v>30.184994366131619</c:v>
                </c:pt>
                <c:pt idx="30">
                  <c:v>31.694244084438189</c:v>
                </c:pt>
                <c:pt idx="31">
                  <c:v>33.278956288660112</c:v>
                </c:pt>
                <c:pt idx="32">
                  <c:v>34.942904103093113</c:v>
                </c:pt>
                <c:pt idx="33">
                  <c:v>36.690049308247772</c:v>
                </c:pt>
                <c:pt idx="34">
                  <c:v>38.524551773660157</c:v>
                </c:pt>
                <c:pt idx="35">
                  <c:v>40.450779362343177</c:v>
                </c:pt>
                <c:pt idx="36">
                  <c:v>42.47331833046033</c:v>
                </c:pt>
                <c:pt idx="37">
                  <c:v>44.596984246983347</c:v>
                </c:pt>
                <c:pt idx="38">
                  <c:v>46.826833459332505</c:v>
                </c:pt>
                <c:pt idx="39">
                  <c:v>49.16817513229914</c:v>
                </c:pt>
                <c:pt idx="40">
                  <c:v>51.626583888914091</c:v>
                </c:pt>
                <c:pt idx="41">
                  <c:v>54.207913083359799</c:v>
                </c:pt>
                <c:pt idx="42">
                  <c:v>56.918308737527788</c:v>
                </c:pt>
                <c:pt idx="43">
                  <c:v>59.764224174404184</c:v>
                </c:pt>
                <c:pt idx="44">
                  <c:v>62.752435383124386</c:v>
                </c:pt>
                <c:pt idx="45">
                  <c:v>65.890057152280619</c:v>
                </c:pt>
                <c:pt idx="46">
                  <c:v>69.184560009894639</c:v>
                </c:pt>
                <c:pt idx="47">
                  <c:v>72.643788010389386</c:v>
                </c:pt>
                <c:pt idx="48">
                  <c:v>76.275977410908851</c:v>
                </c:pt>
                <c:pt idx="49">
                  <c:v>80.089776281454306</c:v>
                </c:pt>
                <c:pt idx="50">
                  <c:v>84.094265095527021</c:v>
                </c:pt>
                <c:pt idx="51">
                  <c:v>88.298978350303372</c:v>
                </c:pt>
                <c:pt idx="52">
                  <c:v>92.713927267818534</c:v>
                </c:pt>
                <c:pt idx="53">
                  <c:v>97.349623631209454</c:v>
                </c:pt>
                <c:pt idx="54">
                  <c:v>102.21710481276992</c:v>
                </c:pt>
                <c:pt idx="55">
                  <c:v>107.32796005340845</c:v>
                </c:pt>
                <c:pt idx="56">
                  <c:v>112.69435805607884</c:v>
                </c:pt>
                <c:pt idx="57">
                  <c:v>118.3290759588828</c:v>
                </c:pt>
                <c:pt idx="58">
                  <c:v>124.24552975682695</c:v>
                </c:pt>
                <c:pt idx="59">
                  <c:v>130.45780624466829</c:v>
                </c:pt>
                <c:pt idx="60">
                  <c:v>136.98069655690171</c:v>
                </c:pt>
                <c:pt idx="61">
                  <c:v>143.82973138474682</c:v>
                </c:pt>
                <c:pt idx="62">
                  <c:v>151.02121795398409</c:v>
                </c:pt>
                <c:pt idx="63">
                  <c:v>158.57227885168336</c:v>
                </c:pt>
                <c:pt idx="64">
                  <c:v>166.50089279426751</c:v>
                </c:pt>
                <c:pt idx="65">
                  <c:v>174.82593743398093</c:v>
                </c:pt>
                <c:pt idx="66">
                  <c:v>183.56723430567996</c:v>
                </c:pt>
                <c:pt idx="67">
                  <c:v>192.74559602096397</c:v>
                </c:pt>
                <c:pt idx="68">
                  <c:v>202.38287582201215</c:v>
                </c:pt>
                <c:pt idx="69">
                  <c:v>212.50201961311276</c:v>
                </c:pt>
                <c:pt idx="70">
                  <c:v>223.12712059376838</c:v>
                </c:pt>
                <c:pt idx="71">
                  <c:v>234.28347662345683</c:v>
                </c:pt>
                <c:pt idx="72">
                  <c:v>245.99765045462968</c:v>
                </c:pt>
                <c:pt idx="73">
                  <c:v>258.29753297736113</c:v>
                </c:pt>
                <c:pt idx="74">
                  <c:v>271.2124096262292</c:v>
                </c:pt>
                <c:pt idx="75">
                  <c:v>284.77303010754065</c:v>
                </c:pt>
                <c:pt idx="76">
                  <c:v>299.01168161291764</c:v>
                </c:pt>
                <c:pt idx="77">
                  <c:v>313.96226569356361</c:v>
                </c:pt>
                <c:pt idx="78">
                  <c:v>329.66037897824168</c:v>
                </c:pt>
                <c:pt idx="79">
                  <c:v>346.1433979271539</c:v>
                </c:pt>
                <c:pt idx="80">
                  <c:v>363.45056782351156</c:v>
                </c:pt>
                <c:pt idx="81">
                  <c:v>381.62309621468722</c:v>
                </c:pt>
                <c:pt idx="82">
                  <c:v>400.70425102542157</c:v>
                </c:pt>
                <c:pt idx="83">
                  <c:v>420.73946357669263</c:v>
                </c:pt>
                <c:pt idx="84">
                  <c:v>441.7764367555273</c:v>
                </c:pt>
                <c:pt idx="85">
                  <c:v>463.86525859330357</c:v>
                </c:pt>
                <c:pt idx="86">
                  <c:v>487.05852152296876</c:v>
                </c:pt>
                <c:pt idx="87">
                  <c:v>511.41144759911731</c:v>
                </c:pt>
                <c:pt idx="88">
                  <c:v>536.98201997907313</c:v>
                </c:pt>
                <c:pt idx="89">
                  <c:v>563.83112097802677</c:v>
                </c:pt>
                <c:pt idx="90">
                  <c:v>592.02267702692814</c:v>
                </c:pt>
                <c:pt idx="91">
                  <c:v>621.62381087827464</c:v>
                </c:pt>
                <c:pt idx="92">
                  <c:v>652.70500142218827</c:v>
                </c:pt>
                <c:pt idx="93">
                  <c:v>685.34025149329773</c:v>
                </c:pt>
                <c:pt idx="94">
                  <c:v>719.60726406796243</c:v>
                </c:pt>
                <c:pt idx="95">
                  <c:v>755.58762727136082</c:v>
                </c:pt>
                <c:pt idx="96">
                  <c:v>793.36700863492877</c:v>
                </c:pt>
                <c:pt idx="97">
                  <c:v>833.03535906667526</c:v>
                </c:pt>
                <c:pt idx="98">
                  <c:v>874.68712702000903</c:v>
                </c:pt>
                <c:pt idx="99">
                  <c:v>918.42148337100957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8.0849999999999991</c:v>
                </c:pt>
                <c:pt idx="3">
                  <c:v>8.4892500000000002</c:v>
                </c:pt>
                <c:pt idx="4">
                  <c:v>8.913712499999999</c:v>
                </c:pt>
                <c:pt idx="5">
                  <c:v>9.3593981250000002</c:v>
                </c:pt>
                <c:pt idx="6">
                  <c:v>9.8273680312499998</c:v>
                </c:pt>
                <c:pt idx="7">
                  <c:v>10.318736432812502</c:v>
                </c:pt>
                <c:pt idx="8">
                  <c:v>10.834673254453126</c:v>
                </c:pt>
                <c:pt idx="9">
                  <c:v>11.376406917175782</c:v>
                </c:pt>
                <c:pt idx="10">
                  <c:v>11.945227263034571</c:v>
                </c:pt>
                <c:pt idx="11">
                  <c:v>12.5424886261863</c:v>
                </c:pt>
                <c:pt idx="12">
                  <c:v>13.169613057495614</c:v>
                </c:pt>
                <c:pt idx="13">
                  <c:v>13.828093710370396</c:v>
                </c:pt>
                <c:pt idx="14">
                  <c:v>14.519498395888913</c:v>
                </c:pt>
                <c:pt idx="15">
                  <c:v>15.245473315683364</c:v>
                </c:pt>
                <c:pt idx="16">
                  <c:v>16.00774698146753</c:v>
                </c:pt>
                <c:pt idx="17">
                  <c:v>16.808134330540909</c:v>
                </c:pt>
                <c:pt idx="18">
                  <c:v>17.648541047067955</c:v>
                </c:pt>
                <c:pt idx="19">
                  <c:v>18.530968099421351</c:v>
                </c:pt>
                <c:pt idx="20">
                  <c:v>19.457516504392419</c:v>
                </c:pt>
                <c:pt idx="21">
                  <c:v>20.43039232961204</c:v>
                </c:pt>
                <c:pt idx="22">
                  <c:v>21.45191194609264</c:v>
                </c:pt>
                <c:pt idx="23">
                  <c:v>22.524507543397277</c:v>
                </c:pt>
                <c:pt idx="24">
                  <c:v>23.650732920567137</c:v>
                </c:pt>
                <c:pt idx="25">
                  <c:v>24.833269566595494</c:v>
                </c:pt>
                <c:pt idx="26">
                  <c:v>26.07493304492527</c:v>
                </c:pt>
                <c:pt idx="27">
                  <c:v>27.378679697171538</c:v>
                </c:pt>
                <c:pt idx="28">
                  <c:v>28.74761368203011</c:v>
                </c:pt>
                <c:pt idx="29">
                  <c:v>30.184994366131619</c:v>
                </c:pt>
                <c:pt idx="30">
                  <c:v>31.694244084438189</c:v>
                </c:pt>
                <c:pt idx="31">
                  <c:v>33.278956288660112</c:v>
                </c:pt>
                <c:pt idx="32">
                  <c:v>34.942904103093113</c:v>
                </c:pt>
                <c:pt idx="33">
                  <c:v>36.690049308247772</c:v>
                </c:pt>
                <c:pt idx="34">
                  <c:v>38.524551773660157</c:v>
                </c:pt>
                <c:pt idx="35">
                  <c:v>40.450779362343177</c:v>
                </c:pt>
                <c:pt idx="36">
                  <c:v>42.47331833046033</c:v>
                </c:pt>
                <c:pt idx="37">
                  <c:v>44.596984246983347</c:v>
                </c:pt>
                <c:pt idx="38">
                  <c:v>46.826833459332505</c:v>
                </c:pt>
                <c:pt idx="39">
                  <c:v>49.16817513229914</c:v>
                </c:pt>
                <c:pt idx="40">
                  <c:v>51.626583888914091</c:v>
                </c:pt>
                <c:pt idx="41">
                  <c:v>54.207913083359799</c:v>
                </c:pt>
                <c:pt idx="42">
                  <c:v>56.918308737527788</c:v>
                </c:pt>
                <c:pt idx="43">
                  <c:v>59.764224174404184</c:v>
                </c:pt>
                <c:pt idx="44">
                  <c:v>62.752435383124386</c:v>
                </c:pt>
                <c:pt idx="45">
                  <c:v>65.890057152280619</c:v>
                </c:pt>
                <c:pt idx="46">
                  <c:v>69.184560009894639</c:v>
                </c:pt>
                <c:pt idx="47">
                  <c:v>72.643788010389386</c:v>
                </c:pt>
                <c:pt idx="48">
                  <c:v>76.275977410908851</c:v>
                </c:pt>
                <c:pt idx="49">
                  <c:v>80.089776281454306</c:v>
                </c:pt>
                <c:pt idx="50">
                  <c:v>84.094265095527021</c:v>
                </c:pt>
                <c:pt idx="51">
                  <c:v>88.298978350303372</c:v>
                </c:pt>
                <c:pt idx="52">
                  <c:v>92.713927267818534</c:v>
                </c:pt>
                <c:pt idx="53">
                  <c:v>97.349623631209454</c:v>
                </c:pt>
                <c:pt idx="54">
                  <c:v>102.21710481276992</c:v>
                </c:pt>
                <c:pt idx="55">
                  <c:v>107.32796005340845</c:v>
                </c:pt>
                <c:pt idx="56">
                  <c:v>112.69435805607884</c:v>
                </c:pt>
                <c:pt idx="57">
                  <c:v>118.3290759588828</c:v>
                </c:pt>
                <c:pt idx="58">
                  <c:v>124.24552975682695</c:v>
                </c:pt>
                <c:pt idx="59">
                  <c:v>130.45780624466829</c:v>
                </c:pt>
                <c:pt idx="60">
                  <c:v>136.98069655690171</c:v>
                </c:pt>
                <c:pt idx="61">
                  <c:v>143.82973138474682</c:v>
                </c:pt>
                <c:pt idx="62">
                  <c:v>151.02121795398409</c:v>
                </c:pt>
                <c:pt idx="63">
                  <c:v>158.57227885168336</c:v>
                </c:pt>
                <c:pt idx="64">
                  <c:v>166.50089279426751</c:v>
                </c:pt>
                <c:pt idx="65">
                  <c:v>174.82593743398093</c:v>
                </c:pt>
                <c:pt idx="66">
                  <c:v>183.56723430567996</c:v>
                </c:pt>
                <c:pt idx="67">
                  <c:v>192.74559602096397</c:v>
                </c:pt>
                <c:pt idx="68">
                  <c:v>202.38287582201215</c:v>
                </c:pt>
                <c:pt idx="69">
                  <c:v>212.50201961311276</c:v>
                </c:pt>
                <c:pt idx="70">
                  <c:v>223.12712059376838</c:v>
                </c:pt>
                <c:pt idx="71">
                  <c:v>234.28347662345683</c:v>
                </c:pt>
                <c:pt idx="72">
                  <c:v>245.99765045462968</c:v>
                </c:pt>
                <c:pt idx="73">
                  <c:v>258.29753297736113</c:v>
                </c:pt>
                <c:pt idx="74">
                  <c:v>271.2124096262292</c:v>
                </c:pt>
                <c:pt idx="75">
                  <c:v>284.77303010754065</c:v>
                </c:pt>
                <c:pt idx="76">
                  <c:v>299.01168161291764</c:v>
                </c:pt>
                <c:pt idx="77">
                  <c:v>313.96226569356361</c:v>
                </c:pt>
                <c:pt idx="78">
                  <c:v>329.66037897824168</c:v>
                </c:pt>
                <c:pt idx="79">
                  <c:v>346.1433979271539</c:v>
                </c:pt>
                <c:pt idx="80">
                  <c:v>363.45056782351156</c:v>
                </c:pt>
                <c:pt idx="81">
                  <c:v>381.62309621468722</c:v>
                </c:pt>
                <c:pt idx="82">
                  <c:v>400.70425102542157</c:v>
                </c:pt>
                <c:pt idx="83">
                  <c:v>420.73946357669263</c:v>
                </c:pt>
                <c:pt idx="84">
                  <c:v>441.7764367555273</c:v>
                </c:pt>
                <c:pt idx="85">
                  <c:v>463.86525859330357</c:v>
                </c:pt>
                <c:pt idx="86">
                  <c:v>487.05852152296876</c:v>
                </c:pt>
                <c:pt idx="87">
                  <c:v>511.41144759911731</c:v>
                </c:pt>
                <c:pt idx="88">
                  <c:v>536.98201997907313</c:v>
                </c:pt>
                <c:pt idx="89">
                  <c:v>563.83112097802677</c:v>
                </c:pt>
                <c:pt idx="90">
                  <c:v>592.02267702692814</c:v>
                </c:pt>
                <c:pt idx="91">
                  <c:v>621.62381087827464</c:v>
                </c:pt>
                <c:pt idx="92">
                  <c:v>652.70500142218827</c:v>
                </c:pt>
                <c:pt idx="93">
                  <c:v>685.34025149329773</c:v>
                </c:pt>
                <c:pt idx="94">
                  <c:v>719.60726406796243</c:v>
                </c:pt>
                <c:pt idx="95">
                  <c:v>755.58762727136082</c:v>
                </c:pt>
                <c:pt idx="96">
                  <c:v>793.36700863492877</c:v>
                </c:pt>
                <c:pt idx="97">
                  <c:v>833.03535906667526</c:v>
                </c:pt>
                <c:pt idx="98">
                  <c:v>874.68712702000903</c:v>
                </c:pt>
                <c:pt idx="99">
                  <c:v>918.42148337100957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79" t="s">
        <v>230</v>
      </c>
      <c r="B1" s="80"/>
    </row>
    <row r="2" spans="1:25" ht="14.25" customHeight="1" x14ac:dyDescent="0.2">
      <c r="A2" s="81"/>
      <c r="B2" s="82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290</v>
      </c>
      <c r="M52" s="1">
        <f>L50/M50</f>
        <v>10</v>
      </c>
      <c r="N52" s="2" t="s">
        <v>296</v>
      </c>
    </row>
    <row r="53" spans="11:21" ht="14.25" customHeight="1" x14ac:dyDescent="0.2">
      <c r="L53" s="1" t="s">
        <v>291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292</v>
      </c>
      <c r="M54" s="1">
        <f>L50/M53</f>
        <v>20</v>
      </c>
      <c r="N54" s="2" t="s">
        <v>297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293</v>
      </c>
      <c r="M55" s="1">
        <f>M54/M50</f>
        <v>2</v>
      </c>
      <c r="N55" s="2" t="s">
        <v>298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294</v>
      </c>
      <c r="M56" s="1">
        <f>M53*(1+M53)/2</f>
        <v>15</v>
      </c>
      <c r="N56" s="2" t="s">
        <v>299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295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303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300</v>
      </c>
      <c r="L60" s="2" t="s">
        <v>302</v>
      </c>
      <c r="N60" s="1">
        <f>L50/$M$53</f>
        <v>20</v>
      </c>
    </row>
    <row r="61" spans="11:21" ht="14.25" customHeight="1" x14ac:dyDescent="0.2">
      <c r="K61" s="1" t="s">
        <v>301</v>
      </c>
      <c r="L61" s="2" t="s">
        <v>304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H23" sqref="H23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79" t="s">
        <v>19</v>
      </c>
      <c r="B1" s="80"/>
    </row>
    <row r="2" spans="1:25" ht="14.25" customHeight="1" x14ac:dyDescent="0.2">
      <c r="A2" s="81"/>
      <c r="B2" s="82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221</v>
      </c>
      <c r="X5" s="3" t="s">
        <v>222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223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224</v>
      </c>
      <c r="D16" s="3" t="s">
        <v>225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226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227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228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229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D48" s="104"/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4:18" ht="14.25" customHeight="1" x14ac:dyDescent="0.2">
      <c r="D49" s="104"/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79" t="s">
        <v>31</v>
      </c>
      <c r="B1" s="80"/>
    </row>
    <row r="2" spans="1:17" ht="14.25" customHeight="1" x14ac:dyDescent="0.2">
      <c r="A2" s="81"/>
      <c r="B2" s="82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5" t="s">
        <v>49</v>
      </c>
      <c r="I9" s="96"/>
      <c r="J9" s="96"/>
      <c r="K9" s="96"/>
      <c r="L9" s="96"/>
      <c r="M9" s="96"/>
      <c r="N9" s="96"/>
      <c r="O9" s="96"/>
      <c r="P9" s="96"/>
      <c r="Q9" s="97"/>
    </row>
    <row r="10" spans="1:17" ht="14.25" customHeight="1" x14ac:dyDescent="0.2">
      <c r="C10" s="83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98" t="s">
        <v>50</v>
      </c>
      <c r="I10" s="99"/>
      <c r="J10" s="99"/>
      <c r="K10" s="99"/>
      <c r="L10" s="99"/>
      <c r="M10" s="99"/>
      <c r="N10" s="99"/>
      <c r="O10" s="99"/>
      <c r="P10" s="99"/>
      <c r="Q10" s="100"/>
    </row>
    <row r="11" spans="1:17" ht="14.25" customHeight="1" x14ac:dyDescent="0.2">
      <c r="C11" s="84"/>
      <c r="D11" s="1" t="s">
        <v>35</v>
      </c>
      <c r="E11" s="1" t="s">
        <v>44</v>
      </c>
      <c r="F11" s="1" t="s">
        <v>48</v>
      </c>
      <c r="G11" s="13" t="s">
        <v>64</v>
      </c>
      <c r="H11" s="98" t="s">
        <v>51</v>
      </c>
      <c r="I11" s="99"/>
      <c r="J11" s="99"/>
      <c r="K11" s="99"/>
      <c r="L11" s="99"/>
      <c r="M11" s="99"/>
      <c r="N11" s="99"/>
      <c r="O11" s="99"/>
      <c r="P11" s="99"/>
      <c r="Q11" s="100"/>
    </row>
    <row r="12" spans="1:17" ht="14.25" customHeight="1" x14ac:dyDescent="0.2">
      <c r="C12" s="84"/>
      <c r="D12" s="1" t="s">
        <v>36</v>
      </c>
      <c r="E12" s="1" t="s">
        <v>44</v>
      </c>
      <c r="F12" s="1" t="s">
        <v>48</v>
      </c>
      <c r="G12" s="13" t="s">
        <v>64</v>
      </c>
      <c r="H12" s="98" t="s">
        <v>52</v>
      </c>
      <c r="I12" s="99"/>
      <c r="J12" s="99"/>
      <c r="K12" s="99"/>
      <c r="L12" s="99"/>
      <c r="M12" s="99"/>
      <c r="N12" s="99"/>
      <c r="O12" s="99"/>
      <c r="P12" s="99"/>
      <c r="Q12" s="100"/>
    </row>
    <row r="13" spans="1:17" ht="14.25" customHeight="1" x14ac:dyDescent="0.2">
      <c r="C13" s="84"/>
      <c r="D13" s="1" t="s">
        <v>37</v>
      </c>
      <c r="E13" s="1" t="s">
        <v>44</v>
      </c>
      <c r="F13" s="1" t="s">
        <v>48</v>
      </c>
      <c r="G13" s="13" t="s">
        <v>55</v>
      </c>
      <c r="H13" s="98" t="s">
        <v>53</v>
      </c>
      <c r="I13" s="99"/>
      <c r="J13" s="99"/>
      <c r="K13" s="99"/>
      <c r="L13" s="99"/>
      <c r="M13" s="99"/>
      <c r="N13" s="99"/>
      <c r="O13" s="99"/>
      <c r="P13" s="99"/>
      <c r="Q13" s="100"/>
    </row>
    <row r="14" spans="1:17" ht="14.25" customHeight="1" x14ac:dyDescent="0.2">
      <c r="C14" s="84"/>
      <c r="D14" s="1" t="s">
        <v>57</v>
      </c>
      <c r="E14" s="1" t="s">
        <v>44</v>
      </c>
      <c r="F14" s="1" t="s">
        <v>48</v>
      </c>
      <c r="G14" s="13" t="s">
        <v>56</v>
      </c>
      <c r="H14" s="98" t="s">
        <v>58</v>
      </c>
      <c r="I14" s="99"/>
      <c r="J14" s="99"/>
      <c r="K14" s="99"/>
      <c r="L14" s="99"/>
      <c r="M14" s="99"/>
      <c r="N14" s="99"/>
      <c r="O14" s="99"/>
      <c r="P14" s="99"/>
      <c r="Q14" s="100"/>
    </row>
    <row r="15" spans="1:17" ht="14.25" customHeight="1" x14ac:dyDescent="0.2">
      <c r="C15" s="85"/>
      <c r="D15" s="1" t="s">
        <v>13</v>
      </c>
      <c r="E15" s="1" t="s">
        <v>44</v>
      </c>
      <c r="F15" s="1" t="s">
        <v>48</v>
      </c>
      <c r="G15" s="13" t="s">
        <v>59</v>
      </c>
      <c r="H15" s="98" t="s">
        <v>60</v>
      </c>
      <c r="I15" s="99"/>
      <c r="J15" s="99"/>
      <c r="K15" s="99"/>
      <c r="L15" s="99"/>
      <c r="M15" s="99"/>
      <c r="N15" s="99"/>
      <c r="O15" s="99"/>
      <c r="P15" s="99"/>
      <c r="Q15" s="100"/>
    </row>
    <row r="16" spans="1:17" ht="14.25" customHeight="1" x14ac:dyDescent="0.2">
      <c r="C16" s="83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6" t="s">
        <v>63</v>
      </c>
      <c r="I16" s="87"/>
      <c r="J16" s="87"/>
      <c r="K16" s="87"/>
      <c r="L16" s="87"/>
      <c r="M16" s="87"/>
      <c r="N16" s="87"/>
      <c r="O16" s="87"/>
      <c r="P16" s="87"/>
      <c r="Q16" s="88"/>
    </row>
    <row r="17" spans="3:17" ht="14.25" customHeight="1" x14ac:dyDescent="0.2">
      <c r="C17" s="84"/>
      <c r="D17" s="1" t="s">
        <v>40</v>
      </c>
      <c r="E17" s="1" t="s">
        <v>45</v>
      </c>
      <c r="F17" s="1" t="s">
        <v>48</v>
      </c>
      <c r="G17" s="13" t="s">
        <v>65</v>
      </c>
      <c r="H17" s="89"/>
      <c r="I17" s="90"/>
      <c r="J17" s="90"/>
      <c r="K17" s="90"/>
      <c r="L17" s="90"/>
      <c r="M17" s="90"/>
      <c r="N17" s="90"/>
      <c r="O17" s="90"/>
      <c r="P17" s="90"/>
      <c r="Q17" s="91"/>
    </row>
    <row r="18" spans="3:17" ht="14.25" customHeight="1" x14ac:dyDescent="0.2">
      <c r="C18" s="85"/>
      <c r="D18" s="1" t="s">
        <v>41</v>
      </c>
      <c r="E18" s="1" t="s">
        <v>45</v>
      </c>
      <c r="F18" s="1" t="s">
        <v>48</v>
      </c>
      <c r="G18" s="13" t="s">
        <v>65</v>
      </c>
      <c r="H18" s="92"/>
      <c r="I18" s="93"/>
      <c r="J18" s="93"/>
      <c r="K18" s="93"/>
      <c r="L18" s="93"/>
      <c r="M18" s="93"/>
      <c r="N18" s="93"/>
      <c r="O18" s="93"/>
      <c r="P18" s="93"/>
      <c r="Q18" s="94"/>
    </row>
    <row r="19" spans="3:17" ht="14.25" customHeight="1" x14ac:dyDescent="0.2">
      <c r="C19" s="83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6" t="s">
        <v>67</v>
      </c>
      <c r="I19" s="87"/>
      <c r="J19" s="87"/>
      <c r="K19" s="87"/>
      <c r="L19" s="87"/>
      <c r="M19" s="87"/>
      <c r="N19" s="87"/>
      <c r="O19" s="87"/>
      <c r="P19" s="87"/>
      <c r="Q19" s="88"/>
    </row>
    <row r="20" spans="3:17" ht="14.25" customHeight="1" x14ac:dyDescent="0.2">
      <c r="C20" s="84"/>
      <c r="D20" s="1" t="s">
        <v>133</v>
      </c>
      <c r="E20" s="1" t="s">
        <v>45</v>
      </c>
      <c r="F20" s="1" t="s">
        <v>48</v>
      </c>
      <c r="G20" s="1" t="s">
        <v>126</v>
      </c>
      <c r="H20" s="89"/>
      <c r="I20" s="90"/>
      <c r="J20" s="90"/>
      <c r="K20" s="90"/>
      <c r="L20" s="90"/>
      <c r="M20" s="90"/>
      <c r="N20" s="90"/>
      <c r="O20" s="90"/>
      <c r="P20" s="90"/>
      <c r="Q20" s="91"/>
    </row>
    <row r="21" spans="3:17" ht="14.25" customHeight="1" x14ac:dyDescent="0.2">
      <c r="C21" s="85"/>
      <c r="D21" s="1" t="s">
        <v>125</v>
      </c>
      <c r="E21" s="1" t="s">
        <v>45</v>
      </c>
      <c r="F21" s="1" t="s">
        <v>48</v>
      </c>
      <c r="G21" s="1" t="s">
        <v>126</v>
      </c>
      <c r="H21" s="92"/>
      <c r="I21" s="93"/>
      <c r="J21" s="93"/>
      <c r="K21" s="93"/>
      <c r="L21" s="93"/>
      <c r="M21" s="93"/>
      <c r="N21" s="93"/>
      <c r="O21" s="93"/>
      <c r="P21" s="93"/>
      <c r="Q21" s="94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232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N28" sqref="N28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79" t="s">
        <v>91</v>
      </c>
      <c r="B1" s="80"/>
    </row>
    <row r="2" spans="1:36" ht="14.25" customHeight="1" x14ac:dyDescent="0.2">
      <c r="A2" s="81"/>
      <c r="B2" s="82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258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0.75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0.9</v>
      </c>
      <c r="AJ10" s="1">
        <f>AA10</f>
        <v>0.75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259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0.75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0.9</v>
      </c>
      <c r="AJ11" s="1">
        <f t="shared" ref="AJ11:AJ21" si="14">AA11</f>
        <v>0.75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260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0.751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0.95</v>
      </c>
      <c r="AJ12" s="1">
        <f t="shared" si="14"/>
        <v>0.751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261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0.751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0.95</v>
      </c>
      <c r="AJ13" s="1">
        <f t="shared" si="14"/>
        <v>0.751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262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1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263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1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264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0.80500000000000005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1.1000000000000001</v>
      </c>
      <c r="AJ16" s="1">
        <f t="shared" si="14"/>
        <v>0.80500000000000005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265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0.80500000000000005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1.1000000000000001</v>
      </c>
      <c r="AJ17" s="1">
        <f t="shared" si="14"/>
        <v>0.80500000000000005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266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0.77400000000000002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1.2</v>
      </c>
      <c r="AJ18" s="1">
        <f t="shared" si="14"/>
        <v>0.77400000000000002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4.166666666666667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0.9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267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0.77400000000000002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1.2</v>
      </c>
      <c r="AJ19" s="1">
        <f t="shared" si="14"/>
        <v>0.77400000000000002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5.2631578947368425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0.95</v>
      </c>
      <c r="L20" s="6">
        <f t="shared" ref="L20:L23" si="21">F20*$L$17*(1+I20*(J20-1))*K20</f>
        <v>150.00000000000003</v>
      </c>
      <c r="M20" s="6">
        <f>H20*$M$17*(1+G20*战斗公式!$E$40)+$M$17*基础模型!$G$17*$L$17</f>
        <v>133.33333333333331</v>
      </c>
      <c r="N20" s="22">
        <f t="shared" ref="N20:N23" si="22">L20+M20</f>
        <v>283.33333333333337</v>
      </c>
      <c r="O20" s="1">
        <v>25</v>
      </c>
      <c r="P20" s="21"/>
      <c r="R20" s="1" t="s">
        <v>268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0.79800000000000004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0.9</v>
      </c>
      <c r="AJ20" s="1">
        <f t="shared" si="14"/>
        <v>0.79800000000000004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8.75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1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269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0.79800000000000004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0.9</v>
      </c>
      <c r="AJ21" s="1">
        <f t="shared" si="14"/>
        <v>0.79800000000000004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7.5757575757575752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1.1000000000000001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6.5972222222222223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1.2</v>
      </c>
      <c r="L23" s="6">
        <f t="shared" si="21"/>
        <v>237.5</v>
      </c>
      <c r="M23" s="6">
        <f>H23*$M$17*(1+G23*战斗公式!$E$40)</f>
        <v>42.10526315789474</v>
      </c>
      <c r="N23" s="22">
        <f t="shared" si="22"/>
        <v>279.60526315789474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3.3333333333333335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0.9</v>
      </c>
      <c r="L24" s="6">
        <f>F24*$L$17*(1+I24*(J24-1))*K24</f>
        <v>90.000000000000014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0.9</v>
      </c>
      <c r="M28" s="1">
        <v>0.75</v>
      </c>
      <c r="N28" s="36">
        <f>技能模板!J14</f>
        <v>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5">G20/I$26</f>
        <v>1.3235294117647058</v>
      </c>
      <c r="J29" s="6">
        <f t="shared" ref="J29:J33" si="26">0.05/J$26</f>
        <v>0.125</v>
      </c>
      <c r="K29" s="6">
        <f t="shared" si="24"/>
        <v>1</v>
      </c>
      <c r="L29" s="6">
        <f t="shared" si="24"/>
        <v>0.95</v>
      </c>
      <c r="M29" s="1">
        <v>0.751</v>
      </c>
      <c r="N29" s="36">
        <f>技能模板!J15</f>
        <v>2.5198402130492674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5"/>
        <v>0.3529411764705882</v>
      </c>
      <c r="J30" s="6">
        <f t="shared" si="26"/>
        <v>0.125</v>
      </c>
      <c r="K30" s="6">
        <f t="shared" si="24"/>
        <v>1</v>
      </c>
      <c r="L30" s="6">
        <f t="shared" si="24"/>
        <v>1</v>
      </c>
      <c r="M30" s="1">
        <v>0.8</v>
      </c>
      <c r="N30" s="36">
        <f>技能模板!J16</f>
        <v>4.9999999999999982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5"/>
        <v>0.70588235294117641</v>
      </c>
      <c r="J31" s="6">
        <f t="shared" si="26"/>
        <v>0.125</v>
      </c>
      <c r="K31" s="6">
        <f t="shared" si="24"/>
        <v>1</v>
      </c>
      <c r="L31" s="6">
        <f t="shared" si="24"/>
        <v>1.1000000000000001</v>
      </c>
      <c r="M31" s="1">
        <v>0.80500000000000005</v>
      </c>
      <c r="N31" s="36">
        <f>技能模板!J17</f>
        <v>3.9968944099378874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5"/>
        <v>0.88235294117647056</v>
      </c>
      <c r="J32" s="6">
        <f t="shared" si="26"/>
        <v>0.125</v>
      </c>
      <c r="K32" s="6">
        <f t="shared" si="24"/>
        <v>1</v>
      </c>
      <c r="L32" s="6">
        <f t="shared" si="24"/>
        <v>1.2</v>
      </c>
      <c r="M32" s="1">
        <v>0.77400000000000002</v>
      </c>
      <c r="N32" s="36">
        <f>技能模板!J18</f>
        <v>3.5038759689922472</v>
      </c>
    </row>
    <row r="33" spans="4:14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5"/>
        <v>0.70588235294117641</v>
      </c>
      <c r="J33" s="6">
        <f t="shared" si="26"/>
        <v>0.125</v>
      </c>
      <c r="K33" s="6">
        <f t="shared" si="24"/>
        <v>1</v>
      </c>
      <c r="L33" s="6">
        <f t="shared" si="24"/>
        <v>0.9</v>
      </c>
      <c r="M33" s="1">
        <v>0.79800000000000004</v>
      </c>
      <c r="N33" s="36">
        <f>技能模板!J19</f>
        <v>2.5060150375939845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G15" sqref="G15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79" t="s">
        <v>116</v>
      </c>
      <c r="B1" s="80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1"/>
      <c r="B2" s="82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258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125.23929318695585</v>
      </c>
      <c r="L14" s="9">
        <f>MAX(G18:G117)*L15</f>
        <v>106453.39920891248</v>
      </c>
      <c r="N14" s="8">
        <f>N16/G18</f>
        <v>17647.058823529413</v>
      </c>
      <c r="O14" s="8">
        <f>N16/O8</f>
        <v>798.47144977671724</v>
      </c>
      <c r="AH14" s="9">
        <f>AH18*0.4</f>
        <v>52.5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1">VLOOKUP(A15,$D$17:$E$117,2,0)</f>
        <v>918.42148337100957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0.5156291909787889</v>
      </c>
      <c r="Q15" s="8">
        <f>L117*(1-P15)</f>
        <v>38924.948730751705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563.83112097802677</v>
      </c>
      <c r="C16" s="6">
        <f>B15/B16</f>
        <v>1.6288946267774418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187.5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3672381.3575133411</v>
      </c>
    </row>
    <row r="17" spans="1:39" ht="14.25" customHeight="1" x14ac:dyDescent="0.2">
      <c r="A17" s="1">
        <v>70</v>
      </c>
      <c r="B17" s="1">
        <f>VLOOKUP(A17,$D$17:$E$117,2,0)</f>
        <v>212.50201961311276</v>
      </c>
      <c r="C17" s="6">
        <f t="shared" ref="C17" si="2">B16/B17</f>
        <v>2.6532977051444209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80.089776281454306</v>
      </c>
      <c r="C18" s="6">
        <f>B17/B18</f>
        <v>2.6532977051444209</v>
      </c>
      <c r="D18" s="1">
        <v>1</v>
      </c>
      <c r="E18" s="6">
        <f>E$15*E$16^($D18-1)</f>
        <v>7.333333333333333</v>
      </c>
      <c r="F18" s="6">
        <f t="shared" ref="F18:G33" si="3">F$15*F$16^($D18-1)</f>
        <v>61.666666666666664</v>
      </c>
      <c r="G18" s="6">
        <f t="shared" si="3"/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>G18*$L$15</f>
        <v>850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468.74999999999994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T18*战斗公式!$E$39*(1+W18*(X18-1))*Y18</f>
        <v>12656.249999999998</v>
      </c>
      <c r="AD18" s="6">
        <f>U18*战斗公式!$E$41*(1+V18*战斗公式!$E$40)</f>
        <v>16666.666666666668</v>
      </c>
      <c r="AE18" s="22">
        <f>AC18+AD18</f>
        <v>29322.916666666664</v>
      </c>
      <c r="AH18" s="9">
        <f>T18*$F$5</f>
        <v>131.25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30.184994366131619</v>
      </c>
      <c r="C19" s="6">
        <f>B18/B19</f>
        <v>2.6532977051444213</v>
      </c>
      <c r="D19" s="1">
        <v>2</v>
      </c>
      <c r="E19" s="6">
        <f t="shared" ref="E19:G50" si="7">E$15*E$16^($D19-1)</f>
        <v>7.7</v>
      </c>
      <c r="F19" s="6">
        <f t="shared" si="3"/>
        <v>64.75</v>
      </c>
      <c r="G19" s="6">
        <f t="shared" si="3"/>
        <v>5.95</v>
      </c>
      <c r="H19" s="6">
        <v>0.4</v>
      </c>
      <c r="I19" s="6">
        <v>1.5</v>
      </c>
      <c r="J19" s="6">
        <v>1</v>
      </c>
      <c r="K19" s="26">
        <f t="shared" ref="K19:K82" si="8">M20/M19</f>
        <v>1.0495357877490565</v>
      </c>
      <c r="L19" s="6">
        <f t="shared" ref="L19:L49" si="9">E19*$L$16/J19/(1+H19*(I19-1))*$L$15</f>
        <v>673.74999999999989</v>
      </c>
      <c r="M19" s="6">
        <f t="shared" ref="M19:M49" si="10">F19/(1+N19/$N$16)*$L$15</f>
        <v>9626.5827489654821</v>
      </c>
      <c r="N19" s="6">
        <f t="shared" ref="N18:N49" si="11">G19*$L$15</f>
        <v>892.5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8">
        <v>2</v>
      </c>
      <c r="T19" s="6">
        <f>VLOOKUP($S$13,角色设定!$AB$9:$AJ$21,MATCH(E$17,角色设定!$AB$9:$AJ$9,0),0)*Z19*$L$15*E19/Y19/(1+W19*(X19-1))</f>
        <v>492.1875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T19*战斗公式!$E$39*(1+W19*(X19-1))*Y19</f>
        <v>13289.0625</v>
      </c>
      <c r="AD19" s="6">
        <f>U19*战斗公式!$E$41*(1+V19*战斗公式!$E$40)</f>
        <v>17500</v>
      </c>
      <c r="AE19" s="22">
        <f t="shared" ref="AE19:AE82" si="12">AC19+AD19</f>
        <v>30789.0625</v>
      </c>
      <c r="AF19" s="22">
        <f>AE19-AE18</f>
        <v>1466.1458333333358</v>
      </c>
      <c r="AG19" s="22"/>
      <c r="AH19" s="9">
        <f t="shared" ref="AH19:AH82" si="13">T19*$F$5</f>
        <v>137.8125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6.5625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4.1161355953815848</v>
      </c>
      <c r="D20" s="1">
        <v>3</v>
      </c>
      <c r="E20" s="6">
        <f t="shared" si="7"/>
        <v>8.0849999999999991</v>
      </c>
      <c r="F20" s="6">
        <f t="shared" si="3"/>
        <v>67.987499999999997</v>
      </c>
      <c r="G20" s="6">
        <f t="shared" si="3"/>
        <v>6.2475000000000005</v>
      </c>
      <c r="H20" s="6">
        <v>0.4</v>
      </c>
      <c r="I20" s="6">
        <v>1.5</v>
      </c>
      <c r="J20" s="6">
        <v>1</v>
      </c>
      <c r="K20" s="26">
        <f t="shared" si="8"/>
        <v>1.0495128032991867</v>
      </c>
      <c r="L20" s="6">
        <f t="shared" si="9"/>
        <v>707.43749999999977</v>
      </c>
      <c r="M20" s="6">
        <f t="shared" si="10"/>
        <v>10103.443108766965</v>
      </c>
      <c r="N20" s="6">
        <f t="shared" si="11"/>
        <v>937.12500000000011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8">
        <v>3</v>
      </c>
      <c r="T20" s="6">
        <f>VLOOKUP($S$13,角色设定!$AB$9:$AJ$21,MATCH(E$17,角色设定!$AB$9:$AJ$9,0),0)*Z20*$L$15*E20/Y20/(1+W20*(X20-1))</f>
        <v>516.79687499999989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T20*战斗公式!$E$39*(1+W20*(X20-1))*Y20</f>
        <v>13953.515624999995</v>
      </c>
      <c r="AD20" s="6">
        <f>U20*战斗公式!$E$41*(1+V20*战斗公式!$E$40)</f>
        <v>18375</v>
      </c>
      <c r="AE20" s="22">
        <f t="shared" si="12"/>
        <v>32328.515624999993</v>
      </c>
      <c r="AF20" s="22">
        <f t="shared" ref="AF20:AF83" si="16">AE20-AE19</f>
        <v>1539.4531249999927</v>
      </c>
      <c r="AG20" s="22"/>
      <c r="AH20" s="9">
        <f t="shared" si="13"/>
        <v>144.70312499999997</v>
      </c>
      <c r="AI20" s="9">
        <f t="shared" si="14"/>
        <v>4940.7316268043105</v>
      </c>
      <c r="AJ20" s="9">
        <f t="shared" si="15"/>
        <v>1157.625</v>
      </c>
      <c r="AK20" s="9">
        <f t="shared" ref="AK20:AK83" si="17">AH20-AH19</f>
        <v>6.8906249999999716</v>
      </c>
      <c r="AL20" s="9">
        <f t="shared" ref="AL20:AL83" si="18">AI20-AI19</f>
        <v>226.36000924568089</v>
      </c>
      <c r="AM20" s="9">
        <f t="shared" ref="AM20:AM83" si="19">AJ20-AJ19</f>
        <v>55.125</v>
      </c>
    </row>
    <row r="21" spans="1:39" ht="14.25" customHeight="1" x14ac:dyDescent="0.2">
      <c r="B21" s="6">
        <f>B18/B19</f>
        <v>2.6532977051444213</v>
      </c>
      <c r="D21" s="1">
        <v>4</v>
      </c>
      <c r="E21" s="6">
        <f t="shared" si="7"/>
        <v>8.4892500000000002</v>
      </c>
      <c r="F21" s="6">
        <f t="shared" si="3"/>
        <v>71.386875000000003</v>
      </c>
      <c r="G21" s="6">
        <f t="shared" si="3"/>
        <v>6.5598750000000008</v>
      </c>
      <c r="H21" s="6">
        <v>0.4</v>
      </c>
      <c r="I21" s="6">
        <v>1.5</v>
      </c>
      <c r="J21" s="6">
        <v>1</v>
      </c>
      <c r="K21" s="26">
        <f t="shared" si="8"/>
        <v>1.0494886925714382</v>
      </c>
      <c r="L21" s="6">
        <f t="shared" si="9"/>
        <v>742.80937500000005</v>
      </c>
      <c r="M21" s="6">
        <f t="shared" si="10"/>
        <v>10603.692900055868</v>
      </c>
      <c r="N21" s="6">
        <f t="shared" si="11"/>
        <v>983.98125000000016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8">
        <v>4</v>
      </c>
      <c r="T21" s="6">
        <f>VLOOKUP($S$13,角色设定!$AB$9:$AJ$21,MATCH(E$17,角色设定!$AB$9:$AJ$9,0),0)*Z21*$L$15*E21/Y21/(1+W21*(X21-1))</f>
        <v>542.63671875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T21*战斗公式!$E$39*(1+W21*(X21-1))*Y21</f>
        <v>14651.19140625</v>
      </c>
      <c r="AD21" s="6">
        <f>U21*战斗公式!$E$41*(1+V21*战斗公式!$E$40)</f>
        <v>19293.75</v>
      </c>
      <c r="AE21" s="22">
        <f t="shared" si="12"/>
        <v>33944.94140625</v>
      </c>
      <c r="AF21" s="22">
        <f t="shared" si="16"/>
        <v>1616.4257812500073</v>
      </c>
      <c r="AG21" s="22"/>
      <c r="AH21" s="9">
        <f t="shared" si="13"/>
        <v>151.93828125000002</v>
      </c>
      <c r="AI21" s="9">
        <f t="shared" si="14"/>
        <v>5177.4902925052002</v>
      </c>
      <c r="AJ21" s="9">
        <f t="shared" si="15"/>
        <v>1215.5062500000001</v>
      </c>
      <c r="AK21" s="9">
        <f t="shared" si="17"/>
        <v>7.2351562500000455</v>
      </c>
      <c r="AL21" s="9">
        <f t="shared" si="18"/>
        <v>236.75866570088965</v>
      </c>
      <c r="AM21" s="9">
        <f t="shared" si="19"/>
        <v>57.881250000000136</v>
      </c>
    </row>
    <row r="22" spans="1:39" ht="14.25" customHeight="1" x14ac:dyDescent="0.2">
      <c r="B22" s="6">
        <f>B18/B20</f>
        <v>10.921333129289224</v>
      </c>
      <c r="C22" s="6">
        <f>B17/B20</f>
        <v>28.977548129060832</v>
      </c>
      <c r="D22" s="1">
        <v>5</v>
      </c>
      <c r="E22" s="6">
        <f t="shared" si="7"/>
        <v>8.913712499999999</v>
      </c>
      <c r="F22" s="6">
        <f t="shared" si="3"/>
        <v>74.956218749999991</v>
      </c>
      <c r="G22" s="6">
        <f t="shared" si="3"/>
        <v>6.88786875</v>
      </c>
      <c r="H22" s="6">
        <v>0.4</v>
      </c>
      <c r="I22" s="6">
        <v>1.5</v>
      </c>
      <c r="J22" s="6">
        <v>1</v>
      </c>
      <c r="K22" s="26">
        <f t="shared" si="8"/>
        <v>1.0494634015667756</v>
      </c>
      <c r="L22" s="6">
        <f t="shared" si="9"/>
        <v>779.94984375000001</v>
      </c>
      <c r="M22" s="6">
        <f t="shared" si="10"/>
        <v>11128.455798108675</v>
      </c>
      <c r="N22" s="6">
        <f t="shared" si="11"/>
        <v>1033.1803124999999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8">
        <v>5</v>
      </c>
      <c r="T22" s="6">
        <f>VLOOKUP($S$13,角色设定!$AB$9:$AJ$21,MATCH(E$17,角色设定!$AB$9:$AJ$9,0),0)*Z22*$L$15*E22/Y22/(1+W22*(X22-1))</f>
        <v>569.7685546875</v>
      </c>
      <c r="U22" s="6">
        <f>VLOOKUP($S$13,角色设定!$AB$9:$AJ$21,MATCH(F$17,角色设定!$AB$9:$AJ$9,0),0)*F22*$L$15/(1+V22/$N$16)</f>
        <v>19375.283325822806</v>
      </c>
      <c r="V22" s="6">
        <f>VLOOKUP($S$13,角色设定!$AB$9:$AJ$21,MATCH(V$17,角色设定!$AB$9:$AJ$9,0),0)*G22*$L$15</f>
        <v>4558.1484374999991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T22*战斗公式!$E$39*(1+W22*(X22-1))*Y22</f>
        <v>15383.7509765625</v>
      </c>
      <c r="AD22" s="6">
        <f>U22*战斗公式!$E$41*(1+V22*战斗公式!$E$40)</f>
        <v>20258.437499999996</v>
      </c>
      <c r="AE22" s="22">
        <f t="shared" si="12"/>
        <v>35642.1884765625</v>
      </c>
      <c r="AF22" s="22">
        <f t="shared" si="16"/>
        <v>1697.2470703125</v>
      </c>
      <c r="AG22" s="22"/>
      <c r="AH22" s="9">
        <f t="shared" si="13"/>
        <v>159.53519531250001</v>
      </c>
      <c r="AI22" s="9">
        <f t="shared" si="14"/>
        <v>5425.0793312303858</v>
      </c>
      <c r="AJ22" s="9">
        <f t="shared" si="15"/>
        <v>1276.2815624999998</v>
      </c>
      <c r="AK22" s="9">
        <f t="shared" si="17"/>
        <v>7.5969140624999909</v>
      </c>
      <c r="AL22" s="9">
        <f t="shared" si="18"/>
        <v>247.58903872518567</v>
      </c>
      <c r="AM22" s="9">
        <f t="shared" si="19"/>
        <v>60.7753124999997</v>
      </c>
    </row>
    <row r="23" spans="1:39" ht="14.25" customHeight="1" x14ac:dyDescent="0.2">
      <c r="C23" s="6"/>
      <c r="D23" s="1">
        <v>6</v>
      </c>
      <c r="E23" s="6">
        <f t="shared" si="7"/>
        <v>9.3593981250000002</v>
      </c>
      <c r="F23" s="6">
        <f t="shared" si="3"/>
        <v>78.704029687500011</v>
      </c>
      <c r="G23" s="6">
        <f t="shared" si="3"/>
        <v>7.2322621875000008</v>
      </c>
      <c r="H23" s="6">
        <v>0.4</v>
      </c>
      <c r="I23" s="6">
        <v>1.5</v>
      </c>
      <c r="J23" s="6">
        <v>1</v>
      </c>
      <c r="K23" s="26">
        <f t="shared" si="8"/>
        <v>1.0494368738177409</v>
      </c>
      <c r="L23" s="6">
        <f t="shared" si="9"/>
        <v>818.94733593750004</v>
      </c>
      <c r="M23" s="6">
        <f t="shared" si="10"/>
        <v>11678.907076068637</v>
      </c>
      <c r="N23" s="6">
        <f t="shared" si="11"/>
        <v>1084.8393281250001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8">
        <v>6</v>
      </c>
      <c r="T23" s="6">
        <f>VLOOKUP($S$13,角色设定!$AB$9:$AJ$21,MATCH(E$17,角色设定!$AB$9:$AJ$9,0),0)*Z23*$L$15*E23/Y23/(1+W23*(X23-1))</f>
        <v>598.25698242187502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T23*战斗公式!$E$39*(1+W23*(X23-1))*Y23</f>
        <v>16152.938525390626</v>
      </c>
      <c r="AD23" s="6">
        <f>U23*战斗公式!$E$41*(1+V23*战斗公式!$E$40)</f>
        <v>21271.359375</v>
      </c>
      <c r="AE23" s="22">
        <f t="shared" si="12"/>
        <v>37424.297900390622</v>
      </c>
      <c r="AF23" s="22">
        <f t="shared" si="16"/>
        <v>1782.1094238281221</v>
      </c>
      <c r="AG23" s="22"/>
      <c r="AH23" s="9">
        <f t="shared" si="13"/>
        <v>167.51195507812503</v>
      </c>
      <c r="AI23" s="9">
        <f t="shared" si="14"/>
        <v>5683.9438951620123</v>
      </c>
      <c r="AJ23" s="9">
        <f t="shared" si="15"/>
        <v>1340.0956406250002</v>
      </c>
      <c r="AK23" s="9">
        <f t="shared" si="17"/>
        <v>7.9767597656250189</v>
      </c>
      <c r="AL23" s="9">
        <f t="shared" si="18"/>
        <v>258.86456393162644</v>
      </c>
      <c r="AM23" s="9">
        <f t="shared" si="19"/>
        <v>63.814078125000378</v>
      </c>
    </row>
    <row r="24" spans="1:39" ht="14.25" customHeight="1" x14ac:dyDescent="0.2">
      <c r="D24" s="1">
        <v>7</v>
      </c>
      <c r="E24" s="6">
        <f t="shared" si="7"/>
        <v>9.8273680312499998</v>
      </c>
      <c r="F24" s="6">
        <f t="shared" si="3"/>
        <v>82.639231171874997</v>
      </c>
      <c r="G24" s="6">
        <f t="shared" si="3"/>
        <v>7.5938752968749998</v>
      </c>
      <c r="H24" s="6">
        <v>0.4</v>
      </c>
      <c r="I24" s="6">
        <v>1.5</v>
      </c>
      <c r="J24" s="6">
        <v>1</v>
      </c>
      <c r="K24" s="26">
        <f t="shared" si="8"/>
        <v>1.0494090502878834</v>
      </c>
      <c r="L24" s="6">
        <f t="shared" si="9"/>
        <v>859.89470273437496</v>
      </c>
      <c r="M24" s="6">
        <f t="shared" si="10"/>
        <v>12256.275731517364</v>
      </c>
      <c r="N24" s="6">
        <f t="shared" si="11"/>
        <v>1139.08129453125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8">
        <v>7</v>
      </c>
      <c r="T24" s="6">
        <f>VLOOKUP($S$13,角色设定!$AB$9:$AJ$21,MATCH(E$17,角色设定!$AB$9:$AJ$9,0),0)*Z24*$L$15*E24/Y24/(1+W24*(X24-1))</f>
        <v>628.16983154296872</v>
      </c>
      <c r="U24" s="6">
        <f>VLOOKUP($S$13,角色设定!$AB$9:$AJ$21,MATCH(F$17,角色设定!$AB$9:$AJ$9,0),0)*F24*$L$15/(1+V24/$N$16)</f>
        <v>21266.223348670821</v>
      </c>
      <c r="V24" s="6">
        <f>VLOOKUP($S$13,角色设定!$AB$9:$AJ$21,MATCH(V$17,角色设定!$AB$9:$AJ$9,0),0)*G24*$L$15</f>
        <v>5025.3586523437489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T24*战斗公式!$E$39*(1+W24*(X24-1))*Y24</f>
        <v>16960.585451660154</v>
      </c>
      <c r="AD24" s="6">
        <f>U24*战斗公式!$E$41*(1+V24*战斗公式!$E$40)</f>
        <v>22334.927343749998</v>
      </c>
      <c r="AE24" s="22">
        <f t="shared" si="12"/>
        <v>39295.512795410148</v>
      </c>
      <c r="AF24" s="22">
        <f t="shared" si="16"/>
        <v>1871.214895019526</v>
      </c>
      <c r="AG24" s="22"/>
      <c r="AH24" s="9">
        <f t="shared" si="13"/>
        <v>175.88755283203125</v>
      </c>
      <c r="AI24" s="9">
        <f t="shared" si="14"/>
        <v>5954.5425376278308</v>
      </c>
      <c r="AJ24" s="9">
        <f t="shared" si="15"/>
        <v>1407.1004226562497</v>
      </c>
      <c r="AK24" s="9">
        <f t="shared" si="17"/>
        <v>8.3755977539062201</v>
      </c>
      <c r="AL24" s="9">
        <f t="shared" si="18"/>
        <v>270.59864246581856</v>
      </c>
      <c r="AM24" s="9">
        <f t="shared" si="19"/>
        <v>67.004782031249533</v>
      </c>
    </row>
    <row r="25" spans="1:39" ht="14.25" customHeight="1" x14ac:dyDescent="0.2">
      <c r="B25" s="33"/>
      <c r="C25" s="6"/>
      <c r="D25" s="1">
        <v>8</v>
      </c>
      <c r="E25" s="6">
        <f t="shared" si="7"/>
        <v>10.318736432812502</v>
      </c>
      <c r="F25" s="6">
        <f t="shared" si="3"/>
        <v>86.771192730468755</v>
      </c>
      <c r="G25" s="6">
        <f t="shared" si="3"/>
        <v>7.9735690617187513</v>
      </c>
      <c r="H25" s="6">
        <v>0.4</v>
      </c>
      <c r="I25" s="6">
        <v>1.5</v>
      </c>
      <c r="J25" s="6">
        <v>1</v>
      </c>
      <c r="K25" s="26">
        <f t="shared" si="8"/>
        <v>1.0493798692683547</v>
      </c>
      <c r="L25" s="6">
        <f t="shared" si="9"/>
        <v>902.88943787109395</v>
      </c>
      <c r="M25" s="6">
        <f t="shared" si="10"/>
        <v>12861.846675478071</v>
      </c>
      <c r="N25" s="6">
        <f t="shared" si="11"/>
        <v>1196.0353592578126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8">
        <v>8</v>
      </c>
      <c r="T25" s="6">
        <f>VLOOKUP($S$13,角色设定!$AB$9:$AJ$21,MATCH(E$17,角色设定!$AB$9:$AJ$9,0),0)*Z25*$L$15*E25/Y25/(1+W25*(X25-1))</f>
        <v>659.57832312011726</v>
      </c>
      <c r="U25" s="6">
        <f>VLOOKUP($S$13,角色设定!$AB$9:$AJ$21,MATCH(F$17,角色设定!$AB$9:$AJ$9,0),0)*F25*$L$15/(1+V25/$N$16)</f>
        <v>22276.23972355478</v>
      </c>
      <c r="V25" s="6">
        <f>VLOOKUP($S$13,角色设定!$AB$9:$AJ$21,MATCH(V$17,角色设定!$AB$9:$AJ$9,0),0)*G25*$L$15</f>
        <v>5276.6265849609372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T25*战斗公式!$E$39*(1+W25*(X25-1))*Y25</f>
        <v>17808.614724243169</v>
      </c>
      <c r="AD25" s="6">
        <f>U25*战斗公式!$E$41*(1+V25*战斗公式!$E$40)</f>
        <v>23451.673710937499</v>
      </c>
      <c r="AE25" s="22">
        <f t="shared" si="12"/>
        <v>41260.288435180672</v>
      </c>
      <c r="AF25" s="22">
        <f t="shared" si="16"/>
        <v>1964.7756397705234</v>
      </c>
      <c r="AG25" s="22"/>
      <c r="AH25" s="9">
        <f t="shared" si="13"/>
        <v>184.68193047363286</v>
      </c>
      <c r="AI25" s="9">
        <f t="shared" si="14"/>
        <v>6237.347122595339</v>
      </c>
      <c r="AJ25" s="9">
        <f t="shared" si="15"/>
        <v>1477.4554437890627</v>
      </c>
      <c r="AK25" s="9">
        <f t="shared" si="17"/>
        <v>8.7943776416016135</v>
      </c>
      <c r="AL25" s="9">
        <f t="shared" si="18"/>
        <v>282.80458496750816</v>
      </c>
      <c r="AM25" s="9">
        <f t="shared" si="19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7"/>
        <v>10.834673254453126</v>
      </c>
      <c r="F26" s="6">
        <f t="shared" si="3"/>
        <v>91.109752366992183</v>
      </c>
      <c r="G26" s="6">
        <f t="shared" si="3"/>
        <v>8.3722475148046875</v>
      </c>
      <c r="H26" s="6">
        <v>0.4</v>
      </c>
      <c r="I26" s="6">
        <v>1.5</v>
      </c>
      <c r="J26" s="6">
        <v>1</v>
      </c>
      <c r="K26" s="26">
        <f t="shared" si="8"/>
        <v>1.0493492662717556</v>
      </c>
      <c r="L26" s="6">
        <f t="shared" si="9"/>
        <v>948.03390976464846</v>
      </c>
      <c r="M26" s="6">
        <f t="shared" si="10"/>
        <v>13496.9629828628</v>
      </c>
      <c r="N26" s="6">
        <f t="shared" si="11"/>
        <v>1255.8371272207032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8">
        <v>9</v>
      </c>
      <c r="T26" s="6">
        <f>VLOOKUP($S$13,角色设定!$AB$9:$AJ$21,MATCH(E$17,角色设定!$AB$9:$AJ$9,0),0)*Z26*$L$15*E26/Y26/(1+W26*(X26-1))</f>
        <v>692.55723927612314</v>
      </c>
      <c r="U26" s="6">
        <f>VLOOKUP($S$13,角色设定!$AB$9:$AJ$21,MATCH(F$17,角色设定!$AB$9:$AJ$9,0),0)*F26*$L$15/(1+V26/$N$16)</f>
        <v>23331.580972010539</v>
      </c>
      <c r="V26" s="6">
        <f>VLOOKUP($S$13,角色设定!$AB$9:$AJ$21,MATCH(V$17,角色设定!$AB$9:$AJ$9,0),0)*G26*$L$15</f>
        <v>5540.4579142089833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T26*战斗公式!$E$39*(1+W26*(X26-1))*Y26</f>
        <v>18699.045460455323</v>
      </c>
      <c r="AD26" s="6">
        <f>U26*战斗公式!$E$41*(1+V26*战斗公式!$E$40)</f>
        <v>24624.257396484376</v>
      </c>
      <c r="AE26" s="22">
        <f t="shared" si="12"/>
        <v>43323.302856939699</v>
      </c>
      <c r="AF26" s="22">
        <f t="shared" si="16"/>
        <v>2063.0144217590278</v>
      </c>
      <c r="AG26" s="22"/>
      <c r="AH26" s="9">
        <f t="shared" si="13"/>
        <v>193.9160269973145</v>
      </c>
      <c r="AI26" s="9">
        <f t="shared" si="14"/>
        <v>6532.8426721629512</v>
      </c>
      <c r="AJ26" s="9">
        <f t="shared" si="15"/>
        <v>1551.3282159785156</v>
      </c>
      <c r="AK26" s="9">
        <f t="shared" si="17"/>
        <v>9.234096523681643</v>
      </c>
      <c r="AL26" s="9">
        <f t="shared" si="18"/>
        <v>295.49554956761222</v>
      </c>
      <c r="AM26" s="9">
        <f t="shared" si="19"/>
        <v>73.872772189452917</v>
      </c>
    </row>
    <row r="27" spans="1:39" ht="14.25" customHeight="1" x14ac:dyDescent="0.2">
      <c r="B27" s="33"/>
      <c r="C27" s="6"/>
      <c r="D27" s="1">
        <v>10</v>
      </c>
      <c r="E27" s="6">
        <f t="shared" si="7"/>
        <v>11.376406917175782</v>
      </c>
      <c r="F27" s="6">
        <f t="shared" si="3"/>
        <v>95.665239985341799</v>
      </c>
      <c r="G27" s="6">
        <f t="shared" si="3"/>
        <v>8.7908598905449225</v>
      </c>
      <c r="H27" s="6">
        <v>0.4</v>
      </c>
      <c r="I27" s="6">
        <v>1.5</v>
      </c>
      <c r="J27" s="6">
        <v>1</v>
      </c>
      <c r="K27" s="26">
        <f t="shared" si="8"/>
        <v>1.0493171739233023</v>
      </c>
      <c r="L27" s="6">
        <f t="shared" si="9"/>
        <v>995.4356052528808</v>
      </c>
      <c r="M27" s="6">
        <f t="shared" si="10"/>
        <v>14163.028202964126</v>
      </c>
      <c r="N27" s="6">
        <f t="shared" si="11"/>
        <v>1318.6289835817383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8">
        <v>10</v>
      </c>
      <c r="T27" s="6">
        <f>VLOOKUP($S$13,角色设定!$AB$9:$AJ$21,MATCH(E$17,角色设定!$AB$9:$AJ$9,0),0)*Z27*$L$15*E27/Y27/(1+W27*(X27-1))</f>
        <v>727.18510123992917</v>
      </c>
      <c r="U27" s="6">
        <f>VLOOKUP($S$13,角色设定!$AB$9:$AJ$21,MATCH(F$17,角色设定!$AB$9:$AJ$9,0),0)*F27*$L$15/(1+V27/$N$16)</f>
        <v>24434.025520559244</v>
      </c>
      <c r="V27" s="6">
        <f>VLOOKUP($S$13,角色设定!$AB$9:$AJ$21,MATCH(V$17,角色设定!$AB$9:$AJ$9,0),0)*G27*$L$15</f>
        <v>5817.4808099194333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T27*战斗公式!$E$39*(1+W27*(X27-1))*Y27</f>
        <v>19633.997733478089</v>
      </c>
      <c r="AD27" s="6">
        <f>U27*战斗公式!$E$41*(1+V27*战斗公式!$E$40)</f>
        <v>25855.470266308595</v>
      </c>
      <c r="AE27" s="22">
        <f t="shared" si="12"/>
        <v>45489.467999786684</v>
      </c>
      <c r="AF27" s="22">
        <f t="shared" si="16"/>
        <v>2166.165142846985</v>
      </c>
      <c r="AG27" s="22"/>
      <c r="AH27" s="9">
        <f t="shared" si="13"/>
        <v>203.61182834718019</v>
      </c>
      <c r="AI27" s="9">
        <f t="shared" si="14"/>
        <v>6841.5271457565887</v>
      </c>
      <c r="AJ27" s="9">
        <f t="shared" si="15"/>
        <v>1628.8946267774415</v>
      </c>
      <c r="AK27" s="9">
        <f t="shared" si="17"/>
        <v>9.6958013498656896</v>
      </c>
      <c r="AL27" s="9">
        <f t="shared" si="18"/>
        <v>308.68447359363745</v>
      </c>
      <c r="AM27" s="9">
        <f t="shared" si="19"/>
        <v>77.566410798925972</v>
      </c>
    </row>
    <row r="28" spans="1:39" ht="14.25" customHeight="1" x14ac:dyDescent="0.2">
      <c r="B28" s="33"/>
      <c r="C28" s="6"/>
      <c r="D28" s="1">
        <v>11</v>
      </c>
      <c r="E28" s="6">
        <f t="shared" si="7"/>
        <v>11.945227263034571</v>
      </c>
      <c r="F28" s="6">
        <f t="shared" si="3"/>
        <v>100.4485019846089</v>
      </c>
      <c r="G28" s="6">
        <f t="shared" si="3"/>
        <v>9.23040288507217</v>
      </c>
      <c r="H28" s="6">
        <v>0.4</v>
      </c>
      <c r="I28" s="6">
        <v>1.5</v>
      </c>
      <c r="J28" s="6">
        <v>1</v>
      </c>
      <c r="K28" s="26">
        <f t="shared" si="8"/>
        <v>1.0492835218494319</v>
      </c>
      <c r="L28" s="6">
        <f t="shared" si="9"/>
        <v>1045.2073855155249</v>
      </c>
      <c r="M28" s="6">
        <f t="shared" si="10"/>
        <v>14861.508728130344</v>
      </c>
      <c r="N28" s="6">
        <f t="shared" si="11"/>
        <v>1384.5604327608255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8">
        <v>11</v>
      </c>
      <c r="T28" s="6">
        <f>VLOOKUP($S$13,角色设定!$AB$9:$AJ$21,MATCH(E$17,角色设定!$AB$9:$AJ$9,0),0)*Z28*$L$15*E28/Y28/(1+W28*(X28-1))</f>
        <v>763.54435630192575</v>
      </c>
      <c r="U28" s="6">
        <f>VLOOKUP($S$13,角色设定!$AB$9:$AJ$21,MATCH(F$17,角色设定!$AB$9:$AJ$9,0),0)*F28*$L$15/(1+V28/$N$16)</f>
        <v>25585.396944374304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T28*战斗公式!$E$39*(1+W28*(X28-1))*Y28</f>
        <v>20615.697620151994</v>
      </c>
      <c r="AD28" s="6">
        <f>U28*战斗公式!$E$41*(1+V28*战斗公式!$E$40)</f>
        <v>27148.243779624027</v>
      </c>
      <c r="AE28" s="22">
        <f t="shared" si="12"/>
        <v>47763.94139977602</v>
      </c>
      <c r="AF28" s="22">
        <f t="shared" si="16"/>
        <v>2274.473399989336</v>
      </c>
      <c r="AG28" s="22"/>
      <c r="AH28" s="9">
        <f t="shared" si="13"/>
        <v>213.79241976453923</v>
      </c>
      <c r="AI28" s="9">
        <f t="shared" si="14"/>
        <v>7163.9111444248056</v>
      </c>
      <c r="AJ28" s="9">
        <f t="shared" si="15"/>
        <v>1710.3393581163139</v>
      </c>
      <c r="AK28" s="9">
        <f t="shared" si="17"/>
        <v>10.180591417359039</v>
      </c>
      <c r="AL28" s="9">
        <f t="shared" si="18"/>
        <v>322.38399866821692</v>
      </c>
      <c r="AM28" s="9">
        <f t="shared" si="19"/>
        <v>81.444731338872316</v>
      </c>
    </row>
    <row r="29" spans="1:39" ht="14.25" customHeight="1" x14ac:dyDescent="0.2">
      <c r="B29" s="33"/>
      <c r="C29" s="6"/>
      <c r="D29" s="1">
        <v>12</v>
      </c>
      <c r="E29" s="6">
        <f t="shared" si="7"/>
        <v>12.5424886261863</v>
      </c>
      <c r="F29" s="6">
        <f t="shared" si="3"/>
        <v>105.47092708383934</v>
      </c>
      <c r="G29" s="6">
        <f t="shared" si="3"/>
        <v>9.6919230293257783</v>
      </c>
      <c r="H29" s="6">
        <v>0.4</v>
      </c>
      <c r="I29" s="6">
        <v>1.5</v>
      </c>
      <c r="J29" s="6">
        <v>1</v>
      </c>
      <c r="K29" s="26">
        <f t="shared" si="8"/>
        <v>1.0492482365639797</v>
      </c>
      <c r="L29" s="6">
        <f t="shared" si="9"/>
        <v>1097.4677547913011</v>
      </c>
      <c r="M29" s="6">
        <f t="shared" si="10"/>
        <v>15593.936218248677</v>
      </c>
      <c r="N29" s="6">
        <f t="shared" si="11"/>
        <v>1453.7884543988666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8">
        <v>12</v>
      </c>
      <c r="T29" s="6">
        <f>VLOOKUP($S$13,角色设定!$AB$9:$AJ$21,MATCH(E$17,角色设定!$AB$9:$AJ$9,0),0)*Z29*$L$15*E29/Y29/(1+W29*(X29-1))</f>
        <v>801.72157411702199</v>
      </c>
      <c r="U29" s="6">
        <f>VLOOKUP($S$13,角色设定!$AB$9:$AJ$21,MATCH(F$17,角色设定!$AB$9:$AJ$9,0),0)*F29*$L$15/(1+V29/$N$16)</f>
        <v>26787.562619030246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T29*战斗公式!$E$39*(1+W29*(X29-1))*Y29</f>
        <v>21646.482501159593</v>
      </c>
      <c r="AD29" s="6">
        <f>U29*战斗公式!$E$41*(1+V29*战斗公式!$E$40)</f>
        <v>28505.655968605228</v>
      </c>
      <c r="AE29" s="22">
        <f t="shared" si="12"/>
        <v>50152.138469764817</v>
      </c>
      <c r="AF29" s="22">
        <f t="shared" si="16"/>
        <v>2388.197069988797</v>
      </c>
      <c r="AG29" s="22"/>
      <c r="AH29" s="9">
        <f t="shared" si="13"/>
        <v>224.48204075276618</v>
      </c>
      <c r="AI29" s="9">
        <f t="shared" si="14"/>
        <v>7500.5175333284697</v>
      </c>
      <c r="AJ29" s="9">
        <f t="shared" si="15"/>
        <v>1795.8563260221295</v>
      </c>
      <c r="AK29" s="9">
        <f t="shared" si="17"/>
        <v>10.689620988226949</v>
      </c>
      <c r="AL29" s="9">
        <f t="shared" si="18"/>
        <v>336.60638890366408</v>
      </c>
      <c r="AM29" s="9">
        <f t="shared" si="19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7"/>
        <v>13.169613057495614</v>
      </c>
      <c r="F30" s="6">
        <f t="shared" si="3"/>
        <v>110.74447343803129</v>
      </c>
      <c r="G30" s="6">
        <f t="shared" si="3"/>
        <v>10.176519180792067</v>
      </c>
      <c r="H30" s="6">
        <v>0.4</v>
      </c>
      <c r="I30" s="6">
        <v>1.5</v>
      </c>
      <c r="J30" s="6">
        <v>1</v>
      </c>
      <c r="K30" s="26">
        <f t="shared" si="8"/>
        <v>1.0492112413520902</v>
      </c>
      <c r="L30" s="6">
        <f t="shared" si="9"/>
        <v>1152.3411425308661</v>
      </c>
      <c r="M30" s="6">
        <f t="shared" si="10"/>
        <v>16361.910078088598</v>
      </c>
      <c r="N30" s="6">
        <f t="shared" si="11"/>
        <v>1526.4778771188101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8">
        <v>13</v>
      </c>
      <c r="T30" s="6">
        <f>VLOOKUP($S$13,角色设定!$AB$9:$AJ$21,MATCH(E$17,角色设定!$AB$9:$AJ$9,0),0)*Z30*$L$15*E30/Y30/(1+W30*(X30-1))</f>
        <v>841.80765282287302</v>
      </c>
      <c r="U30" s="6">
        <f>VLOOKUP($S$13,角色设定!$AB$9:$AJ$21,MATCH(F$17,角色设定!$AB$9:$AJ$9,0),0)*F30*$L$15/(1+V30/$N$16)</f>
        <v>28042.432054458779</v>
      </c>
      <c r="V30" s="6">
        <f>VLOOKUP($S$13,角色设定!$AB$9:$AJ$21,MATCH(V$17,角色设定!$AB$9:$AJ$9,0),0)*G30*$L$15</f>
        <v>6734.4612225829842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T30*战斗公式!$E$39*(1+W30*(X30-1))*Y30</f>
        <v>22728.806626217574</v>
      </c>
      <c r="AD30" s="6">
        <f>U30*战斗公式!$E$41*(1+V30*战斗公式!$E$40)</f>
        <v>29930.938767035488</v>
      </c>
      <c r="AE30" s="22">
        <f t="shared" si="12"/>
        <v>52659.745393253063</v>
      </c>
      <c r="AF30" s="22">
        <f t="shared" si="16"/>
        <v>2507.6069234882452</v>
      </c>
      <c r="AG30" s="22"/>
      <c r="AH30" s="9">
        <f t="shared" si="13"/>
        <v>235.70614279040447</v>
      </c>
      <c r="AI30" s="9">
        <f t="shared" si="14"/>
        <v>7851.8809752484585</v>
      </c>
      <c r="AJ30" s="9">
        <f t="shared" si="15"/>
        <v>1885.6491423232358</v>
      </c>
      <c r="AK30" s="9">
        <f t="shared" si="17"/>
        <v>11.224102037638289</v>
      </c>
      <c r="AL30" s="9">
        <f t="shared" si="18"/>
        <v>351.36344191998887</v>
      </c>
      <c r="AM30" s="9">
        <f t="shared" si="19"/>
        <v>89.792816301106313</v>
      </c>
    </row>
    <row r="31" spans="1:39" ht="14.25" customHeight="1" x14ac:dyDescent="0.2">
      <c r="B31" s="6"/>
      <c r="D31" s="1">
        <v>14</v>
      </c>
      <c r="E31" s="6">
        <f t="shared" si="7"/>
        <v>13.828093710370396</v>
      </c>
      <c r="F31" s="6">
        <f t="shared" si="3"/>
        <v>116.28169710993288</v>
      </c>
      <c r="G31" s="6">
        <f t="shared" si="3"/>
        <v>10.685345139831671</v>
      </c>
      <c r="H31" s="6">
        <v>0.4</v>
      </c>
      <c r="I31" s="6">
        <v>1.5</v>
      </c>
      <c r="J31" s="6">
        <v>1</v>
      </c>
      <c r="K31" s="26">
        <f t="shared" si="8"/>
        <v>1.0491724561520608</v>
      </c>
      <c r="L31" s="6">
        <f t="shared" si="9"/>
        <v>1209.9581996574098</v>
      </c>
      <c r="M31" s="6">
        <f t="shared" si="10"/>
        <v>17167.099983922613</v>
      </c>
      <c r="N31" s="6">
        <f t="shared" si="11"/>
        <v>1602.8017709747508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8">
        <v>14</v>
      </c>
      <c r="T31" s="6">
        <f>VLOOKUP($S$13,角色设定!$AB$9:$AJ$21,MATCH(E$17,角色设定!$AB$9:$AJ$9,0),0)*Z31*$L$15*E31/Y31/(1+W31*(X31-1))</f>
        <v>883.89803546401674</v>
      </c>
      <c r="U31" s="6">
        <f>VLOOKUP($S$13,角色设定!$AB$9:$AJ$21,MATCH(F$17,角色设定!$AB$9:$AJ$9,0),0)*F31*$L$15/(1+V31/$N$16)</f>
        <v>29351.954884623487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T31*战斗公式!$E$39*(1+W31*(X31-1))*Y31</f>
        <v>23865.246957528452</v>
      </c>
      <c r="AD31" s="6">
        <f>U31*战斗公式!$E$41*(1+V31*战斗公式!$E$40)</f>
        <v>31427.485705387262</v>
      </c>
      <c r="AE31" s="22">
        <f t="shared" si="12"/>
        <v>55292.732662915718</v>
      </c>
      <c r="AF31" s="22">
        <f t="shared" si="16"/>
        <v>2632.9872696626553</v>
      </c>
      <c r="AG31" s="22"/>
      <c r="AH31" s="9">
        <f t="shared" si="13"/>
        <v>247.4914499299247</v>
      </c>
      <c r="AI31" s="9">
        <f t="shared" si="14"/>
        <v>8218.5473676945767</v>
      </c>
      <c r="AJ31" s="9">
        <f t="shared" si="15"/>
        <v>1979.931599439398</v>
      </c>
      <c r="AK31" s="9">
        <f t="shared" si="17"/>
        <v>11.785307139520228</v>
      </c>
      <c r="AL31" s="9">
        <f t="shared" si="18"/>
        <v>366.66639244611815</v>
      </c>
      <c r="AM31" s="9">
        <f t="shared" si="19"/>
        <v>94.282457116162277</v>
      </c>
    </row>
    <row r="32" spans="1:39" ht="14.25" customHeight="1" x14ac:dyDescent="0.2">
      <c r="B32" s="6"/>
      <c r="D32" s="1">
        <v>15</v>
      </c>
      <c r="E32" s="6">
        <f t="shared" si="7"/>
        <v>14.519498395888913</v>
      </c>
      <c r="F32" s="6">
        <f t="shared" si="3"/>
        <v>122.0957819654295</v>
      </c>
      <c r="G32" s="6">
        <f t="shared" si="3"/>
        <v>11.219612396823251</v>
      </c>
      <c r="H32" s="6">
        <v>0.4</v>
      </c>
      <c r="I32" s="6">
        <v>1.5</v>
      </c>
      <c r="J32" s="6">
        <v>1</v>
      </c>
      <c r="K32" s="26">
        <f t="shared" si="8"/>
        <v>1.0491317974353558</v>
      </c>
      <c r="L32" s="6">
        <f t="shared" si="9"/>
        <v>1270.4561096402799</v>
      </c>
      <c r="M32" s="6">
        <f t="shared" si="10"/>
        <v>18011.248455140092</v>
      </c>
      <c r="N32" s="6">
        <f t="shared" si="11"/>
        <v>1682.9418595234877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8">
        <v>15</v>
      </c>
      <c r="T32" s="6">
        <f>VLOOKUP($S$13,角色设定!$AB$9:$AJ$21,MATCH(E$17,角色设定!$AB$9:$AJ$9,0),0)*Z32*$L$15*E32/Y32/(1+W32*(X32-1))</f>
        <v>928.09293723721737</v>
      </c>
      <c r="U32" s="6">
        <f>VLOOKUP($S$13,角色设定!$AB$9:$AJ$21,MATCH(F$17,角色设定!$AB$9:$AJ$9,0),0)*F32*$L$15/(1+V32/$N$16)</f>
        <v>30718.118485712184</v>
      </c>
      <c r="V32" s="6">
        <f>VLOOKUP($S$13,角色设定!$AB$9:$AJ$21,MATCH(V$17,角色设定!$AB$9:$AJ$9,0),0)*G32*$L$15</f>
        <v>7424.743497897739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T32*战斗公式!$E$39*(1+W32*(X32-1))*Y32</f>
        <v>25058.50930540487</v>
      </c>
      <c r="AD32" s="6">
        <f>U32*战斗公式!$E$41*(1+V32*战斗公式!$E$40)</f>
        <v>32998.859990656623</v>
      </c>
      <c r="AE32" s="22">
        <f t="shared" si="12"/>
        <v>58057.369296061494</v>
      </c>
      <c r="AF32" s="22">
        <f t="shared" si="16"/>
        <v>2764.6366331457757</v>
      </c>
      <c r="AG32" s="22"/>
      <c r="AH32" s="9">
        <f t="shared" si="13"/>
        <v>259.8660224264209</v>
      </c>
      <c r="AI32" s="9">
        <f t="shared" si="14"/>
        <v>8601.0731759994123</v>
      </c>
      <c r="AJ32" s="9">
        <f t="shared" si="15"/>
        <v>2078.9281794113672</v>
      </c>
      <c r="AK32" s="9">
        <f t="shared" si="17"/>
        <v>12.374572496496199</v>
      </c>
      <c r="AL32" s="9">
        <f t="shared" si="18"/>
        <v>382.52580830483566</v>
      </c>
      <c r="AM32" s="9">
        <f t="shared" si="19"/>
        <v>98.99657997196914</v>
      </c>
    </row>
    <row r="33" spans="4:39" ht="14.25" customHeight="1" x14ac:dyDescent="0.2">
      <c r="D33" s="1">
        <v>16</v>
      </c>
      <c r="E33" s="6">
        <f t="shared" si="7"/>
        <v>15.245473315683364</v>
      </c>
      <c r="F33" s="6">
        <f t="shared" si="3"/>
        <v>128.20057106370101</v>
      </c>
      <c r="G33" s="6">
        <f t="shared" si="3"/>
        <v>11.780593016664419</v>
      </c>
      <c r="H33" s="6">
        <v>0.4</v>
      </c>
      <c r="I33" s="6">
        <v>1.5</v>
      </c>
      <c r="J33" s="6">
        <v>1</v>
      </c>
      <c r="K33" s="26">
        <f t="shared" si="8"/>
        <v>1.0490891780850458</v>
      </c>
      <c r="L33" s="6">
        <f t="shared" si="9"/>
        <v>1333.9789151222942</v>
      </c>
      <c r="M33" s="6">
        <f t="shared" si="10"/>
        <v>18896.173465795899</v>
      </c>
      <c r="N33" s="6">
        <f t="shared" si="11"/>
        <v>1767.0889524996628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8">
        <v>16</v>
      </c>
      <c r="T33" s="6">
        <f>VLOOKUP($S$13,角色设定!$AB$9:$AJ$21,MATCH(E$17,角色设定!$AB$9:$AJ$9,0),0)*Z33*$L$15*E33/Y33/(1+W33*(X33-1))</f>
        <v>974.49758409907861</v>
      </c>
      <c r="U33" s="6">
        <f>VLOOKUP($S$13,角色设定!$AB$9:$AJ$21,MATCH(F$17,角色设定!$AB$9:$AJ$9,0),0)*F33*$L$15/(1+V33/$N$16)</f>
        <v>32142.945195112188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T33*战斗公式!$E$39*(1+W33*(X33-1))*Y33</f>
        <v>26311.434770675125</v>
      </c>
      <c r="AD33" s="6">
        <f>U33*战斗公式!$E$41*(1+V33*战斗公式!$E$40)</f>
        <v>34648.802990189462</v>
      </c>
      <c r="AE33" s="22">
        <f t="shared" si="12"/>
        <v>60960.237760864591</v>
      </c>
      <c r="AF33" s="22">
        <f t="shared" si="16"/>
        <v>2902.8684648030976</v>
      </c>
      <c r="AG33" s="22"/>
      <c r="AH33" s="9">
        <f t="shared" si="13"/>
        <v>272.85932354774201</v>
      </c>
      <c r="AI33" s="9">
        <f t="shared" si="14"/>
        <v>9000.0246546314138</v>
      </c>
      <c r="AJ33" s="9">
        <f t="shared" si="15"/>
        <v>2182.8745883819361</v>
      </c>
      <c r="AK33" s="9">
        <f t="shared" si="17"/>
        <v>12.99330112132111</v>
      </c>
      <c r="AL33" s="9">
        <f t="shared" si="18"/>
        <v>398.95147863200145</v>
      </c>
      <c r="AM33" s="9">
        <f t="shared" si="19"/>
        <v>103.94640897056888</v>
      </c>
    </row>
    <row r="34" spans="4:39" ht="14.25" customHeight="1" x14ac:dyDescent="0.2">
      <c r="D34" s="1">
        <v>17</v>
      </c>
      <c r="E34" s="6">
        <f t="shared" si="7"/>
        <v>16.00774698146753</v>
      </c>
      <c r="F34" s="6">
        <f t="shared" si="7"/>
        <v>134.61059961688605</v>
      </c>
      <c r="G34" s="6">
        <f t="shared" si="7"/>
        <v>12.369622667497639</v>
      </c>
      <c r="H34" s="6">
        <v>0.4</v>
      </c>
      <c r="I34" s="6">
        <v>1.5</v>
      </c>
      <c r="J34" s="6">
        <v>1</v>
      </c>
      <c r="K34" s="26">
        <f t="shared" si="8"/>
        <v>1.0490445072730135</v>
      </c>
      <c r="L34" s="6">
        <f t="shared" si="9"/>
        <v>1400.6778608784086</v>
      </c>
      <c r="M34" s="6">
        <f t="shared" si="10"/>
        <v>19823.771090184269</v>
      </c>
      <c r="N34" s="6">
        <f t="shared" si="11"/>
        <v>1855.4434001246459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8">
        <v>17</v>
      </c>
      <c r="T34" s="6">
        <f>VLOOKUP($S$13,角色设定!$AB$9:$AJ$21,MATCH(E$17,角色设定!$AB$9:$AJ$9,0),0)*Z34*$L$15*E34/Y34/(1+W34*(X34-1))</f>
        <v>1023.2224633040325</v>
      </c>
      <c r="U34" s="6">
        <f>VLOOKUP($S$13,角色设定!$AB$9:$AJ$21,MATCH(F$17,角色设定!$AB$9:$AJ$9,0),0)*F34*$L$15/(1+V34/$N$16)</f>
        <v>33628.489103116262</v>
      </c>
      <c r="V34" s="6">
        <f>VLOOKUP($S$13,角色设定!$AB$9:$AJ$21,MATCH(V$17,角色设定!$AB$9:$AJ$9,0),0)*G34*$L$15</f>
        <v>8185.7797064322604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T34*战斗公式!$E$39*(1+W34*(X34-1))*Y34</f>
        <v>27627.006509208877</v>
      </c>
      <c r="AD34" s="6">
        <f>U34*战斗公式!$E$41*(1+V34*战斗公式!$E$40)</f>
        <v>36381.243139698941</v>
      </c>
      <c r="AE34" s="22">
        <f t="shared" si="12"/>
        <v>64008.249648907818</v>
      </c>
      <c r="AF34" s="22">
        <f t="shared" si="16"/>
        <v>3048.0118880432274</v>
      </c>
      <c r="AG34" s="22"/>
      <c r="AH34" s="9">
        <f t="shared" si="13"/>
        <v>286.50228972512912</v>
      </c>
      <c r="AI34" s="9">
        <f t="shared" si="14"/>
        <v>9415.9769488725542</v>
      </c>
      <c r="AJ34" s="9">
        <f t="shared" si="15"/>
        <v>2292.0183178010329</v>
      </c>
      <c r="AK34" s="9">
        <f t="shared" si="17"/>
        <v>13.642966177387109</v>
      </c>
      <c r="AL34" s="9">
        <f t="shared" si="18"/>
        <v>415.95229424114041</v>
      </c>
      <c r="AM34" s="9">
        <f t="shared" si="19"/>
        <v>109.14372941909687</v>
      </c>
    </row>
    <row r="35" spans="4:39" ht="14.25" customHeight="1" x14ac:dyDescent="0.2">
      <c r="D35" s="1">
        <v>18</v>
      </c>
      <c r="E35" s="6">
        <f t="shared" si="7"/>
        <v>16.808134330540909</v>
      </c>
      <c r="F35" s="6">
        <f t="shared" si="7"/>
        <v>141.34112959773037</v>
      </c>
      <c r="G35" s="6">
        <f t="shared" si="7"/>
        <v>12.988103800872523</v>
      </c>
      <c r="H35" s="6">
        <v>0.4</v>
      </c>
      <c r="I35" s="6">
        <v>1.5</v>
      </c>
      <c r="J35" s="6">
        <v>1</v>
      </c>
      <c r="K35" s="26">
        <f t="shared" si="8"/>
        <v>1.0489976903362574</v>
      </c>
      <c r="L35" s="6">
        <f t="shared" si="9"/>
        <v>1470.7117539223298</v>
      </c>
      <c r="M35" s="6">
        <f t="shared" si="10"/>
        <v>20796.018175595364</v>
      </c>
      <c r="N35" s="6">
        <f t="shared" si="11"/>
        <v>1948.2155701308784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8">
        <v>18</v>
      </c>
      <c r="T35" s="6">
        <f>VLOOKUP($S$13,角色设定!$AB$9:$AJ$21,MATCH(E$17,角色设定!$AB$9:$AJ$9,0),0)*Z35*$L$15*E35/Y35/(1+W35*(X35-1))</f>
        <v>1074.3835864692344</v>
      </c>
      <c r="U35" s="6">
        <f>VLOOKUP($S$13,角色设定!$AB$9:$AJ$21,MATCH(F$17,角色设定!$AB$9:$AJ$9,0),0)*F35*$L$15/(1+V35/$N$16)</f>
        <v>35176.832389245137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T35*战斗公式!$E$39*(1+W35*(X35-1))*Y35</f>
        <v>29008.356834669332</v>
      </c>
      <c r="AD35" s="6">
        <f>U35*战斗公式!$E$41*(1+V35*战斗公式!$E$40)</f>
        <v>38200.305296683888</v>
      </c>
      <c r="AE35" s="22">
        <f t="shared" si="12"/>
        <v>67208.662131353223</v>
      </c>
      <c r="AF35" s="22">
        <f t="shared" si="16"/>
        <v>3200.4124824454047</v>
      </c>
      <c r="AG35" s="22"/>
      <c r="AH35" s="9">
        <f t="shared" si="13"/>
        <v>300.82740421138567</v>
      </c>
      <c r="AI35" s="9">
        <f t="shared" si="14"/>
        <v>9849.5130689886391</v>
      </c>
      <c r="AJ35" s="9">
        <f t="shared" si="15"/>
        <v>2406.6192336910849</v>
      </c>
      <c r="AK35" s="9">
        <f t="shared" si="17"/>
        <v>14.325114486256552</v>
      </c>
      <c r="AL35" s="9">
        <f t="shared" si="18"/>
        <v>433.53612011608493</v>
      </c>
      <c r="AM35" s="9">
        <f t="shared" si="19"/>
        <v>114.60091589005197</v>
      </c>
    </row>
    <row r="36" spans="4:39" ht="14.25" customHeight="1" x14ac:dyDescent="0.2">
      <c r="D36" s="1">
        <v>19</v>
      </c>
      <c r="E36" s="6">
        <f t="shared" si="7"/>
        <v>17.648541047067955</v>
      </c>
      <c r="F36" s="6">
        <f t="shared" si="7"/>
        <v>148.40818607761688</v>
      </c>
      <c r="G36" s="6">
        <f t="shared" si="7"/>
        <v>13.637508990916148</v>
      </c>
      <c r="H36" s="6">
        <v>0.4</v>
      </c>
      <c r="I36" s="6">
        <v>1.5</v>
      </c>
      <c r="J36" s="6">
        <v>1</v>
      </c>
      <c r="K36" s="26">
        <f t="shared" si="8"/>
        <v>1.0489486286527323</v>
      </c>
      <c r="L36" s="6">
        <f t="shared" si="9"/>
        <v>1544.2473416184459</v>
      </c>
      <c r="M36" s="6">
        <f t="shared" si="10"/>
        <v>21814.975034390365</v>
      </c>
      <c r="N36" s="6">
        <f t="shared" si="11"/>
        <v>2045.6263486374221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8">
        <v>19</v>
      </c>
      <c r="T36" s="6">
        <f>VLOOKUP($S$13,角色设定!$AB$9:$AJ$21,MATCH(E$17,角色设定!$AB$9:$AJ$9,0),0)*Z36*$L$15*E36/Y36/(1+W36*(X36-1))</f>
        <v>1128.1027657926959</v>
      </c>
      <c r="U36" s="6">
        <f>VLOOKUP($S$13,角色设定!$AB$9:$AJ$21,MATCH(F$17,角色设定!$AB$9:$AJ$9,0),0)*F36*$L$15/(1+V36/$N$16)</f>
        <v>36790.081175309693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T36*战斗公式!$E$39*(1+W36*(X36-1))*Y36</f>
        <v>30458.774676402787</v>
      </c>
      <c r="AD36" s="6">
        <f>U36*战斗公式!$E$41*(1+V36*战斗公式!$E$40)</f>
        <v>40110.32056151807</v>
      </c>
      <c r="AE36" s="22">
        <f t="shared" si="12"/>
        <v>70569.095237920861</v>
      </c>
      <c r="AF36" s="22">
        <f t="shared" si="16"/>
        <v>3360.4331065676379</v>
      </c>
      <c r="AG36" s="22"/>
      <c r="AH36" s="9">
        <f t="shared" si="13"/>
        <v>315.86877442195487</v>
      </c>
      <c r="AI36" s="9">
        <f t="shared" si="14"/>
        <v>10301.222729086716</v>
      </c>
      <c r="AJ36" s="9">
        <f t="shared" si="15"/>
        <v>2526.9501953756389</v>
      </c>
      <c r="AK36" s="9">
        <f t="shared" si="17"/>
        <v>15.041370210569198</v>
      </c>
      <c r="AL36" s="9">
        <f t="shared" si="18"/>
        <v>451.70966009807671</v>
      </c>
      <c r="AM36" s="9">
        <f t="shared" si="19"/>
        <v>120.33096168455404</v>
      </c>
    </row>
    <row r="37" spans="4:39" ht="14.25" customHeight="1" x14ac:dyDescent="0.2">
      <c r="D37" s="1">
        <v>20</v>
      </c>
      <c r="E37" s="6">
        <f t="shared" si="7"/>
        <v>18.530968099421351</v>
      </c>
      <c r="F37" s="6">
        <f t="shared" si="7"/>
        <v>155.82859538149773</v>
      </c>
      <c r="G37" s="6">
        <f t="shared" si="7"/>
        <v>14.319384440461956</v>
      </c>
      <c r="H37" s="6">
        <v>0.4</v>
      </c>
      <c r="I37" s="6">
        <v>1.5</v>
      </c>
      <c r="J37" s="6">
        <v>1</v>
      </c>
      <c r="K37" s="26">
        <f t="shared" si="8"/>
        <v>1.0488972195171706</v>
      </c>
      <c r="L37" s="6">
        <f t="shared" si="9"/>
        <v>1621.4597086993681</v>
      </c>
      <c r="M37" s="6">
        <f t="shared" si="10"/>
        <v>22882.788146417366</v>
      </c>
      <c r="N37" s="6">
        <f t="shared" si="11"/>
        <v>2147.9076660692936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8">
        <v>20</v>
      </c>
      <c r="T37" s="6">
        <f>VLOOKUP($S$13,角色设定!$AB$9:$AJ$21,MATCH(E$17,角色设定!$AB$9:$AJ$9,0),0)*Z37*$L$15*E37/Y37/(1+W37*(X37-1))</f>
        <v>1184.5079040823307</v>
      </c>
      <c r="U37" s="6">
        <f>VLOOKUP($S$13,角色设定!$AB$9:$AJ$21,MATCH(F$17,角色设定!$AB$9:$AJ$9,0),0)*F37*$L$15/(1+V37/$N$16)</f>
        <v>38470.360867918098</v>
      </c>
      <c r="V37" s="6">
        <f>VLOOKUP($S$13,角色设定!$AB$9:$AJ$21,MATCH(V$17,角色设定!$AB$9:$AJ$9,0),0)*G37*$L$15</f>
        <v>9476.0632326586456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T37*战斗公式!$E$39*(1+W37*(X37-1))*Y37</f>
        <v>31981.713410222925</v>
      </c>
      <c r="AD37" s="6">
        <f>U37*战斗公式!$E$41*(1+V37*战斗公式!$E$40)</f>
        <v>42115.836589593979</v>
      </c>
      <c r="AE37" s="22">
        <f t="shared" si="12"/>
        <v>74097.549999816896</v>
      </c>
      <c r="AF37" s="22">
        <f t="shared" si="16"/>
        <v>3528.4547618960351</v>
      </c>
      <c r="AG37" s="22"/>
      <c r="AH37" s="9">
        <f t="shared" si="13"/>
        <v>331.66221314305261</v>
      </c>
      <c r="AI37" s="9">
        <f t="shared" si="14"/>
        <v>10771.701043017069</v>
      </c>
      <c r="AJ37" s="9">
        <f t="shared" si="15"/>
        <v>2653.2977051444209</v>
      </c>
      <c r="AK37" s="9">
        <f t="shared" si="17"/>
        <v>15.793438721097743</v>
      </c>
      <c r="AL37" s="9">
        <f t="shared" si="18"/>
        <v>470.47831393035267</v>
      </c>
      <c r="AM37" s="9">
        <f t="shared" si="19"/>
        <v>126.34750976878195</v>
      </c>
    </row>
    <row r="38" spans="4:39" ht="14.25" customHeight="1" x14ac:dyDescent="0.2">
      <c r="D38" s="1">
        <v>21</v>
      </c>
      <c r="E38" s="6">
        <f t="shared" si="7"/>
        <v>19.457516504392419</v>
      </c>
      <c r="F38" s="6">
        <f t="shared" si="7"/>
        <v>163.62002515057262</v>
      </c>
      <c r="G38" s="6">
        <f t="shared" si="7"/>
        <v>15.035353662485052</v>
      </c>
      <c r="H38" s="6">
        <v>0.4</v>
      </c>
      <c r="I38" s="6">
        <v>1.5</v>
      </c>
      <c r="J38" s="6">
        <v>1</v>
      </c>
      <c r="K38" s="26">
        <f t="shared" si="8"/>
        <v>1.0488433560174391</v>
      </c>
      <c r="L38" s="6">
        <f t="shared" si="9"/>
        <v>1702.5326941343365</v>
      </c>
      <c r="M38" s="6">
        <f t="shared" si="10"/>
        <v>24001.692861577645</v>
      </c>
      <c r="N38" s="6">
        <f t="shared" si="11"/>
        <v>2255.3030493727579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8">
        <v>21</v>
      </c>
      <c r="T38" s="6">
        <f>VLOOKUP($S$13,角色设定!$AB$9:$AJ$21,MATCH(E$17,角色设定!$AB$9:$AJ$9,0),0)*Z38*$L$15*E38/Y38/(1+W38*(X38-1))</f>
        <v>1243.7332992864472</v>
      </c>
      <c r="U38" s="6">
        <f>VLOOKUP($S$13,角色设定!$AB$9:$AJ$21,MATCH(F$17,角色设定!$AB$9:$AJ$9,0),0)*F38*$L$15/(1+V38/$N$16)</f>
        <v>40219.81096410827</v>
      </c>
      <c r="V38" s="6">
        <f>VLOOKUP($S$13,角色设定!$AB$9:$AJ$21,MATCH(V$17,角色设定!$AB$9:$AJ$9,0),0)*G38*$L$15</f>
        <v>9949.8663942915791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T38*战斗公式!$E$39*(1+W38*(X38-1))*Y38</f>
        <v>33580.799080734076</v>
      </c>
      <c r="AD38" s="6">
        <f>U38*战斗公式!$E$41*(1+V38*战斗公式!$E$40)</f>
        <v>44221.628419073684</v>
      </c>
      <c r="AE38" s="22">
        <f t="shared" si="12"/>
        <v>77802.42749980776</v>
      </c>
      <c r="AF38" s="22">
        <f t="shared" si="16"/>
        <v>3704.8774999908637</v>
      </c>
      <c r="AG38" s="22"/>
      <c r="AH38" s="9">
        <f t="shared" si="13"/>
        <v>348.24532380020526</v>
      </c>
      <c r="AI38" s="9">
        <f t="shared" si="14"/>
        <v>11261.547069950317</v>
      </c>
      <c r="AJ38" s="9">
        <f t="shared" si="15"/>
        <v>2785.9625904016425</v>
      </c>
      <c r="AK38" s="9">
        <f t="shared" si="17"/>
        <v>16.583110657152645</v>
      </c>
      <c r="AL38" s="9">
        <f t="shared" si="18"/>
        <v>489.84602693324814</v>
      </c>
      <c r="AM38" s="9">
        <f t="shared" si="19"/>
        <v>132.66488525722161</v>
      </c>
    </row>
    <row r="39" spans="4:39" ht="14.25" customHeight="1" x14ac:dyDescent="0.2">
      <c r="D39" s="1">
        <v>22</v>
      </c>
      <c r="E39" s="6">
        <f t="shared" si="7"/>
        <v>20.43039232961204</v>
      </c>
      <c r="F39" s="6">
        <f t="shared" si="7"/>
        <v>171.80102640810125</v>
      </c>
      <c r="G39" s="6">
        <f t="shared" si="7"/>
        <v>15.787121345609304</v>
      </c>
      <c r="H39" s="6">
        <v>0.4</v>
      </c>
      <c r="I39" s="6">
        <v>1.5</v>
      </c>
      <c r="J39" s="6">
        <v>1</v>
      </c>
      <c r="K39" s="26">
        <f t="shared" si="8"/>
        <v>1.0487869269119983</v>
      </c>
      <c r="L39" s="6">
        <f t="shared" si="9"/>
        <v>1787.6593288410534</v>
      </c>
      <c r="M39" s="6">
        <f t="shared" si="10"/>
        <v>25174.016091036909</v>
      </c>
      <c r="N39" s="6">
        <f t="shared" si="11"/>
        <v>2368.0682018413954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8">
        <v>22</v>
      </c>
      <c r="T39" s="6">
        <f>VLOOKUP($S$13,角色设定!$AB$9:$AJ$21,MATCH(E$17,角色设定!$AB$9:$AJ$9,0),0)*Z39*$L$15*E39/Y39/(1+W39*(X39-1))</f>
        <v>1305.9199642507697</v>
      </c>
      <c r="U39" s="6">
        <f>VLOOKUP($S$13,角色设定!$AB$9:$AJ$21,MATCH(F$17,角色设定!$AB$9:$AJ$9,0),0)*F39*$L$15/(1+V39/$N$16)</f>
        <v>42040.579295205273</v>
      </c>
      <c r="V39" s="6">
        <f>VLOOKUP($S$13,角色设定!$AB$9:$AJ$21,MATCH(V$17,角色设定!$AB$9:$AJ$9,0),0)*G39*$L$15</f>
        <v>10447.359714006156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T39*战斗公式!$E$39*(1+W39*(X39-1))*Y39</f>
        <v>35259.839034770783</v>
      </c>
      <c r="AD39" s="6">
        <f>U39*战斗公式!$E$41*(1+V39*战斗公式!$E$40)</f>
        <v>46432.709840027368</v>
      </c>
      <c r="AE39" s="22">
        <f t="shared" si="12"/>
        <v>81692.548874798144</v>
      </c>
      <c r="AF39" s="22">
        <f t="shared" si="16"/>
        <v>3890.1213749903836</v>
      </c>
      <c r="AG39" s="22"/>
      <c r="AH39" s="9">
        <f t="shared" si="13"/>
        <v>365.65758999021557</v>
      </c>
      <c r="AI39" s="9">
        <f t="shared" si="14"/>
        <v>11771.362202657478</v>
      </c>
      <c r="AJ39" s="9">
        <f t="shared" si="15"/>
        <v>2925.2607199217236</v>
      </c>
      <c r="AK39" s="9">
        <f t="shared" si="17"/>
        <v>17.412266190010314</v>
      </c>
      <c r="AL39" s="9">
        <f t="shared" si="18"/>
        <v>509.81513270716096</v>
      </c>
      <c r="AM39" s="9">
        <f t="shared" si="19"/>
        <v>139.29812952008115</v>
      </c>
    </row>
    <row r="40" spans="4:39" ht="14.25" customHeight="1" x14ac:dyDescent="0.2">
      <c r="D40" s="1">
        <v>23</v>
      </c>
      <c r="E40" s="6">
        <f t="shared" si="7"/>
        <v>21.45191194609264</v>
      </c>
      <c r="F40" s="6">
        <f t="shared" si="7"/>
        <v>180.3910777285063</v>
      </c>
      <c r="G40" s="6">
        <f t="shared" si="7"/>
        <v>16.576477412889769</v>
      </c>
      <c r="H40" s="6">
        <v>0.4</v>
      </c>
      <c r="I40" s="6">
        <v>1.5</v>
      </c>
      <c r="J40" s="6">
        <v>1</v>
      </c>
      <c r="K40" s="26">
        <f t="shared" si="8"/>
        <v>1.0487278165091543</v>
      </c>
      <c r="L40" s="6">
        <f t="shared" si="9"/>
        <v>1877.0422952831061</v>
      </c>
      <c r="M40" s="6">
        <f t="shared" si="10"/>
        <v>26402.178974151793</v>
      </c>
      <c r="N40" s="6">
        <f t="shared" si="11"/>
        <v>2486.4716119334653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8">
        <v>23</v>
      </c>
      <c r="T40" s="6">
        <f>VLOOKUP($S$13,角色设定!$AB$9:$AJ$21,MATCH(E$17,角色设定!$AB$9:$AJ$9,0),0)*Z40*$L$15*E40/Y40/(1+W40*(X40-1))</f>
        <v>1371.215962463308</v>
      </c>
      <c r="U40" s="6">
        <f>VLOOKUP($S$13,角色设定!$AB$9:$AJ$21,MATCH(F$17,角色设定!$AB$9:$AJ$9,0),0)*F40*$L$15/(1+V40/$N$16)</f>
        <v>43934.815685915841</v>
      </c>
      <c r="V40" s="6">
        <f>VLOOKUP($S$13,角色设定!$AB$9:$AJ$21,MATCH(V$17,角色设定!$AB$9:$AJ$9,0),0)*G40*$L$15</f>
        <v>10969.727699706464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T40*战斗公式!$E$39*(1+W40*(X40-1))*Y40</f>
        <v>37022.830986509311</v>
      </c>
      <c r="AD40" s="6">
        <f>U40*战斗公式!$E$41*(1+V40*战斗公式!$E$40)</f>
        <v>48754.34533202873</v>
      </c>
      <c r="AE40" s="22">
        <f t="shared" si="12"/>
        <v>85777.176318538041</v>
      </c>
      <c r="AF40" s="22">
        <f t="shared" si="16"/>
        <v>4084.627443739897</v>
      </c>
      <c r="AG40" s="22"/>
      <c r="AH40" s="9">
        <f t="shared" si="13"/>
        <v>383.94046948972624</v>
      </c>
      <c r="AI40" s="9">
        <f t="shared" si="14"/>
        <v>12301.748392056437</v>
      </c>
      <c r="AJ40" s="9">
        <f t="shared" si="15"/>
        <v>3071.5237559178099</v>
      </c>
      <c r="AK40" s="9">
        <f t="shared" si="17"/>
        <v>18.28287949951067</v>
      </c>
      <c r="AL40" s="9">
        <f t="shared" si="18"/>
        <v>530.38618939895969</v>
      </c>
      <c r="AM40" s="9">
        <f t="shared" si="19"/>
        <v>146.26303599608627</v>
      </c>
    </row>
    <row r="41" spans="4:39" ht="14.25" customHeight="1" x14ac:dyDescent="0.2">
      <c r="D41" s="1">
        <v>24</v>
      </c>
      <c r="E41" s="6">
        <f t="shared" si="7"/>
        <v>22.524507543397277</v>
      </c>
      <c r="F41" s="6">
        <f t="shared" si="7"/>
        <v>189.41063161493165</v>
      </c>
      <c r="G41" s="6">
        <f t="shared" si="7"/>
        <v>17.405301283534261</v>
      </c>
      <c r="H41" s="6">
        <v>0.4</v>
      </c>
      <c r="I41" s="6">
        <v>1.5</v>
      </c>
      <c r="J41" s="6">
        <v>1</v>
      </c>
      <c r="K41" s="26">
        <f t="shared" si="8"/>
        <v>1.0486659045488198</v>
      </c>
      <c r="L41" s="6">
        <f t="shared" si="9"/>
        <v>1970.8944100472618</v>
      </c>
      <c r="M41" s="6">
        <f t="shared" si="10"/>
        <v>27688.699506646113</v>
      </c>
      <c r="N41" s="6">
        <f t="shared" si="11"/>
        <v>2610.795192530139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8">
        <v>24</v>
      </c>
      <c r="T41" s="6">
        <f>VLOOKUP($S$13,角色设定!$AB$9:$AJ$21,MATCH(E$17,角色设定!$AB$9:$AJ$9,0),0)*Z41*$L$15*E41/Y41/(1+W41*(X41-1))</f>
        <v>1439.7767605864735</v>
      </c>
      <c r="U41" s="6">
        <f>VLOOKUP($S$13,角色设定!$AB$9:$AJ$21,MATCH(F$17,角色设定!$AB$9:$AJ$9,0),0)*F41*$L$15/(1+V41/$N$16)</f>
        <v>45904.665008132841</v>
      </c>
      <c r="V41" s="6">
        <f>VLOOKUP($S$13,角色设定!$AB$9:$AJ$21,MATCH(V$17,角色设定!$AB$9:$AJ$9,0),0)*G41*$L$15</f>
        <v>11518.214084691788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T41*战斗公式!$E$39*(1+W41*(X41-1))*Y41</f>
        <v>38873.972535834786</v>
      </c>
      <c r="AD41" s="6">
        <f>U41*战斗公式!$E$41*(1+V41*战斗公式!$E$40)</f>
        <v>51192.062598630175</v>
      </c>
      <c r="AE41" s="22">
        <f t="shared" si="12"/>
        <v>90066.035134464968</v>
      </c>
      <c r="AF41" s="22">
        <f t="shared" si="16"/>
        <v>4288.8588159269275</v>
      </c>
      <c r="AG41" s="22"/>
      <c r="AH41" s="9">
        <f t="shared" si="13"/>
        <v>403.13749296421264</v>
      </c>
      <c r="AI41" s="9">
        <f t="shared" si="14"/>
        <v>12853.306202277197</v>
      </c>
      <c r="AJ41" s="9">
        <f t="shared" si="15"/>
        <v>3225.0999437137011</v>
      </c>
      <c r="AK41" s="9">
        <f t="shared" si="17"/>
        <v>19.1970234744864</v>
      </c>
      <c r="AL41" s="9">
        <f t="shared" si="18"/>
        <v>551.55781022076008</v>
      </c>
      <c r="AM41" s="9">
        <f t="shared" si="19"/>
        <v>153.5761877958912</v>
      </c>
    </row>
    <row r="42" spans="4:39" ht="14.25" customHeight="1" x14ac:dyDescent="0.2">
      <c r="D42" s="1">
        <v>25</v>
      </c>
      <c r="E42" s="6">
        <f t="shared" si="7"/>
        <v>23.650732920567137</v>
      </c>
      <c r="F42" s="6">
        <f t="shared" si="7"/>
        <v>198.8811631956782</v>
      </c>
      <c r="G42" s="6">
        <f t="shared" si="7"/>
        <v>18.275566347710971</v>
      </c>
      <c r="H42" s="6">
        <v>0.4</v>
      </c>
      <c r="I42" s="6">
        <v>1.5</v>
      </c>
      <c r="J42" s="6">
        <v>1</v>
      </c>
      <c r="K42" s="26">
        <f t="shared" si="8"/>
        <v>1.0486010660876299</v>
      </c>
      <c r="L42" s="6">
        <f t="shared" si="9"/>
        <v>2069.4391305496247</v>
      </c>
      <c r="M42" s="6">
        <f t="shared" si="10"/>
        <v>29036.195113917507</v>
      </c>
      <c r="N42" s="6">
        <f t="shared" si="11"/>
        <v>2741.3349521566456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8">
        <v>25</v>
      </c>
      <c r="T42" s="6">
        <f>VLOOKUP($S$13,角色设定!$AB$9:$AJ$21,MATCH(E$17,角色设定!$AB$9:$AJ$9,0),0)*Z42*$L$15*E42/Y42/(1+W42*(X42-1))</f>
        <v>1511.7655986157972</v>
      </c>
      <c r="U42" s="6">
        <f>VLOOKUP($S$13,角色设定!$AB$9:$AJ$21,MATCH(F$17,角色设定!$AB$9:$AJ$9,0),0)*F42*$L$15/(1+V42/$N$16)</f>
        <v>47952.259611978996</v>
      </c>
      <c r="V42" s="6">
        <f>VLOOKUP($S$13,角色设定!$AB$9:$AJ$21,MATCH(V$17,角色设定!$AB$9:$AJ$9,0),0)*G42*$L$15</f>
        <v>12094.124788926378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T42*战斗公式!$E$39*(1+W42*(X42-1))*Y42</f>
        <v>40817.671162626531</v>
      </c>
      <c r="AD42" s="6">
        <f>U42*战斗公式!$E$41*(1+V42*战斗公式!$E$40)</f>
        <v>53751.665728561675</v>
      </c>
      <c r="AE42" s="22">
        <f t="shared" si="12"/>
        <v>94569.336891188199</v>
      </c>
      <c r="AF42" s="22">
        <f t="shared" si="16"/>
        <v>4503.3017567232309</v>
      </c>
      <c r="AG42" s="22"/>
      <c r="AH42" s="9">
        <f t="shared" si="13"/>
        <v>423.29436761242329</v>
      </c>
      <c r="AI42" s="9">
        <f t="shared" si="14"/>
        <v>13426.63269135412</v>
      </c>
      <c r="AJ42" s="9">
        <f t="shared" si="15"/>
        <v>3386.3549408993863</v>
      </c>
      <c r="AK42" s="9">
        <f t="shared" si="17"/>
        <v>20.156874648210646</v>
      </c>
      <c r="AL42" s="9">
        <f t="shared" si="18"/>
        <v>573.32648907692237</v>
      </c>
      <c r="AM42" s="9">
        <f t="shared" si="19"/>
        <v>161.25499718568517</v>
      </c>
    </row>
    <row r="43" spans="4:39" ht="14.25" customHeight="1" x14ac:dyDescent="0.2">
      <c r="D43" s="1">
        <v>26</v>
      </c>
      <c r="E43" s="6">
        <f t="shared" si="7"/>
        <v>24.833269566595494</v>
      </c>
      <c r="F43" s="6">
        <f t="shared" si="7"/>
        <v>208.82522135546211</v>
      </c>
      <c r="G43" s="6">
        <f t="shared" si="7"/>
        <v>19.18934466509652</v>
      </c>
      <c r="H43" s="6">
        <v>0.4</v>
      </c>
      <c r="I43" s="6">
        <v>1.5</v>
      </c>
      <c r="J43" s="6">
        <v>1</v>
      </c>
      <c r="K43" s="26">
        <f t="shared" si="8"/>
        <v>1.0485331713883002</v>
      </c>
      <c r="L43" s="6">
        <f t="shared" si="9"/>
        <v>2172.9110870771055</v>
      </c>
      <c r="M43" s="6">
        <f t="shared" si="10"/>
        <v>30447.38515158233</v>
      </c>
      <c r="N43" s="6">
        <f t="shared" si="11"/>
        <v>2878.4016997644781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8">
        <v>26</v>
      </c>
      <c r="T43" s="6">
        <f>VLOOKUP($S$13,角色设定!$AB$9:$AJ$21,MATCH(E$17,角色设定!$AB$9:$AJ$9,0),0)*Z43*$L$15*E43/Y43/(1+W43*(X43-1))</f>
        <v>1587.3538785465869</v>
      </c>
      <c r="U43" s="6">
        <f>VLOOKUP($S$13,角色设定!$AB$9:$AJ$21,MATCH(F$17,角色设定!$AB$9:$AJ$9,0),0)*F43*$L$15/(1+V43/$N$16)</f>
        <v>50079.711120322791</v>
      </c>
      <c r="V43" s="6">
        <f>VLOOKUP($S$13,角色设定!$AB$9:$AJ$21,MATCH(V$17,角色设定!$AB$9:$AJ$9,0),0)*G43*$L$15</f>
        <v>12698.831028372697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T43*战斗公式!$E$39*(1+W43*(X43-1))*Y43</f>
        <v>42858.554720757842</v>
      </c>
      <c r="AD43" s="6">
        <f>U43*战斗公式!$E$41*(1+V43*战斗公式!$E$40)</f>
        <v>56439.249014989757</v>
      </c>
      <c r="AE43" s="22">
        <f t="shared" si="12"/>
        <v>99297.803735747599</v>
      </c>
      <c r="AF43" s="22">
        <f t="shared" si="16"/>
        <v>4728.4668445593998</v>
      </c>
      <c r="AG43" s="22"/>
      <c r="AH43" s="9">
        <f t="shared" si="13"/>
        <v>444.45908599304437</v>
      </c>
      <c r="AI43" s="9">
        <f t="shared" si="14"/>
        <v>14022.319113690382</v>
      </c>
      <c r="AJ43" s="9">
        <f t="shared" si="15"/>
        <v>3555.6726879443554</v>
      </c>
      <c r="AK43" s="9">
        <f t="shared" si="17"/>
        <v>21.164718380621082</v>
      </c>
      <c r="AL43" s="9">
        <f t="shared" si="18"/>
        <v>595.68642233626269</v>
      </c>
      <c r="AM43" s="9">
        <f t="shared" si="19"/>
        <v>169.31774704496911</v>
      </c>
    </row>
    <row r="44" spans="4:39" ht="14.25" customHeight="1" x14ac:dyDescent="0.2">
      <c r="D44" s="1">
        <v>27</v>
      </c>
      <c r="E44" s="6">
        <f t="shared" si="7"/>
        <v>26.07493304492527</v>
      </c>
      <c r="F44" s="6">
        <f t="shared" si="7"/>
        <v>219.26648242323523</v>
      </c>
      <c r="G44" s="6">
        <f t="shared" si="7"/>
        <v>20.148811898351347</v>
      </c>
      <c r="H44" s="6">
        <v>0.4</v>
      </c>
      <c r="I44" s="6">
        <v>1.5</v>
      </c>
      <c r="J44" s="6">
        <v>1</v>
      </c>
      <c r="K44" s="26">
        <f t="shared" si="8"/>
        <v>1.0484620858142453</v>
      </c>
      <c r="L44" s="6">
        <f t="shared" si="9"/>
        <v>2281.556641430961</v>
      </c>
      <c r="M44" s="6">
        <f t="shared" si="10"/>
        <v>31925.093313469661</v>
      </c>
      <c r="N44" s="6">
        <f t="shared" si="11"/>
        <v>3022.3217847527021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8">
        <v>27</v>
      </c>
      <c r="T44" s="6">
        <f>VLOOKUP($S$13,角色设定!$AB$9:$AJ$21,MATCH(E$17,角色设定!$AB$9:$AJ$9,0),0)*Z44*$L$15*E44/Y44/(1+W44*(X44-1))</f>
        <v>1666.7215724739162</v>
      </c>
      <c r="U44" s="6">
        <f>VLOOKUP($S$13,角色设定!$AB$9:$AJ$21,MATCH(F$17,角色设定!$AB$9:$AJ$9,0),0)*F44*$L$15/(1+V44/$N$16)</f>
        <v>52289.101577393514</v>
      </c>
      <c r="V44" s="6">
        <f>VLOOKUP($S$13,角色设定!$AB$9:$AJ$21,MATCH(V$17,角色设定!$AB$9:$AJ$9,0),0)*G44*$L$15</f>
        <v>13333.772579791332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T44*战斗公式!$E$39*(1+W44*(X44-1))*Y44</f>
        <v>45001.482456795733</v>
      </c>
      <c r="AD44" s="6">
        <f>U44*战斗公式!$E$41*(1+V44*战斗公式!$E$40)</f>
        <v>59261.211465739252</v>
      </c>
      <c r="AE44" s="22">
        <f t="shared" si="12"/>
        <v>104262.69392253499</v>
      </c>
      <c r="AF44" s="22">
        <f t="shared" si="16"/>
        <v>4964.8901867873938</v>
      </c>
      <c r="AG44" s="22"/>
      <c r="AH44" s="9">
        <f t="shared" si="13"/>
        <v>466.68204029269657</v>
      </c>
      <c r="AI44" s="9">
        <f t="shared" si="14"/>
        <v>14640.948441670185</v>
      </c>
      <c r="AJ44" s="9">
        <f t="shared" si="15"/>
        <v>3733.4563223415735</v>
      </c>
      <c r="AK44" s="9">
        <f t="shared" si="17"/>
        <v>22.222954299652201</v>
      </c>
      <c r="AL44" s="9">
        <f t="shared" si="18"/>
        <v>618.62932797980284</v>
      </c>
      <c r="AM44" s="9">
        <f t="shared" si="19"/>
        <v>177.78363439721807</v>
      </c>
    </row>
    <row r="45" spans="4:39" ht="14.25" customHeight="1" x14ac:dyDescent="0.2">
      <c r="D45" s="1">
        <v>28</v>
      </c>
      <c r="E45" s="6">
        <f t="shared" si="7"/>
        <v>27.378679697171538</v>
      </c>
      <c r="F45" s="6">
        <f t="shared" si="7"/>
        <v>230.22980654439701</v>
      </c>
      <c r="G45" s="6">
        <f t="shared" si="7"/>
        <v>21.156252493268916</v>
      </c>
      <c r="H45" s="6">
        <v>0.4</v>
      </c>
      <c r="I45" s="6">
        <v>1.5</v>
      </c>
      <c r="J45" s="6">
        <v>1</v>
      </c>
      <c r="K45" s="26">
        <f t="shared" si="8"/>
        <v>1.0483876697305508</v>
      </c>
      <c r="L45" s="6">
        <f t="shared" si="9"/>
        <v>2395.6344735025095</v>
      </c>
      <c r="M45" s="6">
        <f t="shared" si="10"/>
        <v>33472.249925254815</v>
      </c>
      <c r="N45" s="6">
        <f t="shared" si="11"/>
        <v>3173.4378739903373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8">
        <v>28</v>
      </c>
      <c r="T45" s="6">
        <f>VLOOKUP($S$13,角色设定!$AB$9:$AJ$21,MATCH(E$17,角色设定!$AB$9:$AJ$9,0),0)*Z45*$L$15*E45/Y45/(1+W45*(X45-1))</f>
        <v>1750.0576510976123</v>
      </c>
      <c r="U45" s="6">
        <f>VLOOKUP($S$13,角色设定!$AB$9:$AJ$21,MATCH(F$17,角色设定!$AB$9:$AJ$9,0),0)*F45*$L$15/(1+V45/$N$16)</f>
        <v>54582.473947248727</v>
      </c>
      <c r="V45" s="6">
        <f>VLOOKUP($S$13,角色设定!$AB$9:$AJ$21,MATCH(V$17,角色设定!$AB$9:$AJ$9,0),0)*G45*$L$15</f>
        <v>14000.461208780898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T45*战斗公式!$E$39*(1+W45*(X45-1))*Y45</f>
        <v>47251.556579635537</v>
      </c>
      <c r="AD45" s="6">
        <f>U45*战斗公式!$E$41*(1+V45*战斗公式!$E$40)</f>
        <v>62224.272039026218</v>
      </c>
      <c r="AE45" s="22">
        <f t="shared" si="12"/>
        <v>109475.82861866176</v>
      </c>
      <c r="AF45" s="22">
        <f t="shared" si="16"/>
        <v>5213.13469612677</v>
      </c>
      <c r="AG45" s="22"/>
      <c r="AH45" s="9">
        <f t="shared" si="13"/>
        <v>490.01614230733151</v>
      </c>
      <c r="AI45" s="9">
        <f t="shared" si="14"/>
        <v>15283.092705229645</v>
      </c>
      <c r="AJ45" s="9">
        <f t="shared" si="15"/>
        <v>3920.1291384586521</v>
      </c>
      <c r="AK45" s="9">
        <f t="shared" si="17"/>
        <v>23.334102014634936</v>
      </c>
      <c r="AL45" s="9">
        <f t="shared" si="18"/>
        <v>642.14426355945943</v>
      </c>
      <c r="AM45" s="9">
        <f t="shared" si="19"/>
        <v>186.67281611707858</v>
      </c>
    </row>
    <row r="46" spans="4:39" ht="14.25" customHeight="1" x14ac:dyDescent="0.2">
      <c r="D46" s="1">
        <v>29</v>
      </c>
      <c r="E46" s="6">
        <f t="shared" si="7"/>
        <v>28.74761368203011</v>
      </c>
      <c r="F46" s="6">
        <f t="shared" si="7"/>
        <v>241.74129687161684</v>
      </c>
      <c r="G46" s="6">
        <f t="shared" si="7"/>
        <v>22.21406511793236</v>
      </c>
      <c r="H46" s="6">
        <v>0.4</v>
      </c>
      <c r="I46" s="6">
        <v>1.5</v>
      </c>
      <c r="J46" s="6">
        <v>1</v>
      </c>
      <c r="K46" s="26">
        <f t="shared" si="8"/>
        <v>1.0483097784125059</v>
      </c>
      <c r="L46" s="6">
        <f t="shared" si="9"/>
        <v>2515.4161971776348</v>
      </c>
      <c r="M46" s="6">
        <f t="shared" si="10"/>
        <v>35091.894099776495</v>
      </c>
      <c r="N46" s="6">
        <f t="shared" si="11"/>
        <v>3332.1097676898539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8">
        <v>29</v>
      </c>
      <c r="T46" s="6">
        <f>VLOOKUP($S$13,角色设定!$AB$9:$AJ$21,MATCH(E$17,角色设定!$AB$9:$AJ$9,0),0)*Z46*$L$15*E46/Y46/(1+W46*(X46-1))</f>
        <v>1837.5605336524927</v>
      </c>
      <c r="U46" s="6">
        <f>VLOOKUP($S$13,角色设定!$AB$9:$AJ$21,MATCH(F$17,角色设定!$AB$9:$AJ$9,0),0)*F46*$L$15/(1+V46/$N$16)</f>
        <v>56961.821963737253</v>
      </c>
      <c r="V46" s="6">
        <f>VLOOKUP($S$13,角色设定!$AB$9:$AJ$21,MATCH(V$17,角色设定!$AB$9:$AJ$9,0),0)*G46*$L$15</f>
        <v>14700.484269219942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T46*战斗公式!$E$39*(1+W46*(X46-1))*Y46</f>
        <v>49614.134408617305</v>
      </c>
      <c r="AD46" s="6">
        <f>U46*战斗公式!$E$41*(1+V46*战斗公式!$E$40)</f>
        <v>65335.485640977524</v>
      </c>
      <c r="AE46" s="22">
        <f t="shared" si="12"/>
        <v>114949.62004959483</v>
      </c>
      <c r="AF46" s="22">
        <f t="shared" si="16"/>
        <v>5473.7914309330663</v>
      </c>
      <c r="AG46" s="22"/>
      <c r="AH46" s="9">
        <f t="shared" si="13"/>
        <v>514.51694942269796</v>
      </c>
      <c r="AI46" s="9">
        <f t="shared" si="14"/>
        <v>15949.310149846433</v>
      </c>
      <c r="AJ46" s="9">
        <f t="shared" si="15"/>
        <v>4116.1355953815837</v>
      </c>
      <c r="AK46" s="9">
        <f t="shared" si="17"/>
        <v>24.500807115366456</v>
      </c>
      <c r="AL46" s="9">
        <f t="shared" si="18"/>
        <v>666.21744461678827</v>
      </c>
      <c r="AM46" s="9">
        <f t="shared" si="19"/>
        <v>196.00645692293165</v>
      </c>
    </row>
    <row r="47" spans="4:39" ht="14.25" customHeight="1" x14ac:dyDescent="0.2">
      <c r="D47" s="1">
        <v>30</v>
      </c>
      <c r="E47" s="6">
        <f t="shared" si="7"/>
        <v>30.184994366131619</v>
      </c>
      <c r="F47" s="6">
        <f t="shared" si="7"/>
        <v>253.82836171519773</v>
      </c>
      <c r="G47" s="6">
        <f t="shared" si="7"/>
        <v>23.324768373828981</v>
      </c>
      <c r="H47" s="6">
        <v>0.4</v>
      </c>
      <c r="I47" s="6">
        <v>1.5</v>
      </c>
      <c r="J47" s="6">
        <v>1</v>
      </c>
      <c r="K47" s="26">
        <f t="shared" si="8"/>
        <v>1.0482282619630086</v>
      </c>
      <c r="L47" s="6">
        <f t="shared" si="9"/>
        <v>2641.1870070365167</v>
      </c>
      <c r="M47" s="6">
        <f t="shared" si="10"/>
        <v>36787.175727811824</v>
      </c>
      <c r="N47" s="6">
        <f t="shared" si="11"/>
        <v>3498.7152560743471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8">
        <v>30</v>
      </c>
      <c r="T47" s="6">
        <f>VLOOKUP($S$13,角色设定!$AB$9:$AJ$21,MATCH(E$17,角色设定!$AB$9:$AJ$9,0),0)*Z47*$L$15*E47/Y47/(1+W47*(X47-1))</f>
        <v>1929.4385603351177</v>
      </c>
      <c r="U47" s="6">
        <f>VLOOKUP($S$13,角色设定!$AB$9:$AJ$21,MATCH(F$17,角色设定!$AB$9:$AJ$9,0),0)*F47*$L$15/(1+V47/$N$16)</f>
        <v>59429.079340278542</v>
      </c>
      <c r="V47" s="6">
        <f>VLOOKUP($S$13,角色设定!$AB$9:$AJ$21,MATCH(V$17,角色设定!$AB$9:$AJ$9,0),0)*G47*$L$15</f>
        <v>15435.508482680942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T47*战斗公式!$E$39*(1+W47*(X47-1))*Y47</f>
        <v>52094.841129048174</v>
      </c>
      <c r="AD47" s="6">
        <f>U47*战斗公式!$E$41*(1+V47*战斗公式!$E$40)</f>
        <v>68602.259923026417</v>
      </c>
      <c r="AE47" s="22">
        <f t="shared" si="12"/>
        <v>120697.10105207459</v>
      </c>
      <c r="AF47" s="22">
        <f t="shared" si="16"/>
        <v>5747.4810024797625</v>
      </c>
      <c r="AG47" s="22"/>
      <c r="AH47" s="9">
        <f t="shared" si="13"/>
        <v>540.24279689383297</v>
      </c>
      <c r="AI47" s="9">
        <f t="shared" si="14"/>
        <v>16640.142215277992</v>
      </c>
      <c r="AJ47" s="9">
        <f t="shared" si="15"/>
        <v>4321.9423751506638</v>
      </c>
      <c r="AK47" s="9">
        <f t="shared" si="17"/>
        <v>25.725847471135012</v>
      </c>
      <c r="AL47" s="9">
        <f t="shared" si="18"/>
        <v>690.83206543155939</v>
      </c>
      <c r="AM47" s="9">
        <f t="shared" si="19"/>
        <v>205.80677976908009</v>
      </c>
    </row>
    <row r="48" spans="4:39" ht="14.25" customHeight="1" x14ac:dyDescent="0.2">
      <c r="D48" s="1">
        <v>31</v>
      </c>
      <c r="E48" s="6">
        <f t="shared" si="7"/>
        <v>31.694244084438189</v>
      </c>
      <c r="F48" s="6">
        <f t="shared" si="7"/>
        <v>266.51977980095751</v>
      </c>
      <c r="G48" s="6">
        <f t="shared" si="7"/>
        <v>24.491006792520423</v>
      </c>
      <c r="H48" s="6">
        <v>0.4</v>
      </c>
      <c r="I48" s="6">
        <v>1.5</v>
      </c>
      <c r="J48" s="6">
        <v>1</v>
      </c>
      <c r="K48" s="26">
        <f t="shared" si="8"/>
        <v>1.0481429652402794</v>
      </c>
      <c r="L48" s="6">
        <f t="shared" si="9"/>
        <v>2773.2463573883419</v>
      </c>
      <c r="M48" s="6">
        <f t="shared" si="10"/>
        <v>38561.35727569196</v>
      </c>
      <c r="N48" s="6">
        <f t="shared" si="11"/>
        <v>3673.6510188780635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8">
        <v>31</v>
      </c>
      <c r="T48" s="6">
        <f>VLOOKUP($S$13,角色设定!$AB$9:$AJ$21,MATCH(E$17,角色设定!$AB$9:$AJ$9,0),0)*Z48*$L$15*E48/Y48/(1+W48*(X48-1))</f>
        <v>2025.9104883518728</v>
      </c>
      <c r="U48" s="6">
        <f>VLOOKUP($S$13,角色设定!$AB$9:$AJ$21,MATCH(F$17,角色设定!$AB$9:$AJ$9,0),0)*F48*$L$15/(1+V48/$N$16)</f>
        <v>61986.108355255485</v>
      </c>
      <c r="V48" s="6">
        <f>VLOOKUP($S$13,角色设定!$AB$9:$AJ$21,MATCH(V$17,角色设定!$AB$9:$AJ$9,0),0)*G48*$L$15</f>
        <v>16207.283906814982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T48*战斗公式!$E$39*(1+W48*(X48-1))*Y48</f>
        <v>54699.583185500567</v>
      </c>
      <c r="AD48" s="6">
        <f>U48*战斗公式!$E$41*(1+V48*战斗公式!$E$40)</f>
        <v>72032.372919177709</v>
      </c>
      <c r="AE48" s="22">
        <f t="shared" si="12"/>
        <v>126731.95610467828</v>
      </c>
      <c r="AF48" s="22">
        <f t="shared" si="16"/>
        <v>6034.8550526036852</v>
      </c>
      <c r="AG48" s="22"/>
      <c r="AH48" s="9">
        <f t="shared" si="13"/>
        <v>567.25493673852441</v>
      </c>
      <c r="AI48" s="9">
        <f t="shared" si="14"/>
        <v>17356.110339471536</v>
      </c>
      <c r="AJ48" s="9">
        <f t="shared" si="15"/>
        <v>4538.0394939081953</v>
      </c>
      <c r="AK48" s="9">
        <f t="shared" si="17"/>
        <v>27.012139844691433</v>
      </c>
      <c r="AL48" s="9">
        <f t="shared" si="18"/>
        <v>715.96812419354319</v>
      </c>
      <c r="AM48" s="9">
        <f t="shared" si="19"/>
        <v>216.09711875753146</v>
      </c>
    </row>
    <row r="49" spans="4:39" ht="14.25" customHeight="1" x14ac:dyDescent="0.2">
      <c r="D49" s="1">
        <v>32</v>
      </c>
      <c r="E49" s="6">
        <f t="shared" si="7"/>
        <v>33.278956288660112</v>
      </c>
      <c r="F49" s="6">
        <f t="shared" si="7"/>
        <v>279.84576879100547</v>
      </c>
      <c r="G49" s="6">
        <f t="shared" si="7"/>
        <v>25.715557132146454</v>
      </c>
      <c r="H49" s="6">
        <v>0.4</v>
      </c>
      <c r="I49" s="6">
        <v>1.5</v>
      </c>
      <c r="J49" s="6">
        <v>1</v>
      </c>
      <c r="K49" s="26">
        <f t="shared" si="8"/>
        <v>1.0480537277974249</v>
      </c>
      <c r="L49" s="6">
        <f t="shared" si="9"/>
        <v>2911.9086752577596</v>
      </c>
      <c r="M49" s="6">
        <f t="shared" si="10"/>
        <v>40417.81535863359</v>
      </c>
      <c r="N49" s="6">
        <f t="shared" si="11"/>
        <v>3857.333569821968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8">
        <v>32</v>
      </c>
      <c r="T49" s="6">
        <f>VLOOKUP($S$13,角色设定!$AB$9:$AJ$21,MATCH(E$17,角色设定!$AB$9:$AJ$9,0),0)*Z49*$L$15*E49/Y49/(1+W49*(X49-1))</f>
        <v>2127.2060127694676</v>
      </c>
      <c r="U49" s="6">
        <f>VLOOKUP($S$13,角色设定!$AB$9:$AJ$21,MATCH(F$17,角色设定!$AB$9:$AJ$9,0),0)*F49*$L$15/(1+V49/$N$16)</f>
        <v>64634.687837093239</v>
      </c>
      <c r="V49" s="6">
        <f>VLOOKUP($S$13,角色设定!$AB$9:$AJ$21,MATCH(V$17,角色设定!$AB$9:$AJ$9,0),0)*G49*$L$15</f>
        <v>17017.648102155737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T49*战斗公式!$E$39*(1+W49*(X49-1))*Y49</f>
        <v>57434.56234477563</v>
      </c>
      <c r="AD49" s="6">
        <f>U49*战斗公式!$E$41*(1+V49*战斗公式!$E$40)</f>
        <v>75633.991565136617</v>
      </c>
      <c r="AE49" s="22">
        <f t="shared" si="12"/>
        <v>133068.55390991224</v>
      </c>
      <c r="AF49" s="22">
        <f t="shared" si="16"/>
        <v>6336.5978052339633</v>
      </c>
      <c r="AG49" s="22"/>
      <c r="AH49" s="9">
        <f t="shared" si="13"/>
        <v>595.617683575451</v>
      </c>
      <c r="AI49" s="9">
        <f t="shared" si="14"/>
        <v>18097.71259438611</v>
      </c>
      <c r="AJ49" s="9">
        <f t="shared" si="15"/>
        <v>4764.9414686036071</v>
      </c>
      <c r="AK49" s="9">
        <f t="shared" si="17"/>
        <v>28.36274683692659</v>
      </c>
      <c r="AL49" s="9">
        <f t="shared" si="18"/>
        <v>741.60225491457459</v>
      </c>
      <c r="AM49" s="9">
        <f t="shared" si="19"/>
        <v>226.90197469541181</v>
      </c>
    </row>
    <row r="50" spans="4:39" ht="14.25" customHeight="1" x14ac:dyDescent="0.2">
      <c r="D50" s="1">
        <v>33</v>
      </c>
      <c r="E50" s="6">
        <f t="shared" si="7"/>
        <v>34.942904103093113</v>
      </c>
      <c r="F50" s="6">
        <f t="shared" si="7"/>
        <v>293.83805723055576</v>
      </c>
      <c r="G50" s="6">
        <f t="shared" si="7"/>
        <v>27.001334988753772</v>
      </c>
      <c r="H50" s="6">
        <v>0.4</v>
      </c>
      <c r="I50" s="6">
        <v>1.5</v>
      </c>
      <c r="J50" s="6">
        <v>1</v>
      </c>
      <c r="K50" s="26">
        <f t="shared" si="8"/>
        <v>1.0479603838355411</v>
      </c>
      <c r="L50" s="6">
        <f t="shared" ref="L50:L81" si="20">E50*$L$16/J50/(1+H50*(I50-1))*$L$15</f>
        <v>3057.5041090206473</v>
      </c>
      <c r="M50" s="6">
        <f t="shared" ref="M50:M81" si="21">F50/(1+N50/$N$16)*$L$15</f>
        <v>42360.042056043952</v>
      </c>
      <c r="N50" s="6">
        <f t="shared" ref="N50:N81" si="22">G50*$L$15</f>
        <v>4050.2002483130659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2233.5663134079405</v>
      </c>
      <c r="U50" s="6">
        <f>VLOOKUP($S$13,角色设定!$AB$9:$AJ$21,MATCH(F$17,角色设定!$AB$9:$AJ$9,0),0)*F50*$L$15/(1+V50/$N$16)</f>
        <v>67376.500582146095</v>
      </c>
      <c r="V50" s="6">
        <f>VLOOKUP($S$13,角色设定!$AB$9:$AJ$21,MATCH(V$17,角色设定!$AB$9:$AJ$9,0),0)*G50*$L$15</f>
        <v>17868.530507263524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T50*战斗公式!$E$39*(1+W50*(X50-1))*Y50</f>
        <v>60306.290462014389</v>
      </c>
      <c r="AD50" s="6">
        <f>U50*战斗公式!$E$41*(1+V50*战斗公式!$E$40)</f>
        <v>79415.691143393458</v>
      </c>
      <c r="AE50" s="22">
        <f t="shared" si="12"/>
        <v>139721.98160540784</v>
      </c>
      <c r="AF50" s="22">
        <f t="shared" si="16"/>
        <v>6653.4276954956003</v>
      </c>
      <c r="AG50" s="22"/>
      <c r="AH50" s="9">
        <f t="shared" si="13"/>
        <v>625.39856775422334</v>
      </c>
      <c r="AI50" s="9">
        <f t="shared" si="14"/>
        <v>18865.420163000908</v>
      </c>
      <c r="AJ50" s="9">
        <f t="shared" si="15"/>
        <v>5003.1885420337867</v>
      </c>
      <c r="AK50" s="9">
        <f t="shared" si="17"/>
        <v>29.78088417877234</v>
      </c>
      <c r="AL50" s="9">
        <f t="shared" si="18"/>
        <v>767.70756861479822</v>
      </c>
      <c r="AM50" s="9">
        <f t="shared" si="19"/>
        <v>238.24707343017963</v>
      </c>
    </row>
    <row r="51" spans="4:39" ht="14.25" customHeight="1" x14ac:dyDescent="0.2">
      <c r="D51" s="1">
        <v>34</v>
      </c>
      <c r="E51" s="6">
        <f t="shared" ref="E51:G82" si="26">E$15*E$16^($D51-1)</f>
        <v>36.690049308247772</v>
      </c>
      <c r="F51" s="6">
        <f t="shared" si="26"/>
        <v>308.52996009208357</v>
      </c>
      <c r="G51" s="6">
        <f t="shared" si="26"/>
        <v>28.351401738191463</v>
      </c>
      <c r="H51" s="6">
        <v>0.4</v>
      </c>
      <c r="I51" s="6">
        <v>1.5</v>
      </c>
      <c r="J51" s="6">
        <v>1</v>
      </c>
      <c r="K51" s="26">
        <f t="shared" si="8"/>
        <v>1.0478627621721388</v>
      </c>
      <c r="L51" s="6">
        <f t="shared" si="20"/>
        <v>3210.3793144716801</v>
      </c>
      <c r="M51" s="6">
        <f t="shared" si="21"/>
        <v>44391.645932341489</v>
      </c>
      <c r="N51" s="6">
        <f t="shared" si="22"/>
        <v>4252.7102607287197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8">
        <v>34</v>
      </c>
      <c r="T51" s="6">
        <f>VLOOKUP($S$13,角色设定!$AB$9:$AJ$21,MATCH(E$17,角色设定!$AB$9:$AJ$9,0),0)*Z51*$L$15*E51/Y51/(1+W51*(X51-1))</f>
        <v>2345.2446290783378</v>
      </c>
      <c r="U51" s="6">
        <f>VLOOKUP($S$13,角色设定!$AB$9:$AJ$21,MATCH(F$17,角色设定!$AB$9:$AJ$9,0),0)*F51*$L$15/(1+V51/$N$16)</f>
        <v>70213.120248308885</v>
      </c>
      <c r="V51" s="6">
        <f>VLOOKUP($S$13,角色设定!$AB$9:$AJ$21,MATCH(V$17,角色设定!$AB$9:$AJ$9,0),0)*G51*$L$15</f>
        <v>18761.957032626702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T51*战斗公式!$E$39*(1+W51*(X51-1))*Y51</f>
        <v>63321.604985115118</v>
      </c>
      <c r="AD51" s="6">
        <f>U51*战斗公式!$E$41*(1+V51*战斗公式!$E$40)</f>
        <v>83386.475700563125</v>
      </c>
      <c r="AE51" s="22">
        <f t="shared" si="12"/>
        <v>146708.08068567823</v>
      </c>
      <c r="AF51" s="22">
        <f t="shared" si="16"/>
        <v>6986.0990802703891</v>
      </c>
      <c r="AG51" s="22"/>
      <c r="AH51" s="9">
        <f t="shared" si="13"/>
        <v>656.66849614193461</v>
      </c>
      <c r="AI51" s="9">
        <f t="shared" si="14"/>
        <v>19659.673669526488</v>
      </c>
      <c r="AJ51" s="9">
        <f t="shared" si="15"/>
        <v>5253.3479691354769</v>
      </c>
      <c r="AK51" s="9">
        <f t="shared" si="17"/>
        <v>31.269928387711275</v>
      </c>
      <c r="AL51" s="9">
        <f t="shared" si="18"/>
        <v>794.25350652557972</v>
      </c>
      <c r="AM51" s="9">
        <f t="shared" si="19"/>
        <v>250.1594271016902</v>
      </c>
    </row>
    <row r="52" spans="4:39" ht="14.25" customHeight="1" x14ac:dyDescent="0.2">
      <c r="D52" s="1">
        <v>35</v>
      </c>
      <c r="E52" s="6">
        <f t="shared" si="26"/>
        <v>38.524551773660157</v>
      </c>
      <c r="F52" s="6">
        <f t="shared" si="26"/>
        <v>323.9564580966877</v>
      </c>
      <c r="G52" s="6">
        <f t="shared" si="26"/>
        <v>29.768971825101037</v>
      </c>
      <c r="H52" s="6">
        <v>0.4</v>
      </c>
      <c r="I52" s="6">
        <v>1.5</v>
      </c>
      <c r="J52" s="6">
        <v>1</v>
      </c>
      <c r="K52" s="26">
        <f t="shared" si="8"/>
        <v>1.0477606862268509</v>
      </c>
      <c r="L52" s="6">
        <f t="shared" si="20"/>
        <v>3370.8982801952634</v>
      </c>
      <c r="M52" s="6">
        <f t="shared" si="21"/>
        <v>46516.352724030941</v>
      </c>
      <c r="N52" s="6">
        <f t="shared" si="22"/>
        <v>4465.3457737651552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8">
        <v>35</v>
      </c>
      <c r="T52" s="6">
        <f>VLOOKUP($S$13,角色设定!$AB$9:$AJ$21,MATCH(E$17,角色设定!$AB$9:$AJ$9,0),0)*Z52*$L$15*E52/Y52/(1+W52*(X52-1))</f>
        <v>2462.5068605322544</v>
      </c>
      <c r="U52" s="6">
        <f>VLOOKUP($S$13,角色设定!$AB$9:$AJ$21,MATCH(F$17,角色设定!$AB$9:$AJ$9,0),0)*F52*$L$15/(1+V52/$N$16)</f>
        <v>73145.997777738608</v>
      </c>
      <c r="V52" s="6">
        <f>VLOOKUP($S$13,角色设定!$AB$9:$AJ$21,MATCH(V$17,角色设定!$AB$9:$AJ$9,0),0)*G52*$L$15</f>
        <v>19700.054884258036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T52*战斗公式!$E$39*(1+W52*(X52-1))*Y52</f>
        <v>66487.685234370874</v>
      </c>
      <c r="AD52" s="6">
        <f>U52*战斗公式!$E$41*(1+V52*战斗公式!$E$40)</f>
        <v>87555.799485591269</v>
      </c>
      <c r="AE52" s="22">
        <f t="shared" si="12"/>
        <v>154043.48471996214</v>
      </c>
      <c r="AF52" s="22">
        <f t="shared" si="16"/>
        <v>7335.4040342839144</v>
      </c>
      <c r="AG52" s="22"/>
      <c r="AH52" s="9">
        <f t="shared" si="13"/>
        <v>689.50192094903127</v>
      </c>
      <c r="AI52" s="9">
        <f t="shared" si="14"/>
        <v>20480.879377766811</v>
      </c>
      <c r="AJ52" s="9">
        <f t="shared" si="15"/>
        <v>5516.0153675922502</v>
      </c>
      <c r="AK52" s="9">
        <f t="shared" si="17"/>
        <v>32.833424807096662</v>
      </c>
      <c r="AL52" s="9">
        <f t="shared" si="18"/>
        <v>821.20570824032256</v>
      </c>
      <c r="AM52" s="9">
        <f t="shared" si="19"/>
        <v>262.6673984567733</v>
      </c>
    </row>
    <row r="53" spans="4:39" ht="14.25" customHeight="1" x14ac:dyDescent="0.2">
      <c r="D53" s="1">
        <v>36</v>
      </c>
      <c r="E53" s="6">
        <f t="shared" si="26"/>
        <v>40.450779362343177</v>
      </c>
      <c r="F53" s="6">
        <f t="shared" si="26"/>
        <v>340.15428100152212</v>
      </c>
      <c r="G53" s="6">
        <f t="shared" si="26"/>
        <v>31.257420416356091</v>
      </c>
      <c r="H53" s="6">
        <v>0.4</v>
      </c>
      <c r="I53" s="6">
        <v>1.5</v>
      </c>
      <c r="J53" s="6">
        <v>1</v>
      </c>
      <c r="K53" s="26">
        <f t="shared" si="8"/>
        <v>1.0476539740264674</v>
      </c>
      <c r="L53" s="6">
        <f t="shared" si="20"/>
        <v>3539.4431942050278</v>
      </c>
      <c r="M53" s="6">
        <f t="shared" si="21"/>
        <v>48738.005650900901</v>
      </c>
      <c r="N53" s="6">
        <f t="shared" si="22"/>
        <v>4688.6130624534135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8">
        <v>36</v>
      </c>
      <c r="T53" s="6">
        <f>VLOOKUP($S$13,角色设定!$AB$9:$AJ$21,MATCH(E$17,角色设定!$AB$9:$AJ$9,0),0)*Z53*$L$15*E53/Y53/(1+W53*(X53-1))</f>
        <v>2585.6322035588678</v>
      </c>
      <c r="U53" s="6">
        <f>VLOOKUP($S$13,角色设定!$AB$9:$AJ$21,MATCH(F$17,角色设定!$AB$9:$AJ$9,0),0)*F53*$L$15/(1+V53/$N$16)</f>
        <v>76176.447413140806</v>
      </c>
      <c r="V53" s="6">
        <f>VLOOKUP($S$13,角色设定!$AB$9:$AJ$21,MATCH(V$17,角色设定!$AB$9:$AJ$9,0),0)*G53*$L$15</f>
        <v>20685.057628470939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T53*战斗公式!$E$39*(1+W53*(X53-1))*Y53</f>
        <v>69812.069496089433</v>
      </c>
      <c r="AD53" s="6">
        <f>U53*战斗公式!$E$41*(1+V53*战斗公式!$E$40)</f>
        <v>91933.589459870855</v>
      </c>
      <c r="AE53" s="22">
        <f t="shared" si="12"/>
        <v>161745.6589559603</v>
      </c>
      <c r="AF53" s="22">
        <f t="shared" si="16"/>
        <v>7702.1742359981581</v>
      </c>
      <c r="AG53" s="22"/>
      <c r="AH53" s="9">
        <f t="shared" si="13"/>
        <v>723.97701699648303</v>
      </c>
      <c r="AI53" s="9">
        <f t="shared" si="14"/>
        <v>21329.405275679426</v>
      </c>
      <c r="AJ53" s="9">
        <f t="shared" si="15"/>
        <v>5791.8161359718633</v>
      </c>
      <c r="AK53" s="9">
        <f t="shared" si="17"/>
        <v>34.475096047451757</v>
      </c>
      <c r="AL53" s="9">
        <f t="shared" si="18"/>
        <v>848.52589791261562</v>
      </c>
      <c r="AM53" s="9">
        <f t="shared" si="19"/>
        <v>275.80076837961315</v>
      </c>
    </row>
    <row r="54" spans="4:39" ht="14.25" customHeight="1" x14ac:dyDescent="0.2">
      <c r="D54" s="1">
        <v>37</v>
      </c>
      <c r="E54" s="6">
        <f t="shared" si="26"/>
        <v>42.47331833046033</v>
      </c>
      <c r="F54" s="6">
        <f t="shared" si="26"/>
        <v>357.16199505159818</v>
      </c>
      <c r="G54" s="6">
        <f t="shared" si="26"/>
        <v>32.820291437173893</v>
      </c>
      <c r="H54" s="6">
        <v>0.4</v>
      </c>
      <c r="I54" s="6">
        <v>1.5</v>
      </c>
      <c r="J54" s="6">
        <v>1</v>
      </c>
      <c r="K54" s="26">
        <f t="shared" si="8"/>
        <v>1.0475424382315315</v>
      </c>
      <c r="L54" s="6">
        <f t="shared" si="20"/>
        <v>3716.4153539152785</v>
      </c>
      <c r="M54" s="6">
        <f t="shared" si="21"/>
        <v>51060.565306290759</v>
      </c>
      <c r="N54" s="6">
        <f t="shared" si="22"/>
        <v>4923.0437155760837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8">
        <v>37</v>
      </c>
      <c r="T54" s="6">
        <f>VLOOKUP($S$13,角色设定!$AB$9:$AJ$21,MATCH(E$17,角色设定!$AB$9:$AJ$9,0),0)*Z54*$L$15*E54/Y54/(1+W54*(X54-1))</f>
        <v>2714.9138137368109</v>
      </c>
      <c r="U54" s="6">
        <f>VLOOKUP($S$13,角色设定!$AB$9:$AJ$21,MATCH(F$17,角色设定!$AB$9:$AJ$9,0),0)*F54*$L$15/(1+V54/$N$16)</f>
        <v>79305.632383628632</v>
      </c>
      <c r="V54" s="6">
        <f>VLOOKUP($S$13,角色设定!$AB$9:$AJ$21,MATCH(V$17,角色设定!$AB$9:$AJ$9,0),0)*G54*$L$15</f>
        <v>21719.310509894483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T54*战斗公式!$E$39*(1+W54*(X54-1))*Y54</f>
        <v>73302.672970893895</v>
      </c>
      <c r="AD54" s="6">
        <f>U54*战斗公式!$E$41*(1+V54*战斗公式!$E$40)</f>
        <v>96530.268932864376</v>
      </c>
      <c r="AE54" s="22">
        <f t="shared" si="12"/>
        <v>169832.94190375827</v>
      </c>
      <c r="AF54" s="22">
        <f t="shared" si="16"/>
        <v>8087.2829477979685</v>
      </c>
      <c r="AG54" s="22"/>
      <c r="AH54" s="9">
        <f t="shared" si="13"/>
        <v>760.17586784630714</v>
      </c>
      <c r="AI54" s="9">
        <f t="shared" si="14"/>
        <v>22205.577067416019</v>
      </c>
      <c r="AJ54" s="9">
        <f t="shared" si="15"/>
        <v>6081.4069427704562</v>
      </c>
      <c r="AK54" s="9">
        <f t="shared" si="17"/>
        <v>36.198850849824112</v>
      </c>
      <c r="AL54" s="9">
        <f t="shared" si="18"/>
        <v>876.17179173659315</v>
      </c>
      <c r="AM54" s="9">
        <f t="shared" si="19"/>
        <v>289.59080679859289</v>
      </c>
    </row>
    <row r="55" spans="4:39" ht="14.25" customHeight="1" x14ac:dyDescent="0.2">
      <c r="D55" s="1">
        <v>38</v>
      </c>
      <c r="E55" s="6">
        <f t="shared" si="26"/>
        <v>44.596984246983347</v>
      </c>
      <c r="F55" s="6">
        <f t="shared" si="26"/>
        <v>375.02009480417814</v>
      </c>
      <c r="G55" s="6">
        <f t="shared" si="26"/>
        <v>34.46130600903259</v>
      </c>
      <c r="H55" s="6">
        <v>0.4</v>
      </c>
      <c r="I55" s="6">
        <v>1.5</v>
      </c>
      <c r="J55" s="6">
        <v>1</v>
      </c>
      <c r="K55" s="26">
        <f t="shared" si="8"/>
        <v>1.0474258861868029</v>
      </c>
      <c r="L55" s="6">
        <f t="shared" si="20"/>
        <v>3902.2361216110426</v>
      </c>
      <c r="M55" s="6">
        <f t="shared" si="21"/>
        <v>53488.109078432171</v>
      </c>
      <c r="N55" s="6">
        <f t="shared" si="22"/>
        <v>5169.1959013548885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8">
        <v>38</v>
      </c>
      <c r="T55" s="6">
        <f>VLOOKUP($S$13,角色设定!$AB$9:$AJ$21,MATCH(E$17,角色设定!$AB$9:$AJ$9,0),0)*Z55*$L$15*E55/Y55/(1+W55*(X55-1))</f>
        <v>2850.6595044236515</v>
      </c>
      <c r="U55" s="6">
        <f>VLOOKUP($S$13,角色设定!$AB$9:$AJ$21,MATCH(F$17,角色设定!$AB$9:$AJ$9,0),0)*F55*$L$15/(1+V55/$N$16)</f>
        <v>82534.550348064266</v>
      </c>
      <c r="V55" s="6">
        <f>VLOOKUP($S$13,角色设定!$AB$9:$AJ$21,MATCH(V$17,角色设定!$AB$9:$AJ$9,0),0)*G55*$L$15</f>
        <v>22805.276035389212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T55*战斗公式!$E$39*(1+W55*(X55-1))*Y55</f>
        <v>76967.80661943859</v>
      </c>
      <c r="AD55" s="6">
        <f>U55*战斗公式!$E$41*(1+V55*战斗公式!$E$40)</f>
        <v>101356.78237950761</v>
      </c>
      <c r="AE55" s="22">
        <f t="shared" si="12"/>
        <v>178324.58899894619</v>
      </c>
      <c r="AF55" s="22">
        <f t="shared" si="16"/>
        <v>8491.6470951879164</v>
      </c>
      <c r="AG55" s="22"/>
      <c r="AH55" s="9">
        <f t="shared" si="13"/>
        <v>798.18466123862254</v>
      </c>
      <c r="AI55" s="9">
        <f t="shared" si="14"/>
        <v>23109.674097457995</v>
      </c>
      <c r="AJ55" s="9">
        <f t="shared" si="15"/>
        <v>6385.4772899089803</v>
      </c>
      <c r="AK55" s="9">
        <f t="shared" si="17"/>
        <v>38.008793392315397</v>
      </c>
      <c r="AL55" s="9">
        <f t="shared" si="18"/>
        <v>904.09703004197581</v>
      </c>
      <c r="AM55" s="9">
        <f t="shared" si="19"/>
        <v>304.07034713852408</v>
      </c>
    </row>
    <row r="56" spans="4:39" ht="14.25" customHeight="1" x14ac:dyDescent="0.2">
      <c r="D56" s="1">
        <v>39</v>
      </c>
      <c r="E56" s="6">
        <f t="shared" si="26"/>
        <v>46.826833459332505</v>
      </c>
      <c r="F56" s="6">
        <f t="shared" si="26"/>
        <v>393.77109954438697</v>
      </c>
      <c r="G56" s="6">
        <f t="shared" si="26"/>
        <v>36.184371309484213</v>
      </c>
      <c r="H56" s="6">
        <v>0.4</v>
      </c>
      <c r="I56" s="6">
        <v>1.5</v>
      </c>
      <c r="J56" s="6">
        <v>1</v>
      </c>
      <c r="K56" s="26">
        <f t="shared" si="8"/>
        <v>1.0473041199980953</v>
      </c>
      <c r="L56" s="6">
        <f t="shared" si="20"/>
        <v>4097.3479276915941</v>
      </c>
      <c r="M56" s="6">
        <f t="shared" si="21"/>
        <v>56024.830051933197</v>
      </c>
      <c r="N56" s="6">
        <f t="shared" si="22"/>
        <v>5427.655696422632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8">
        <v>39</v>
      </c>
      <c r="T56" s="6">
        <f>VLOOKUP($S$13,角色设定!$AB$9:$AJ$21,MATCH(E$17,角色设定!$AB$9:$AJ$9,0),0)*Z56*$L$15*E56/Y56/(1+W56*(X56-1))</f>
        <v>2993.1924796448329</v>
      </c>
      <c r="U56" s="6">
        <f>VLOOKUP($S$13,角色设定!$AB$9:$AJ$21,MATCH(F$17,角色设定!$AB$9:$AJ$9,0),0)*F56*$L$15/(1+V56/$N$16)</f>
        <v>85864.018695876497</v>
      </c>
      <c r="V56" s="6">
        <f>VLOOKUP($S$13,角色设定!$AB$9:$AJ$21,MATCH(V$17,角色设定!$AB$9:$AJ$9,0),0)*G56*$L$15</f>
        <v>23945.539837158667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T56*战斗公式!$E$39*(1+W56*(X56-1))*Y56</f>
        <v>80816.196950410478</v>
      </c>
      <c r="AD56" s="6">
        <f>U56*战斗公式!$E$41*(1+V56*战斗公式!$E$40)</f>
        <v>106424.62149848299</v>
      </c>
      <c r="AE56" s="22">
        <f t="shared" si="12"/>
        <v>187240.81844889346</v>
      </c>
      <c r="AF56" s="22">
        <f t="shared" si="16"/>
        <v>8916.2294499472773</v>
      </c>
      <c r="AG56" s="22"/>
      <c r="AH56" s="9">
        <f t="shared" si="13"/>
        <v>838.0938943005533</v>
      </c>
      <c r="AI56" s="9">
        <f t="shared" si="14"/>
        <v>24041.925234845421</v>
      </c>
      <c r="AJ56" s="9">
        <f t="shared" si="15"/>
        <v>6704.7511544044273</v>
      </c>
      <c r="AK56" s="9">
        <f t="shared" si="17"/>
        <v>39.909233061930763</v>
      </c>
      <c r="AL56" s="9">
        <f t="shared" si="18"/>
        <v>932.25113738742584</v>
      </c>
      <c r="AM56" s="9">
        <f t="shared" si="19"/>
        <v>319.27386449544701</v>
      </c>
    </row>
    <row r="57" spans="4:39" ht="14.25" customHeight="1" x14ac:dyDescent="0.2">
      <c r="D57" s="1">
        <v>40</v>
      </c>
      <c r="E57" s="6">
        <f t="shared" si="26"/>
        <v>49.16817513229914</v>
      </c>
      <c r="F57" s="6">
        <f t="shared" si="26"/>
        <v>413.45965452160641</v>
      </c>
      <c r="G57" s="6">
        <f t="shared" si="26"/>
        <v>37.993589874958431</v>
      </c>
      <c r="H57" s="6">
        <v>0.4</v>
      </c>
      <c r="I57" s="6">
        <v>1.5</v>
      </c>
      <c r="J57" s="6">
        <v>1</v>
      </c>
      <c r="K57" s="26">
        <f t="shared" si="8"/>
        <v>1.0471769366380608</v>
      </c>
      <c r="L57" s="6">
        <f t="shared" si="20"/>
        <v>4302.2153240761745</v>
      </c>
      <c r="M57" s="6">
        <f t="shared" si="21"/>
        <v>58675.035335582732</v>
      </c>
      <c r="N57" s="6">
        <f t="shared" si="22"/>
        <v>5699.0384812437651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8">
        <v>40</v>
      </c>
      <c r="T57" s="6">
        <f>VLOOKUP($S$13,角色设定!$AB$9:$AJ$21,MATCH(E$17,角色设定!$AB$9:$AJ$9,0),0)*Z57*$L$15*E57/Y57/(1+W57*(X57-1))</f>
        <v>3142.8521036270758</v>
      </c>
      <c r="U57" s="6">
        <f>VLOOKUP($S$13,角色设定!$AB$9:$AJ$21,MATCH(F$17,角色设定!$AB$9:$AJ$9,0),0)*F57*$L$15/(1+V57/$N$16)</f>
        <v>89294.659817419801</v>
      </c>
      <c r="V57" s="6">
        <f>VLOOKUP($S$13,角色设定!$AB$9:$AJ$21,MATCH(V$17,角色设定!$AB$9:$AJ$9,0),0)*G57*$L$15</f>
        <v>25142.816829016603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T57*战斗公式!$E$39*(1+W57*(X57-1))*Y57</f>
        <v>84857.006797931055</v>
      </c>
      <c r="AD57" s="6">
        <f>U57*战斗公式!$E$41*(1+V57*战斗公式!$E$40)</f>
        <v>111745.85257340714</v>
      </c>
      <c r="AE57" s="22">
        <f t="shared" si="12"/>
        <v>196602.85937133821</v>
      </c>
      <c r="AF57" s="22">
        <f t="shared" si="16"/>
        <v>9362.0409224447503</v>
      </c>
      <c r="AG57" s="22"/>
      <c r="AH57" s="9">
        <f t="shared" si="13"/>
        <v>879.99858901558127</v>
      </c>
      <c r="AI57" s="9">
        <f t="shared" si="14"/>
        <v>25002.504748877545</v>
      </c>
      <c r="AJ57" s="9">
        <f t="shared" si="15"/>
        <v>7039.9887121246493</v>
      </c>
      <c r="AK57" s="9">
        <f t="shared" si="17"/>
        <v>41.904694715027972</v>
      </c>
      <c r="AL57" s="9">
        <f t="shared" si="18"/>
        <v>960.57951403212428</v>
      </c>
      <c r="AM57" s="9">
        <f t="shared" si="19"/>
        <v>335.23755772022196</v>
      </c>
    </row>
    <row r="58" spans="4:39" ht="14.25" customHeight="1" x14ac:dyDescent="0.2">
      <c r="D58" s="1">
        <v>41</v>
      </c>
      <c r="E58" s="6">
        <f t="shared" si="26"/>
        <v>51.626583888914091</v>
      </c>
      <c r="F58" s="6">
        <f t="shared" si="26"/>
        <v>434.13263724768666</v>
      </c>
      <c r="G58" s="6">
        <f t="shared" si="26"/>
        <v>39.893269368706349</v>
      </c>
      <c r="H58" s="6">
        <v>0.4</v>
      </c>
      <c r="I58" s="6">
        <v>1.5</v>
      </c>
      <c r="J58" s="6">
        <v>1</v>
      </c>
      <c r="K58" s="26">
        <f t="shared" si="8"/>
        <v>1.047044128083674</v>
      </c>
      <c r="L58" s="6">
        <f t="shared" si="20"/>
        <v>4517.326090279983</v>
      </c>
      <c r="M58" s="6">
        <f t="shared" si="21"/>
        <v>61443.143759845501</v>
      </c>
      <c r="N58" s="6">
        <f t="shared" si="22"/>
        <v>5983.9904053059527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8">
        <v>41</v>
      </c>
      <c r="T58" s="6">
        <f>VLOOKUP($S$13,角色设定!$AB$9:$AJ$21,MATCH(E$17,角色设定!$AB$9:$AJ$9,0),0)*Z58*$L$15*E58/Y58/(1+W58*(X58-1))</f>
        <v>3299.9947088084291</v>
      </c>
      <c r="U58" s="6">
        <f>VLOOKUP($S$13,角色设定!$AB$9:$AJ$21,MATCH(F$17,角色设定!$AB$9:$AJ$9,0),0)*F58*$L$15/(1+V58/$N$16)</f>
        <v>92826.886467772638</v>
      </c>
      <c r="V58" s="6">
        <f>VLOOKUP($S$13,角色设定!$AB$9:$AJ$21,MATCH(V$17,角色设定!$AB$9:$AJ$9,0),0)*G58*$L$15</f>
        <v>26399.957670467433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T58*战斗公式!$E$39*(1+W58*(X58-1))*Y58</f>
        <v>89099.857137827566</v>
      </c>
      <c r="AD58" s="6">
        <f>U58*战斗公式!$E$41*(1+V58*战斗公式!$E$40)</f>
        <v>117333.14520207747</v>
      </c>
      <c r="AE58" s="22">
        <f t="shared" si="12"/>
        <v>206433.00233990504</v>
      </c>
      <c r="AF58" s="22">
        <f t="shared" si="16"/>
        <v>9830.1429685668263</v>
      </c>
      <c r="AG58" s="22"/>
      <c r="AH58" s="9">
        <f t="shared" si="13"/>
        <v>923.99851846636022</v>
      </c>
      <c r="AI58" s="9">
        <f t="shared" si="14"/>
        <v>25991.528210976339</v>
      </c>
      <c r="AJ58" s="9">
        <f t="shared" si="15"/>
        <v>7391.9881477308818</v>
      </c>
      <c r="AK58" s="9">
        <f t="shared" si="17"/>
        <v>43.99992945077895</v>
      </c>
      <c r="AL58" s="9">
        <f t="shared" si="18"/>
        <v>989.02346209879397</v>
      </c>
      <c r="AM58" s="9">
        <f t="shared" si="19"/>
        <v>351.99943560623251</v>
      </c>
    </row>
    <row r="59" spans="4:39" ht="14.25" customHeight="1" x14ac:dyDescent="0.2">
      <c r="D59" s="1">
        <v>42</v>
      </c>
      <c r="E59" s="6">
        <f t="shared" si="26"/>
        <v>54.207913083359799</v>
      </c>
      <c r="F59" s="6">
        <f t="shared" si="26"/>
        <v>455.83926911007103</v>
      </c>
      <c r="G59" s="6">
        <f t="shared" si="26"/>
        <v>41.887932837141669</v>
      </c>
      <c r="H59" s="6">
        <v>0.4</v>
      </c>
      <c r="I59" s="6">
        <v>1.5</v>
      </c>
      <c r="J59" s="6">
        <v>1</v>
      </c>
      <c r="K59" s="26">
        <f t="shared" si="8"/>
        <v>1.0469054814882208</v>
      </c>
      <c r="L59" s="6">
        <f t="shared" si="20"/>
        <v>4743.1923947939822</v>
      </c>
      <c r="M59" s="6">
        <f t="shared" si="21"/>
        <v>64333.682884747264</v>
      </c>
      <c r="N59" s="6">
        <f t="shared" si="22"/>
        <v>6283.1899255712506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8">
        <v>42</v>
      </c>
      <c r="T59" s="6">
        <f>VLOOKUP($S$13,角色设定!$AB$9:$AJ$21,MATCH(E$17,角色设定!$AB$9:$AJ$9,0),0)*Z59*$L$15*E59/Y59/(1+W59*(X59-1))</f>
        <v>3464.9944442488504</v>
      </c>
      <c r="U59" s="6">
        <f>VLOOKUP($S$13,角色设定!$AB$9:$AJ$21,MATCH(F$17,角色设定!$AB$9:$AJ$9,0),0)*F59*$L$15/(1+V59/$N$16)</f>
        <v>96460.887359220345</v>
      </c>
      <c r="V59" s="6">
        <f>VLOOKUP($S$13,角色设定!$AB$9:$AJ$21,MATCH(V$17,角色设定!$AB$9:$AJ$9,0),0)*G59*$L$15</f>
        <v>27719.955553990807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T59*战斗公式!$E$39*(1+W59*(X59-1))*Y59</f>
        <v>93554.849994718956</v>
      </c>
      <c r="AD59" s="6">
        <f>U59*战斗公式!$E$41*(1+V59*战斗公式!$E$40)</f>
        <v>123199.80246218135</v>
      </c>
      <c r="AE59" s="22">
        <f t="shared" si="12"/>
        <v>216754.65245690031</v>
      </c>
      <c r="AF59" s="22">
        <f t="shared" si="16"/>
        <v>10321.650116995268</v>
      </c>
      <c r="AG59" s="22"/>
      <c r="AH59" s="9">
        <f t="shared" si="13"/>
        <v>970.19844438967823</v>
      </c>
      <c r="AI59" s="9">
        <f t="shared" si="14"/>
        <v>27009.0484605817</v>
      </c>
      <c r="AJ59" s="9">
        <f t="shared" si="15"/>
        <v>7761.5875551174267</v>
      </c>
      <c r="AK59" s="9">
        <f t="shared" si="17"/>
        <v>46.199925923318006</v>
      </c>
      <c r="AL59" s="9">
        <f t="shared" si="18"/>
        <v>1017.5202496053607</v>
      </c>
      <c r="AM59" s="9">
        <f t="shared" si="19"/>
        <v>369.59940738654495</v>
      </c>
    </row>
    <row r="60" spans="4:39" ht="14.25" customHeight="1" x14ac:dyDescent="0.2">
      <c r="D60" s="1">
        <v>43</v>
      </c>
      <c r="E60" s="6">
        <f t="shared" si="26"/>
        <v>56.918308737527788</v>
      </c>
      <c r="F60" s="6">
        <f t="shared" si="26"/>
        <v>478.63123256557458</v>
      </c>
      <c r="G60" s="6">
        <f t="shared" si="26"/>
        <v>43.98232947899875</v>
      </c>
      <c r="H60" s="6">
        <v>0.4</v>
      </c>
      <c r="I60" s="6">
        <v>1.5</v>
      </c>
      <c r="J60" s="6">
        <v>1</v>
      </c>
      <c r="K60" s="26">
        <f t="shared" si="8"/>
        <v>1.0467607793907714</v>
      </c>
      <c r="L60" s="6">
        <f t="shared" si="20"/>
        <v>4980.3520145336815</v>
      </c>
      <c r="M60" s="6">
        <f t="shared" si="21"/>
        <v>67351.285256366842</v>
      </c>
      <c r="N60" s="6">
        <f t="shared" si="22"/>
        <v>6597.3494218498126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8">
        <v>43</v>
      </c>
      <c r="T60" s="6">
        <f>VLOOKUP($S$13,角色设定!$AB$9:$AJ$21,MATCH(E$17,角色设定!$AB$9:$AJ$9,0),0)*Z60*$L$15*E60/Y60/(1+W60*(X60-1))</f>
        <v>3638.2441664612929</v>
      </c>
      <c r="U60" s="6">
        <f>VLOOKUP($S$13,角色设定!$AB$9:$AJ$21,MATCH(F$17,角色设定!$AB$9:$AJ$9,0),0)*F60*$L$15/(1+V60/$N$16)</f>
        <v>100196.61312824819</v>
      </c>
      <c r="V60" s="6">
        <f>VLOOKUP($S$13,角色设定!$AB$9:$AJ$21,MATCH(V$17,角色设定!$AB$9:$AJ$9,0),0)*G60*$L$15</f>
        <v>29105.953331690347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T60*战斗公式!$E$39*(1+W60*(X60-1))*Y60</f>
        <v>98232.592494454904</v>
      </c>
      <c r="AD60" s="6">
        <f>U60*战斗公式!$E$41*(1+V60*战斗公式!$E$40)</f>
        <v>129359.79258529044</v>
      </c>
      <c r="AE60" s="22">
        <f t="shared" si="12"/>
        <v>227592.38507974535</v>
      </c>
      <c r="AF60" s="22">
        <f t="shared" si="16"/>
        <v>10837.73262284504</v>
      </c>
      <c r="AG60" s="22"/>
      <c r="AH60" s="9">
        <f t="shared" si="13"/>
        <v>1018.7083666091621</v>
      </c>
      <c r="AI60" s="9">
        <f t="shared" si="14"/>
        <v>28055.051675909497</v>
      </c>
      <c r="AJ60" s="9">
        <f t="shared" si="15"/>
        <v>8149.6669328732978</v>
      </c>
      <c r="AK60" s="9">
        <f t="shared" si="17"/>
        <v>48.509922219483883</v>
      </c>
      <c r="AL60" s="9">
        <f t="shared" si="18"/>
        <v>1046.0032153277971</v>
      </c>
      <c r="AM60" s="9">
        <f t="shared" si="19"/>
        <v>388.07937775587106</v>
      </c>
    </row>
    <row r="61" spans="4:39" ht="14.25" customHeight="1" x14ac:dyDescent="0.2">
      <c r="D61" s="1">
        <v>44</v>
      </c>
      <c r="E61" s="6">
        <f t="shared" si="26"/>
        <v>59.764224174404184</v>
      </c>
      <c r="F61" s="6">
        <f t="shared" si="26"/>
        <v>502.56279419385339</v>
      </c>
      <c r="G61" s="6">
        <f t="shared" si="26"/>
        <v>46.181445952948692</v>
      </c>
      <c r="H61" s="6">
        <v>0.4</v>
      </c>
      <c r="I61" s="6">
        <v>1.5</v>
      </c>
      <c r="J61" s="6">
        <v>1</v>
      </c>
      <c r="K61" s="26">
        <f t="shared" si="8"/>
        <v>1.0466097999661286</v>
      </c>
      <c r="L61" s="6">
        <f t="shared" si="20"/>
        <v>5229.3696152603661</v>
      </c>
      <c r="M61" s="6">
        <f t="shared" si="21"/>
        <v>70500.683847924724</v>
      </c>
      <c r="N61" s="6">
        <f t="shared" si="22"/>
        <v>6927.2168929423042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8">
        <v>44</v>
      </c>
      <c r="T61" s="6">
        <f>VLOOKUP($S$13,角色设定!$AB$9:$AJ$21,MATCH(E$17,角色设定!$AB$9:$AJ$9,0),0)*Z61*$L$15*E61/Y61/(1+W61*(X61-1))</f>
        <v>3820.1563747843579</v>
      </c>
      <c r="U61" s="6">
        <f>VLOOKUP($S$13,角色设定!$AB$9:$AJ$21,MATCH(F$17,角色设定!$AB$9:$AJ$9,0),0)*F61*$L$15/(1+V61/$N$16)</f>
        <v>104033.76283239634</v>
      </c>
      <c r="V61" s="6">
        <f>VLOOKUP($S$13,角色设定!$AB$9:$AJ$21,MATCH(V$17,角色设定!$AB$9:$AJ$9,0),0)*G61*$L$15</f>
        <v>30561.250998274867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T61*战斗公式!$E$39*(1+W61*(X61-1))*Y61</f>
        <v>103144.22211917768</v>
      </c>
      <c r="AD61" s="6">
        <f>U61*战斗公式!$E$41*(1+V61*战斗公式!$E$40)</f>
        <v>135827.78221455499</v>
      </c>
      <c r="AE61" s="22">
        <f t="shared" si="12"/>
        <v>238972.00433373265</v>
      </c>
      <c r="AF61" s="22">
        <f t="shared" si="16"/>
        <v>11379.619253987301</v>
      </c>
      <c r="AG61" s="22"/>
      <c r="AH61" s="9">
        <f t="shared" si="13"/>
        <v>1069.6437849396202</v>
      </c>
      <c r="AI61" s="9">
        <f t="shared" si="14"/>
        <v>29129.453593070979</v>
      </c>
      <c r="AJ61" s="9">
        <f t="shared" si="15"/>
        <v>8557.1502795169636</v>
      </c>
      <c r="AK61" s="9">
        <f t="shared" si="17"/>
        <v>50.935418330458106</v>
      </c>
      <c r="AL61" s="9">
        <f t="shared" si="18"/>
        <v>1074.4019171614818</v>
      </c>
      <c r="AM61" s="9">
        <f t="shared" si="19"/>
        <v>407.48334664366575</v>
      </c>
    </row>
    <row r="62" spans="4:39" ht="14.25" customHeight="1" x14ac:dyDescent="0.2">
      <c r="D62" s="1">
        <v>45</v>
      </c>
      <c r="E62" s="6">
        <f t="shared" si="26"/>
        <v>62.752435383124386</v>
      </c>
      <c r="F62" s="6">
        <f t="shared" si="26"/>
        <v>527.69093390354601</v>
      </c>
      <c r="G62" s="6">
        <f t="shared" si="26"/>
        <v>48.490518250596125</v>
      </c>
      <c r="H62" s="6">
        <v>0.4</v>
      </c>
      <c r="I62" s="6">
        <v>1.5</v>
      </c>
      <c r="J62" s="6">
        <v>1</v>
      </c>
      <c r="K62" s="26">
        <f t="shared" si="8"/>
        <v>1.0464523173183824</v>
      </c>
      <c r="L62" s="6">
        <f t="shared" si="20"/>
        <v>5490.8380960233835</v>
      </c>
      <c r="M62" s="6">
        <f t="shared" si="21"/>
        <v>73786.706619551769</v>
      </c>
      <c r="N62" s="6">
        <f t="shared" si="22"/>
        <v>7273.5777375894186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8">
        <v>45</v>
      </c>
      <c r="T62" s="6">
        <f>VLOOKUP($S$13,角色设定!$AB$9:$AJ$21,MATCH(E$17,角色设定!$AB$9:$AJ$9,0),0)*Z62*$L$15*E62/Y62/(1+W62*(X62-1))</f>
        <v>4011.1641935235752</v>
      </c>
      <c r="U62" s="6">
        <f>VLOOKUP($S$13,角色设定!$AB$9:$AJ$21,MATCH(F$17,角色设定!$AB$9:$AJ$9,0),0)*F62*$L$15/(1+V62/$N$16)</f>
        <v>107971.7711404811</v>
      </c>
      <c r="V62" s="6">
        <f>VLOOKUP($S$13,角色设定!$AB$9:$AJ$21,MATCH(V$17,角色设定!$AB$9:$AJ$9,0),0)*G62*$L$15</f>
        <v>32089.313548188609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T62*战斗公式!$E$39*(1+W62*(X62-1))*Y62</f>
        <v>108301.43322513653</v>
      </c>
      <c r="AD62" s="6">
        <f>U62*战斗公式!$E$41*(1+V62*战斗公式!$E$40)</f>
        <v>142619.17132528269</v>
      </c>
      <c r="AE62" s="22">
        <f t="shared" si="12"/>
        <v>250920.6045504192</v>
      </c>
      <c r="AF62" s="22">
        <f t="shared" si="16"/>
        <v>11948.600216686551</v>
      </c>
      <c r="AG62" s="22"/>
      <c r="AH62" s="9">
        <f t="shared" si="13"/>
        <v>1123.1259741866011</v>
      </c>
      <c r="AI62" s="9">
        <f t="shared" si="14"/>
        <v>30232.095919334712</v>
      </c>
      <c r="AJ62" s="9">
        <f t="shared" si="15"/>
        <v>8985.0077934928122</v>
      </c>
      <c r="AK62" s="9">
        <f t="shared" si="17"/>
        <v>53.482189246980852</v>
      </c>
      <c r="AL62" s="9">
        <f t="shared" si="18"/>
        <v>1102.6423262637327</v>
      </c>
      <c r="AM62" s="9">
        <f t="shared" si="19"/>
        <v>427.85751397584863</v>
      </c>
    </row>
    <row r="63" spans="4:39" ht="14.25" customHeight="1" x14ac:dyDescent="0.2">
      <c r="D63" s="1">
        <v>46</v>
      </c>
      <c r="E63" s="6">
        <f t="shared" si="26"/>
        <v>65.890057152280619</v>
      </c>
      <c r="F63" s="6">
        <f t="shared" si="26"/>
        <v>554.0754805987234</v>
      </c>
      <c r="G63" s="6">
        <f t="shared" si="26"/>
        <v>50.915044163125941</v>
      </c>
      <c r="H63" s="6">
        <v>0.4</v>
      </c>
      <c r="I63" s="6">
        <v>1.5</v>
      </c>
      <c r="J63" s="6">
        <v>1</v>
      </c>
      <c r="K63" s="26">
        <f t="shared" si="8"/>
        <v>1.0462881018211865</v>
      </c>
      <c r="L63" s="6">
        <f t="shared" si="20"/>
        <v>5765.3800008245544</v>
      </c>
      <c r="M63" s="6">
        <f t="shared" si="21"/>
        <v>77214.27012932158</v>
      </c>
      <c r="N63" s="6">
        <f t="shared" si="22"/>
        <v>7637.2566244688915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8">
        <v>46</v>
      </c>
      <c r="T63" s="6">
        <f>VLOOKUP($S$13,角色设定!$AB$9:$AJ$21,MATCH(E$17,角色设定!$AB$9:$AJ$9,0),0)*Z63*$L$15*E63/Y63/(1+W63*(X63-1))</f>
        <v>4211.7224031997548</v>
      </c>
      <c r="U63" s="6">
        <f>VLOOKUP($S$13,角色设定!$AB$9:$AJ$21,MATCH(F$17,角色设定!$AB$9:$AJ$9,0),0)*F63*$L$15/(1+V63/$N$16)</f>
        <v>112009.79638615419</v>
      </c>
      <c r="V63" s="6">
        <f>VLOOKUP($S$13,角色设定!$AB$9:$AJ$21,MATCH(V$17,角色设定!$AB$9:$AJ$9,0),0)*G63*$L$15</f>
        <v>33693.779225598046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T63*战斗公式!$E$39*(1+W63*(X63-1))*Y63</f>
        <v>113716.50488639338</v>
      </c>
      <c r="AD63" s="6">
        <f>U63*战斗公式!$E$41*(1+V63*战斗公式!$E$40)</f>
        <v>149750.12989154688</v>
      </c>
      <c r="AE63" s="22">
        <f t="shared" si="12"/>
        <v>263466.63477794023</v>
      </c>
      <c r="AF63" s="22">
        <f t="shared" si="16"/>
        <v>12546.030227521027</v>
      </c>
      <c r="AG63" s="22"/>
      <c r="AH63" s="9">
        <f t="shared" si="13"/>
        <v>1179.2822728959316</v>
      </c>
      <c r="AI63" s="9">
        <f t="shared" si="14"/>
        <v>31362.742988123176</v>
      </c>
      <c r="AJ63" s="9">
        <f t="shared" si="15"/>
        <v>9434.2581831674543</v>
      </c>
      <c r="AK63" s="9">
        <f t="shared" si="17"/>
        <v>56.156298709330486</v>
      </c>
      <c r="AL63" s="9">
        <f t="shared" si="18"/>
        <v>1130.6470687884648</v>
      </c>
      <c r="AM63" s="9">
        <f t="shared" si="19"/>
        <v>449.25038967464207</v>
      </c>
    </row>
    <row r="64" spans="4:39" ht="14.25" customHeight="1" x14ac:dyDescent="0.2">
      <c r="D64" s="1">
        <v>47</v>
      </c>
      <c r="E64" s="6">
        <f t="shared" si="26"/>
        <v>69.184560009894639</v>
      </c>
      <c r="F64" s="6">
        <f t="shared" si="26"/>
        <v>581.77925462865949</v>
      </c>
      <c r="G64" s="6">
        <f t="shared" si="26"/>
        <v>53.460796371282221</v>
      </c>
      <c r="H64" s="6">
        <v>0.4</v>
      </c>
      <c r="I64" s="6">
        <v>1.5</v>
      </c>
      <c r="J64" s="6">
        <v>1</v>
      </c>
      <c r="K64" s="26">
        <f t="shared" si="8"/>
        <v>1.0461169205079408</v>
      </c>
      <c r="L64" s="6">
        <f t="shared" si="20"/>
        <v>6053.6490008657802</v>
      </c>
      <c r="M64" s="6">
        <f t="shared" si="21"/>
        <v>80788.372127116221</v>
      </c>
      <c r="N64" s="6">
        <f t="shared" si="22"/>
        <v>8019.1194556923328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8">
        <v>47</v>
      </c>
      <c r="T64" s="6">
        <f>VLOOKUP($S$13,角色设定!$AB$9:$AJ$21,MATCH(E$17,角色设定!$AB$9:$AJ$9,0),0)*Z64*$L$15*E64/Y64/(1+W64*(X64-1))</f>
        <v>4422.3085233597421</v>
      </c>
      <c r="U64" s="6">
        <f>VLOOKUP($S$13,角色设定!$AB$9:$AJ$21,MATCH(F$17,角色设定!$AB$9:$AJ$9,0),0)*F64*$L$15/(1+V64/$N$16)</f>
        <v>116146.70965922854</v>
      </c>
      <c r="V64" s="6">
        <f>VLOOKUP($S$13,角色设定!$AB$9:$AJ$21,MATCH(V$17,角色设定!$AB$9:$AJ$9,0),0)*G64*$L$15</f>
        <v>35378.468186877937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T64*战斗公式!$E$39*(1+W64*(X64-1))*Y64</f>
        <v>119402.33013071305</v>
      </c>
      <c r="AD64" s="6">
        <f>U64*战斗公式!$E$41*(1+V64*战斗公式!$E$40)</f>
        <v>157237.63638612418</v>
      </c>
      <c r="AE64" s="22">
        <f t="shared" si="12"/>
        <v>276639.96651683724</v>
      </c>
      <c r="AF64" s="22">
        <f t="shared" si="16"/>
        <v>13173.331738897017</v>
      </c>
      <c r="AG64" s="22"/>
      <c r="AH64" s="9">
        <f t="shared" si="13"/>
        <v>1238.2463865407278</v>
      </c>
      <c r="AI64" s="9">
        <f t="shared" si="14"/>
        <v>32521.078704583993</v>
      </c>
      <c r="AJ64" s="9">
        <f t="shared" si="15"/>
        <v>9905.9710923258226</v>
      </c>
      <c r="AK64" s="9">
        <f t="shared" si="17"/>
        <v>58.964113644796271</v>
      </c>
      <c r="AL64" s="9">
        <f t="shared" si="18"/>
        <v>1158.3357164608169</v>
      </c>
      <c r="AM64" s="9">
        <f t="shared" si="19"/>
        <v>471.71290915836835</v>
      </c>
    </row>
    <row r="65" spans="4:39" ht="14.25" customHeight="1" x14ac:dyDescent="0.2">
      <c r="D65" s="1">
        <v>48</v>
      </c>
      <c r="E65" s="6">
        <f t="shared" si="26"/>
        <v>72.643788010389386</v>
      </c>
      <c r="F65" s="6">
        <f t="shared" si="26"/>
        <v>610.86821736009256</v>
      </c>
      <c r="G65" s="6">
        <f t="shared" si="26"/>
        <v>56.133836189846349</v>
      </c>
      <c r="H65" s="6">
        <v>0.4</v>
      </c>
      <c r="I65" s="6">
        <v>1.5</v>
      </c>
      <c r="J65" s="6">
        <v>1</v>
      </c>
      <c r="K65" s="26">
        <f t="shared" si="8"/>
        <v>1.0459385375150207</v>
      </c>
      <c r="L65" s="6">
        <f t="shared" si="20"/>
        <v>6356.3314509090715</v>
      </c>
      <c r="M65" s="6">
        <f t="shared" si="21"/>
        <v>84514.083062468373</v>
      </c>
      <c r="N65" s="6">
        <f t="shared" si="22"/>
        <v>8420.0754284769519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8">
        <v>48</v>
      </c>
      <c r="T65" s="6">
        <f>VLOOKUP($S$13,角色设定!$AB$9:$AJ$21,MATCH(E$17,角色设定!$AB$9:$AJ$9,0),0)*Z65*$L$15*E65/Y65/(1+W65*(X65-1))</f>
        <v>4643.4239495277316</v>
      </c>
      <c r="U65" s="6">
        <f>VLOOKUP($S$13,角色设定!$AB$9:$AJ$21,MATCH(F$17,角色设定!$AB$9:$AJ$9,0),0)*F65*$L$15/(1+V65/$N$16)</f>
        <v>120381.0851113399</v>
      </c>
      <c r="V65" s="6">
        <f>VLOOKUP($S$13,角色设定!$AB$9:$AJ$21,MATCH(V$17,角色设定!$AB$9:$AJ$9,0),0)*G65*$L$15</f>
        <v>37147.391596221845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T65*战斗公式!$E$39*(1+W65*(X65-1))*Y65</f>
        <v>125372.44663724877</v>
      </c>
      <c r="AD65" s="6">
        <f>U65*战斗公式!$E$41*(1+V65*战斗公式!$E$40)</f>
        <v>165099.51820543045</v>
      </c>
      <c r="AE65" s="22">
        <f t="shared" si="12"/>
        <v>290471.96484267921</v>
      </c>
      <c r="AF65" s="22">
        <f t="shared" si="16"/>
        <v>13831.998325841967</v>
      </c>
      <c r="AG65" s="22"/>
      <c r="AH65" s="9">
        <f t="shared" si="13"/>
        <v>1300.1587058677649</v>
      </c>
      <c r="AI65" s="9">
        <f t="shared" si="14"/>
        <v>33706.703831175175</v>
      </c>
      <c r="AJ65" s="9">
        <f t="shared" si="15"/>
        <v>10401.269646942117</v>
      </c>
      <c r="AK65" s="9">
        <f t="shared" si="17"/>
        <v>61.912319327037039</v>
      </c>
      <c r="AL65" s="9">
        <f t="shared" si="18"/>
        <v>1185.6251265911815</v>
      </c>
      <c r="AM65" s="9">
        <f t="shared" si="19"/>
        <v>495.2985546162945</v>
      </c>
    </row>
    <row r="66" spans="4:39" ht="14.25" customHeight="1" x14ac:dyDescent="0.2">
      <c r="D66" s="1">
        <v>49</v>
      </c>
      <c r="E66" s="6">
        <f t="shared" si="26"/>
        <v>76.275977410908851</v>
      </c>
      <c r="F66" s="6">
        <f t="shared" si="26"/>
        <v>641.41162822809713</v>
      </c>
      <c r="G66" s="6">
        <f t="shared" si="26"/>
        <v>58.940527999338663</v>
      </c>
      <c r="H66" s="6">
        <v>0.4</v>
      </c>
      <c r="I66" s="6">
        <v>1.5</v>
      </c>
      <c r="J66" s="6">
        <v>1</v>
      </c>
      <c r="K66" s="26">
        <f t="shared" si="8"/>
        <v>1.0457527145811638</v>
      </c>
      <c r="L66" s="6">
        <f t="shared" si="20"/>
        <v>6674.1480234545252</v>
      </c>
      <c r="M66" s="6">
        <f t="shared" si="21"/>
        <v>88396.536437781164</v>
      </c>
      <c r="N66" s="6">
        <f t="shared" si="22"/>
        <v>8841.0791999007997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8">
        <v>49</v>
      </c>
      <c r="T66" s="6">
        <f>VLOOKUP($S$13,角色设定!$AB$9:$AJ$21,MATCH(E$17,角色设定!$AB$9:$AJ$9,0),0)*Z66*$L$15*E66/Y66/(1+W66*(X66-1))</f>
        <v>4875.5951470041164</v>
      </c>
      <c r="U66" s="6">
        <f>VLOOKUP($S$13,角色设定!$AB$9:$AJ$21,MATCH(F$17,角色设定!$AB$9:$AJ$9,0),0)*F66*$L$15/(1+V66/$N$16)</f>
        <v>124711.19165203928</v>
      </c>
      <c r="V66" s="6">
        <f>VLOOKUP($S$13,角色设定!$AB$9:$AJ$21,MATCH(V$17,角色设定!$AB$9:$AJ$9,0),0)*G66*$L$15</f>
        <v>39004.761176032938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T66*战斗公式!$E$39*(1+W66*(X66-1))*Y66</f>
        <v>131641.06896911113</v>
      </c>
      <c r="AD66" s="6">
        <f>U66*战斗公式!$E$41*(1+V66*战斗公式!$E$40)</f>
        <v>173354.49411570196</v>
      </c>
      <c r="AE66" s="22">
        <f t="shared" si="12"/>
        <v>304995.56308481307</v>
      </c>
      <c r="AF66" s="22">
        <f t="shared" si="16"/>
        <v>14523.598242133856</v>
      </c>
      <c r="AG66" s="22"/>
      <c r="AH66" s="9">
        <f t="shared" si="13"/>
        <v>1365.1666411611527</v>
      </c>
      <c r="AI66" s="9">
        <f t="shared" si="14"/>
        <v>34919.133662571003</v>
      </c>
      <c r="AJ66" s="9">
        <f t="shared" si="15"/>
        <v>10921.333129289224</v>
      </c>
      <c r="AK66" s="9">
        <f t="shared" si="17"/>
        <v>65.007935293387845</v>
      </c>
      <c r="AL66" s="9">
        <f t="shared" si="18"/>
        <v>1212.4298313958279</v>
      </c>
      <c r="AM66" s="9">
        <f t="shared" si="19"/>
        <v>520.0634823471064</v>
      </c>
    </row>
    <row r="67" spans="4:39" ht="14.25" customHeight="1" x14ac:dyDescent="0.2">
      <c r="D67" s="1">
        <v>50</v>
      </c>
      <c r="E67" s="6">
        <f t="shared" si="26"/>
        <v>80.089776281454306</v>
      </c>
      <c r="F67" s="6">
        <f t="shared" si="26"/>
        <v>673.48220963950212</v>
      </c>
      <c r="G67" s="6">
        <f t="shared" si="26"/>
        <v>61.8875543993056</v>
      </c>
      <c r="H67" s="6">
        <v>0.4</v>
      </c>
      <c r="I67" s="6">
        <v>1.5</v>
      </c>
      <c r="J67" s="6">
        <v>1</v>
      </c>
      <c r="K67" s="26">
        <f t="shared" si="8"/>
        <v>1.0455592116060153</v>
      </c>
      <c r="L67" s="6">
        <f t="shared" si="20"/>
        <v>7007.8554246272506</v>
      </c>
      <c r="M67" s="6">
        <f t="shared" si="21"/>
        <v>92440.917939382416</v>
      </c>
      <c r="N67" s="6">
        <f t="shared" si="22"/>
        <v>9283.1331598958404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8">
        <v>50</v>
      </c>
      <c r="T67" s="6">
        <f>VLOOKUP($S$13,角色设定!$AB$9:$AJ$21,MATCH(E$17,角色设定!$AB$9:$AJ$9,0),0)*Z67*$L$15*E67/Y67/(1+W67*(X67-1))</f>
        <v>5119.374904354323</v>
      </c>
      <c r="U67" s="6">
        <f>VLOOKUP($S$13,角色设定!$AB$9:$AJ$21,MATCH(F$17,角色设定!$AB$9:$AJ$9,0),0)*F67*$L$15/(1+V67/$N$16)</f>
        <v>129134.98620806873</v>
      </c>
      <c r="V67" s="6">
        <f>VLOOKUP($S$13,角色设定!$AB$9:$AJ$21,MATCH(V$17,角色设定!$AB$9:$AJ$9,0),0)*G67*$L$15</f>
        <v>40954.999234834577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T67*战斗公式!$E$39*(1+W67*(X67-1))*Y67</f>
        <v>138223.12241756672</v>
      </c>
      <c r="AD67" s="6">
        <f>U67*战斗公式!$E$41*(1+V67*战斗公式!$E$40)</f>
        <v>182022.21882148704</v>
      </c>
      <c r="AE67" s="22">
        <f t="shared" si="12"/>
        <v>320245.34123905376</v>
      </c>
      <c r="AF67" s="22">
        <f t="shared" si="16"/>
        <v>15249.778154240688</v>
      </c>
      <c r="AG67" s="22"/>
      <c r="AH67" s="9">
        <f t="shared" si="13"/>
        <v>1433.4249732192106</v>
      </c>
      <c r="AI67" s="9">
        <f t="shared" si="14"/>
        <v>36157.796138259248</v>
      </c>
      <c r="AJ67" s="9">
        <f t="shared" si="15"/>
        <v>11467.399785753683</v>
      </c>
      <c r="AK67" s="9">
        <f t="shared" si="17"/>
        <v>68.258332058057931</v>
      </c>
      <c r="AL67" s="9">
        <f t="shared" si="18"/>
        <v>1238.6624756882447</v>
      </c>
      <c r="AM67" s="9">
        <f t="shared" si="19"/>
        <v>546.06665646445981</v>
      </c>
    </row>
    <row r="68" spans="4:39" ht="14.25" customHeight="1" x14ac:dyDescent="0.2">
      <c r="D68" s="1">
        <v>51</v>
      </c>
      <c r="E68" s="6">
        <f t="shared" si="26"/>
        <v>84.094265095527021</v>
      </c>
      <c r="F68" s="6">
        <f t="shared" si="26"/>
        <v>707.15632012147717</v>
      </c>
      <c r="G68" s="6">
        <f t="shared" si="26"/>
        <v>64.98193211927088</v>
      </c>
      <c r="H68" s="6">
        <v>0.4</v>
      </c>
      <c r="I68" s="6">
        <v>1.5</v>
      </c>
      <c r="J68" s="6">
        <v>1</v>
      </c>
      <c r="K68" s="26">
        <f t="shared" si="8"/>
        <v>1.0453577872707271</v>
      </c>
      <c r="L68" s="6">
        <f t="shared" si="20"/>
        <v>7358.2481958586131</v>
      </c>
      <c r="M68" s="6">
        <f t="shared" si="21"/>
        <v>96652.453280837042</v>
      </c>
      <c r="N68" s="6">
        <f t="shared" si="22"/>
        <v>9747.2898178906325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8">
        <v>51</v>
      </c>
      <c r="T68" s="6">
        <f>VLOOKUP($S$13,角色设定!$AB$9:$AJ$21,MATCH(E$17,角色设定!$AB$9:$AJ$9,0),0)*Z68*$L$15*E68/Y68/(1+W68*(X68-1))</f>
        <v>5375.3436495720398</v>
      </c>
      <c r="U68" s="6">
        <f>VLOOKUP($S$13,角色设定!$AB$9:$AJ$21,MATCH(F$17,角色设定!$AB$9:$AJ$9,0),0)*F68*$L$15/(1+V68/$N$16)</f>
        <v>133650.1087121318</v>
      </c>
      <c r="V68" s="6">
        <f>VLOOKUP($S$13,角色设定!$AB$9:$AJ$21,MATCH(V$17,角色设定!$AB$9:$AJ$9,0),0)*G68*$L$15</f>
        <v>43002.749196576311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T68*战斗公式!$E$39*(1+W68*(X68-1))*Y68</f>
        <v>145134.27853844507</v>
      </c>
      <c r="AD68" s="6">
        <f>U68*战斗公式!$E$41*(1+V68*战斗公式!$E$40)</f>
        <v>191123.32976256142</v>
      </c>
      <c r="AE68" s="22">
        <f t="shared" si="12"/>
        <v>336257.60830100649</v>
      </c>
      <c r="AF68" s="22">
        <f t="shared" si="16"/>
        <v>16012.267061952734</v>
      </c>
      <c r="AG68" s="22"/>
      <c r="AH68" s="9">
        <f t="shared" si="13"/>
        <v>1505.0962218801712</v>
      </c>
      <c r="AI68" s="9">
        <f t="shared" si="14"/>
        <v>37422.030439396905</v>
      </c>
      <c r="AJ68" s="9">
        <f t="shared" si="15"/>
        <v>12040.769775041368</v>
      </c>
      <c r="AK68" s="9">
        <f t="shared" si="17"/>
        <v>71.6712486609606</v>
      </c>
      <c r="AL68" s="9">
        <f t="shared" si="18"/>
        <v>1264.2343011376579</v>
      </c>
      <c r="AM68" s="9">
        <f t="shared" si="19"/>
        <v>573.3699892876848</v>
      </c>
    </row>
    <row r="69" spans="4:39" ht="14.25" customHeight="1" x14ac:dyDescent="0.2">
      <c r="D69" s="1">
        <v>52</v>
      </c>
      <c r="E69" s="6">
        <f t="shared" si="26"/>
        <v>88.298978350303372</v>
      </c>
      <c r="F69" s="6">
        <f t="shared" si="26"/>
        <v>742.51413612755107</v>
      </c>
      <c r="G69" s="6">
        <f t="shared" si="26"/>
        <v>68.231028725234424</v>
      </c>
      <c r="H69" s="6">
        <v>0.4</v>
      </c>
      <c r="I69" s="6">
        <v>1.5</v>
      </c>
      <c r="J69" s="6">
        <v>1</v>
      </c>
      <c r="K69" s="26">
        <f t="shared" si="8"/>
        <v>1.0451481997232679</v>
      </c>
      <c r="L69" s="6">
        <f t="shared" si="20"/>
        <v>7726.1606056515438</v>
      </c>
      <c r="M69" s="6">
        <f t="shared" si="21"/>
        <v>101036.39469594313</v>
      </c>
      <c r="N69" s="6">
        <f t="shared" si="22"/>
        <v>10234.654308785164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8">
        <v>52</v>
      </c>
      <c r="T69" s="6">
        <f>VLOOKUP($S$13,角色设定!$AB$9:$AJ$21,MATCH(E$17,角色设定!$AB$9:$AJ$9,0),0)*Z69*$L$15*E69/Y69/(1+W69*(X69-1))</f>
        <v>5644.110832050641</v>
      </c>
      <c r="U69" s="6">
        <f>VLOOKUP($S$13,角色设定!$AB$9:$AJ$21,MATCH(F$17,角色设定!$AB$9:$AJ$9,0),0)*F69*$L$15/(1+V69/$N$16)</f>
        <v>138253.87897777237</v>
      </c>
      <c r="V69" s="6">
        <f>VLOOKUP($S$13,角色设定!$AB$9:$AJ$21,MATCH(V$17,角色设定!$AB$9:$AJ$9,0),0)*G69*$L$15</f>
        <v>45152.886656405128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T69*战斗公式!$E$39*(1+W69*(X69-1))*Y69</f>
        <v>152390.99246536731</v>
      </c>
      <c r="AD69" s="6">
        <f>U69*战斗公式!$E$41*(1+V69*战斗公式!$E$40)</f>
        <v>200679.49625068947</v>
      </c>
      <c r="AE69" s="22">
        <f t="shared" si="12"/>
        <v>353070.4887160568</v>
      </c>
      <c r="AF69" s="22">
        <f t="shared" si="16"/>
        <v>16812.880415050313</v>
      </c>
      <c r="AG69" s="22"/>
      <c r="AH69" s="9">
        <f t="shared" si="13"/>
        <v>1580.3510329741796</v>
      </c>
      <c r="AI69" s="9">
        <f t="shared" si="14"/>
        <v>38711.086113776269</v>
      </c>
      <c r="AJ69" s="9">
        <f t="shared" si="15"/>
        <v>12642.808263793437</v>
      </c>
      <c r="AK69" s="9">
        <f t="shared" si="17"/>
        <v>75.254811094008346</v>
      </c>
      <c r="AL69" s="9">
        <f t="shared" si="18"/>
        <v>1289.0556743793641</v>
      </c>
      <c r="AM69" s="9">
        <f t="shared" si="19"/>
        <v>602.03848875206859</v>
      </c>
    </row>
    <row r="70" spans="4:39" ht="14.25" customHeight="1" x14ac:dyDescent="0.2">
      <c r="D70" s="1">
        <v>53</v>
      </c>
      <c r="E70" s="6">
        <f t="shared" si="26"/>
        <v>92.713927267818534</v>
      </c>
      <c r="F70" s="6">
        <f t="shared" si="26"/>
        <v>779.63984293392866</v>
      </c>
      <c r="G70" s="6">
        <f t="shared" si="26"/>
        <v>71.642580161496156</v>
      </c>
      <c r="H70" s="6">
        <v>0.4</v>
      </c>
      <c r="I70" s="6">
        <v>1.5</v>
      </c>
      <c r="J70" s="6">
        <v>1</v>
      </c>
      <c r="K70" s="26">
        <f t="shared" si="8"/>
        <v>1.0449302073309059</v>
      </c>
      <c r="L70" s="6">
        <f t="shared" si="20"/>
        <v>8112.4686359341213</v>
      </c>
      <c r="M70" s="6">
        <f t="shared" si="21"/>
        <v>105598.00602299451</v>
      </c>
      <c r="N70" s="6">
        <f t="shared" si="22"/>
        <v>10746.387024224423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8">
        <v>53</v>
      </c>
      <c r="T70" s="6">
        <f>VLOOKUP($S$13,角色设定!$AB$9:$AJ$21,MATCH(E$17,角色设定!$AB$9:$AJ$9,0),0)*Z70*$L$15*E70/Y70/(1+W70*(X70-1))</f>
        <v>5926.3163736531733</v>
      </c>
      <c r="U70" s="6">
        <f>VLOOKUP($S$13,角色设定!$AB$9:$AJ$21,MATCH(F$17,角色设定!$AB$9:$AJ$9,0),0)*F70*$L$15/(1+V70/$N$16)</f>
        <v>142943.29560391145</v>
      </c>
      <c r="V70" s="6">
        <f>VLOOKUP($S$13,角色设定!$AB$9:$AJ$21,MATCH(V$17,角色设定!$AB$9:$AJ$9,0),0)*G70*$L$15</f>
        <v>47410.530989225394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T70*战斗公式!$E$39*(1+W70*(X70-1))*Y70</f>
        <v>160010.54208863567</v>
      </c>
      <c r="AD70" s="6">
        <f>U70*战斗公式!$E$41*(1+V70*战斗公式!$E$40)</f>
        <v>210713.47106322393</v>
      </c>
      <c r="AE70" s="22">
        <f t="shared" si="12"/>
        <v>370724.01315185963</v>
      </c>
      <c r="AF70" s="22">
        <f t="shared" si="16"/>
        <v>17653.524435802829</v>
      </c>
      <c r="AG70" s="22"/>
      <c r="AH70" s="9">
        <f t="shared" si="13"/>
        <v>1659.3685846228886</v>
      </c>
      <c r="AI70" s="9">
        <f t="shared" si="14"/>
        <v>40024.122769095207</v>
      </c>
      <c r="AJ70" s="9">
        <f t="shared" si="15"/>
        <v>13274.948676983111</v>
      </c>
      <c r="AK70" s="9">
        <f t="shared" si="17"/>
        <v>79.017551648709059</v>
      </c>
      <c r="AL70" s="9">
        <f t="shared" si="18"/>
        <v>1313.0366553189378</v>
      </c>
      <c r="AM70" s="9">
        <f t="shared" si="19"/>
        <v>632.14041318967429</v>
      </c>
    </row>
    <row r="71" spans="4:39" ht="14.25" customHeight="1" x14ac:dyDescent="0.2">
      <c r="D71" s="1">
        <v>54</v>
      </c>
      <c r="E71" s="6">
        <f t="shared" si="26"/>
        <v>97.349623631209454</v>
      </c>
      <c r="F71" s="6">
        <f t="shared" si="26"/>
        <v>818.62183508062492</v>
      </c>
      <c r="G71" s="6">
        <f t="shared" si="26"/>
        <v>75.224709169570943</v>
      </c>
      <c r="H71" s="6">
        <v>0.4</v>
      </c>
      <c r="I71" s="6">
        <v>1.5</v>
      </c>
      <c r="J71" s="6">
        <v>1</v>
      </c>
      <c r="K71" s="26">
        <f t="shared" si="8"/>
        <v>1.0447035695019626</v>
      </c>
      <c r="L71" s="6">
        <f t="shared" si="20"/>
        <v>8518.0920677308277</v>
      </c>
      <c r="M71" s="6">
        <f t="shared" si="21"/>
        <v>110342.5463273379</v>
      </c>
      <c r="N71" s="6">
        <f t="shared" si="22"/>
        <v>11283.706375435642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8">
        <v>54</v>
      </c>
      <c r="T71" s="6">
        <f>VLOOKUP($S$13,角色设定!$AB$9:$AJ$21,MATCH(E$17,角色设定!$AB$9:$AJ$9,0),0)*Z71*$L$15*E71/Y71/(1+W71*(X71-1))</f>
        <v>6222.632192335831</v>
      </c>
      <c r="U71" s="6">
        <f>VLOOKUP($S$13,角色设定!$AB$9:$AJ$21,MATCH(F$17,角色设定!$AB$9:$AJ$9,0),0)*F71*$L$15/(1+V71/$N$16)</f>
        <v>147715.03703613463</v>
      </c>
      <c r="V71" s="6">
        <f>VLOOKUP($S$13,角色设定!$AB$9:$AJ$21,MATCH(V$17,角色设定!$AB$9:$AJ$9,0),0)*G71*$L$15</f>
        <v>49781.057538686648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T71*战斗公式!$E$39*(1+W71*(X71-1))*Y71</f>
        <v>168011.06919306744</v>
      </c>
      <c r="AD71" s="6">
        <f>U71*战斗公式!$E$41*(1+V71*战斗公式!$E$40)</f>
        <v>221249.14461638511</v>
      </c>
      <c r="AE71" s="22">
        <f t="shared" si="12"/>
        <v>389260.21380945254</v>
      </c>
      <c r="AF71" s="22">
        <f t="shared" si="16"/>
        <v>18536.200657592912</v>
      </c>
      <c r="AG71" s="22"/>
      <c r="AH71" s="9">
        <f t="shared" si="13"/>
        <v>1742.3370138540329</v>
      </c>
      <c r="AI71" s="9">
        <f t="shared" si="14"/>
        <v>41360.210370117697</v>
      </c>
      <c r="AJ71" s="9">
        <f t="shared" si="15"/>
        <v>13938.696110832263</v>
      </c>
      <c r="AK71" s="9">
        <f t="shared" si="17"/>
        <v>82.968429231144228</v>
      </c>
      <c r="AL71" s="9">
        <f t="shared" si="18"/>
        <v>1336.0876010224893</v>
      </c>
      <c r="AM71" s="9">
        <f t="shared" si="19"/>
        <v>663.747433849152</v>
      </c>
    </row>
    <row r="72" spans="4:39" ht="14.25" customHeight="1" x14ac:dyDescent="0.2">
      <c r="D72" s="1">
        <v>55</v>
      </c>
      <c r="E72" s="6">
        <f t="shared" si="26"/>
        <v>102.21710481276992</v>
      </c>
      <c r="F72" s="6">
        <f t="shared" si="26"/>
        <v>859.5529268346562</v>
      </c>
      <c r="G72" s="6">
        <f t="shared" si="26"/>
        <v>78.985944628049495</v>
      </c>
      <c r="H72" s="6">
        <v>0.4</v>
      </c>
      <c r="I72" s="6">
        <v>1.5</v>
      </c>
      <c r="J72" s="6">
        <v>1</v>
      </c>
      <c r="K72" s="26">
        <f t="shared" si="8"/>
        <v>1.0444680475785795</v>
      </c>
      <c r="L72" s="6">
        <f t="shared" si="20"/>
        <v>8943.9966711173674</v>
      </c>
      <c r="M72" s="6">
        <f t="shared" si="21"/>
        <v>115275.25201610557</v>
      </c>
      <c r="N72" s="6">
        <f t="shared" si="22"/>
        <v>11847.891694207425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8">
        <v>55</v>
      </c>
      <c r="T72" s="6">
        <f>VLOOKUP($S$13,角色设定!$AB$9:$AJ$21,MATCH(E$17,角色设定!$AB$9:$AJ$9,0),0)*Z72*$L$15*E72/Y72/(1+W72*(X72-1))</f>
        <v>6533.7638019526221</v>
      </c>
      <c r="U72" s="6">
        <f>VLOOKUP($S$13,角色设定!$AB$9:$AJ$21,MATCH(F$17,角色设定!$AB$9:$AJ$9,0),0)*F72*$L$15/(1+V72/$N$16)</f>
        <v>152565.4648920332</v>
      </c>
      <c r="V72" s="6">
        <f>VLOOKUP($S$13,角色设定!$AB$9:$AJ$21,MATCH(V$17,角色设定!$AB$9:$AJ$9,0),0)*G72*$L$15</f>
        <v>52270.110415620977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T72*战斗公式!$E$39*(1+W72*(X72-1))*Y72</f>
        <v>176411.62265272081</v>
      </c>
      <c r="AD72" s="6">
        <f>U72*战斗公式!$E$41*(1+V72*战斗公式!$E$40)</f>
        <v>232311.60184720444</v>
      </c>
      <c r="AE72" s="22">
        <f t="shared" si="12"/>
        <v>408723.22449992527</v>
      </c>
      <c r="AF72" s="22">
        <f t="shared" si="16"/>
        <v>19463.010690472729</v>
      </c>
      <c r="AG72" s="22"/>
      <c r="AH72" s="9">
        <f t="shared" si="13"/>
        <v>1829.4538645467344</v>
      </c>
      <c r="AI72" s="9">
        <f t="shared" si="14"/>
        <v>42718.330169769302</v>
      </c>
      <c r="AJ72" s="9">
        <f t="shared" si="15"/>
        <v>14635.630916373875</v>
      </c>
      <c r="AK72" s="9">
        <f t="shared" si="17"/>
        <v>87.116850692701519</v>
      </c>
      <c r="AL72" s="9">
        <f t="shared" si="18"/>
        <v>1358.1197996516057</v>
      </c>
      <c r="AM72" s="9">
        <f t="shared" si="19"/>
        <v>696.93480554161215</v>
      </c>
    </row>
    <row r="73" spans="4:39" ht="14.25" customHeight="1" x14ac:dyDescent="0.2">
      <c r="D73" s="1">
        <v>56</v>
      </c>
      <c r="E73" s="6">
        <f t="shared" si="26"/>
        <v>107.32796005340845</v>
      </c>
      <c r="F73" s="6">
        <f t="shared" si="26"/>
        <v>902.53057317638911</v>
      </c>
      <c r="G73" s="6">
        <f t="shared" si="26"/>
        <v>82.935241859451992</v>
      </c>
      <c r="H73" s="6">
        <v>0.4</v>
      </c>
      <c r="I73" s="6">
        <v>1.5</v>
      </c>
      <c r="J73" s="6">
        <v>1</v>
      </c>
      <c r="K73" s="26">
        <f t="shared" si="8"/>
        <v>1.0442234058017708</v>
      </c>
      <c r="L73" s="6">
        <f t="shared" si="20"/>
        <v>9391.1965046732403</v>
      </c>
      <c r="M73" s="6">
        <f t="shared" si="21"/>
        <v>120401.3174073905</v>
      </c>
      <c r="N73" s="6">
        <f t="shared" si="22"/>
        <v>12440.286278917798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8">
        <v>56</v>
      </c>
      <c r="T73" s="6">
        <f>VLOOKUP($S$13,角色设定!$AB$9:$AJ$21,MATCH(E$17,角色设定!$AB$9:$AJ$9,0),0)*Z73*$L$15*E73/Y73/(1+W73*(X73-1))</f>
        <v>6860.4519920502562</v>
      </c>
      <c r="U73" s="6">
        <f>VLOOKUP($S$13,角色设定!$AB$9:$AJ$21,MATCH(F$17,角色设定!$AB$9:$AJ$9,0),0)*F73*$L$15/(1+V73/$N$16)</f>
        <v>157490.62963491594</v>
      </c>
      <c r="V73" s="6">
        <f>VLOOKUP($S$13,角色设定!$AB$9:$AJ$21,MATCH(V$17,角色设定!$AB$9:$AJ$9,0),0)*G73*$L$15</f>
        <v>54883.61593640205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T73*战斗公式!$E$39*(1+W73*(X73-1))*Y73</f>
        <v>185232.20378535692</v>
      </c>
      <c r="AD73" s="6">
        <f>U73*战斗公式!$E$41*(1+V73*战斗公式!$E$40)</f>
        <v>243927.18193956459</v>
      </c>
      <c r="AE73" s="22">
        <f t="shared" si="12"/>
        <v>429159.38572492148</v>
      </c>
      <c r="AF73" s="22">
        <f t="shared" si="16"/>
        <v>20436.161224996205</v>
      </c>
      <c r="AG73" s="22"/>
      <c r="AH73" s="9">
        <f t="shared" si="13"/>
        <v>1920.9265577740719</v>
      </c>
      <c r="AI73" s="9">
        <f t="shared" si="14"/>
        <v>44097.376297776464</v>
      </c>
      <c r="AJ73" s="9">
        <f t="shared" si="15"/>
        <v>15367.412462192575</v>
      </c>
      <c r="AK73" s="9">
        <f t="shared" si="17"/>
        <v>91.472693227337459</v>
      </c>
      <c r="AL73" s="9">
        <f t="shared" si="18"/>
        <v>1379.0461280071613</v>
      </c>
      <c r="AM73" s="9">
        <f t="shared" si="19"/>
        <v>731.78154581869967</v>
      </c>
    </row>
    <row r="74" spans="4:39" ht="14.25" customHeight="1" x14ac:dyDescent="0.2">
      <c r="D74" s="1">
        <v>57</v>
      </c>
      <c r="E74" s="6">
        <f t="shared" si="26"/>
        <v>112.69435805607884</v>
      </c>
      <c r="F74" s="6">
        <f t="shared" si="26"/>
        <v>947.65710183520844</v>
      </c>
      <c r="G74" s="6">
        <f t="shared" si="26"/>
        <v>87.082003952424571</v>
      </c>
      <c r="H74" s="6">
        <v>0.4</v>
      </c>
      <c r="I74" s="6">
        <v>1.5</v>
      </c>
      <c r="J74" s="6">
        <v>1</v>
      </c>
      <c r="K74" s="26">
        <f t="shared" si="8"/>
        <v>1.0439694123494931</v>
      </c>
      <c r="L74" s="6">
        <f t="shared" si="20"/>
        <v>9860.7563299069006</v>
      </c>
      <c r="M74" s="6">
        <f t="shared" si="21"/>
        <v>125725.87372616533</v>
      </c>
      <c r="N74" s="6">
        <f t="shared" si="22"/>
        <v>13062.300592863685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8">
        <v>57</v>
      </c>
      <c r="T74" s="6">
        <f>VLOOKUP($S$13,角色设定!$AB$9:$AJ$21,MATCH(E$17,角色设定!$AB$9:$AJ$9,0),0)*Z74*$L$15*E74/Y74/(1+W74*(X74-1))</f>
        <v>7203.4745916527663</v>
      </c>
      <c r="U74" s="6">
        <f>VLOOKUP($S$13,角色设定!$AB$9:$AJ$21,MATCH(F$17,角色设定!$AB$9:$AJ$9,0),0)*F74*$L$15/(1+V74/$N$16)</f>
        <v>162486.27865427837</v>
      </c>
      <c r="V74" s="6">
        <f>VLOOKUP($S$13,角色设定!$AB$9:$AJ$21,MATCH(V$17,角色设定!$AB$9:$AJ$9,0),0)*G74*$L$15</f>
        <v>57627.796733222138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T74*战斗公式!$E$39*(1+W74*(X74-1))*Y74</f>
        <v>194493.81397462467</v>
      </c>
      <c r="AD74" s="6">
        <f>U74*战斗公式!$E$41*(1+V74*战斗公式!$E$40)</f>
        <v>256123.54103654285</v>
      </c>
      <c r="AE74" s="22">
        <f t="shared" si="12"/>
        <v>450617.35501116753</v>
      </c>
      <c r="AF74" s="22">
        <f t="shared" si="16"/>
        <v>21457.969286246051</v>
      </c>
      <c r="AG74" s="22"/>
      <c r="AH74" s="9">
        <f t="shared" si="13"/>
        <v>2016.9728856627748</v>
      </c>
      <c r="AI74" s="9">
        <f t="shared" si="14"/>
        <v>45496.158023197946</v>
      </c>
      <c r="AJ74" s="9">
        <f t="shared" si="15"/>
        <v>16135.783085302201</v>
      </c>
      <c r="AK74" s="9">
        <f t="shared" si="17"/>
        <v>96.04632788870299</v>
      </c>
      <c r="AL74" s="9">
        <f t="shared" si="18"/>
        <v>1398.7817254214824</v>
      </c>
      <c r="AM74" s="9">
        <f t="shared" si="19"/>
        <v>768.37062310962574</v>
      </c>
    </row>
    <row r="75" spans="4:39" ht="14.25" customHeight="1" x14ac:dyDescent="0.2">
      <c r="D75" s="1">
        <v>58</v>
      </c>
      <c r="E75" s="6">
        <f t="shared" si="26"/>
        <v>118.3290759588828</v>
      </c>
      <c r="F75" s="6">
        <f t="shared" si="26"/>
        <v>995.03995692696901</v>
      </c>
      <c r="G75" s="6">
        <f t="shared" si="26"/>
        <v>91.436104150045807</v>
      </c>
      <c r="H75" s="6">
        <v>0.4</v>
      </c>
      <c r="I75" s="6">
        <v>1.5</v>
      </c>
      <c r="J75" s="6">
        <v>1</v>
      </c>
      <c r="K75" s="26">
        <f t="shared" si="8"/>
        <v>1.0437058404478334</v>
      </c>
      <c r="L75" s="6">
        <f t="shared" si="20"/>
        <v>10353.794146402244</v>
      </c>
      <c r="M75" s="6">
        <f t="shared" si="21"/>
        <v>131253.96651103141</v>
      </c>
      <c r="N75" s="6">
        <f t="shared" si="22"/>
        <v>13715.415622506871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8">
        <v>58</v>
      </c>
      <c r="T75" s="6">
        <f>VLOOKUP($S$13,角色设定!$AB$9:$AJ$21,MATCH(E$17,角色设定!$AB$9:$AJ$9,0),0)*Z75*$L$15*E75/Y75/(1+W75*(X75-1))</f>
        <v>7563.6483212354051</v>
      </c>
      <c r="U75" s="6">
        <f>VLOOKUP($S$13,角色设定!$AB$9:$AJ$21,MATCH(F$17,角色设定!$AB$9:$AJ$9,0),0)*F75*$L$15/(1+V75/$N$16)</f>
        <v>167547.86678286613</v>
      </c>
      <c r="V75" s="6">
        <f>VLOOKUP($S$13,角色设定!$AB$9:$AJ$21,MATCH(V$17,角色设定!$AB$9:$AJ$9,0),0)*G75*$L$15</f>
        <v>60509.186569883241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T75*战斗公式!$E$39*(1+W75*(X75-1))*Y75</f>
        <v>204218.5046733559</v>
      </c>
      <c r="AD75" s="6">
        <f>U75*战斗公式!$E$41*(1+V75*战斗公式!$E$40)</f>
        <v>268929.71808837005</v>
      </c>
      <c r="AE75" s="22">
        <f t="shared" si="12"/>
        <v>473148.22276172595</v>
      </c>
      <c r="AF75" s="22">
        <f t="shared" si="16"/>
        <v>22530.86775055842</v>
      </c>
      <c r="AG75" s="22"/>
      <c r="AH75" s="9">
        <f t="shared" si="13"/>
        <v>2117.8215299459134</v>
      </c>
      <c r="AI75" s="9">
        <f t="shared" si="14"/>
        <v>46913.402699202517</v>
      </c>
      <c r="AJ75" s="9">
        <f t="shared" si="15"/>
        <v>16942.572239567307</v>
      </c>
      <c r="AK75" s="9">
        <f t="shared" si="17"/>
        <v>100.84864428313858</v>
      </c>
      <c r="AL75" s="9">
        <f t="shared" si="18"/>
        <v>1417.2446760045714</v>
      </c>
      <c r="AM75" s="9">
        <f t="shared" si="19"/>
        <v>806.78915426510684</v>
      </c>
    </row>
    <row r="76" spans="4:39" ht="14.25" customHeight="1" x14ac:dyDescent="0.2">
      <c r="D76" s="1">
        <v>59</v>
      </c>
      <c r="E76" s="6">
        <f t="shared" si="26"/>
        <v>124.24552975682695</v>
      </c>
      <c r="F76" s="6">
        <f t="shared" si="26"/>
        <v>1044.7919547733175</v>
      </c>
      <c r="G76" s="6">
        <f t="shared" si="26"/>
        <v>96.007909357548101</v>
      </c>
      <c r="H76" s="6">
        <v>0.4</v>
      </c>
      <c r="I76" s="6">
        <v>1.5</v>
      </c>
      <c r="J76" s="6">
        <v>1</v>
      </c>
      <c r="K76" s="26">
        <f t="shared" si="8"/>
        <v>1.0434324695547113</v>
      </c>
      <c r="L76" s="6">
        <f t="shared" si="20"/>
        <v>10871.483853722359</v>
      </c>
      <c r="M76" s="6">
        <f t="shared" si="21"/>
        <v>136990.53142950783</v>
      </c>
      <c r="N76" s="6">
        <f t="shared" si="22"/>
        <v>14401.186403632215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8">
        <v>59</v>
      </c>
      <c r="T76" s="6">
        <f>VLOOKUP($S$13,角色设定!$AB$9:$AJ$21,MATCH(E$17,角色设定!$AB$9:$AJ$9,0),0)*Z76*$L$15*E76/Y76/(1+W76*(X76-1))</f>
        <v>7941.8307372971767</v>
      </c>
      <c r="U76" s="6">
        <f>VLOOKUP($S$13,角色设定!$AB$9:$AJ$21,MATCH(F$17,角色设定!$AB$9:$AJ$9,0),0)*F76*$L$15/(1+V76/$N$16)</f>
        <v>172670.56924944257</v>
      </c>
      <c r="V76" s="6">
        <f>VLOOKUP($S$13,角色设定!$AB$9:$AJ$21,MATCH(V$17,角色设定!$AB$9:$AJ$9,0),0)*G76*$L$15</f>
        <v>63534.645898377414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T76*战斗公式!$E$39*(1+W76*(X76-1))*Y76</f>
        <v>214429.42990702376</v>
      </c>
      <c r="AD76" s="6">
        <f>U76*战斗公式!$E$41*(1+V76*战斗公式!$E$40)</f>
        <v>282376.20399278851</v>
      </c>
      <c r="AE76" s="22">
        <f t="shared" si="12"/>
        <v>496805.63389981224</v>
      </c>
      <c r="AF76" s="22">
        <f t="shared" si="16"/>
        <v>23657.411138086289</v>
      </c>
      <c r="AG76" s="22"/>
      <c r="AH76" s="9">
        <f t="shared" si="13"/>
        <v>2223.7126064432096</v>
      </c>
      <c r="AI76" s="9">
        <f t="shared" si="14"/>
        <v>48347.759389843923</v>
      </c>
      <c r="AJ76" s="9">
        <f t="shared" si="15"/>
        <v>17789.700851545676</v>
      </c>
      <c r="AK76" s="9">
        <f t="shared" si="17"/>
        <v>105.89107649729613</v>
      </c>
      <c r="AL76" s="9">
        <f t="shared" si="18"/>
        <v>1434.3566906414053</v>
      </c>
      <c r="AM76" s="9">
        <f t="shared" si="19"/>
        <v>847.12861197836901</v>
      </c>
    </row>
    <row r="77" spans="4:39" ht="14.25" customHeight="1" x14ac:dyDescent="0.2">
      <c r="D77" s="1">
        <v>60</v>
      </c>
      <c r="E77" s="6">
        <f t="shared" si="26"/>
        <v>130.45780624466829</v>
      </c>
      <c r="F77" s="6">
        <f t="shared" si="26"/>
        <v>1097.0315525119834</v>
      </c>
      <c r="G77" s="6">
        <f t="shared" si="26"/>
        <v>100.80830482542551</v>
      </c>
      <c r="H77" s="6">
        <v>0.4</v>
      </c>
      <c r="I77" s="6">
        <v>1.5</v>
      </c>
      <c r="J77" s="6">
        <v>1</v>
      </c>
      <c r="K77" s="26">
        <f t="shared" si="8"/>
        <v>1.0431490866146833</v>
      </c>
      <c r="L77" s="6">
        <f t="shared" si="20"/>
        <v>11415.058046408476</v>
      </c>
      <c r="M77" s="6">
        <f t="shared" si="21"/>
        <v>142940.36851510365</v>
      </c>
      <c r="N77" s="6">
        <f t="shared" si="22"/>
        <v>15121.245723813827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8">
        <v>60</v>
      </c>
      <c r="T77" s="6">
        <f>VLOOKUP($S$13,角色设定!$AB$9:$AJ$21,MATCH(E$17,角色设定!$AB$9:$AJ$9,0),0)*Z77*$L$15*E77/Y77/(1+W77*(X77-1))</f>
        <v>8338.9222741620342</v>
      </c>
      <c r="U77" s="6">
        <f>VLOOKUP($S$13,角色设定!$AB$9:$AJ$21,MATCH(F$17,角色设定!$AB$9:$AJ$9,0),0)*F77*$L$15/(1+V77/$N$16)</f>
        <v>177849.29703397438</v>
      </c>
      <c r="V77" s="6">
        <f>VLOOKUP($S$13,角色设定!$AB$9:$AJ$21,MATCH(V$17,角色设定!$AB$9:$AJ$9,0),0)*G77*$L$15</f>
        <v>66711.378193296288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T77*战斗公式!$E$39*(1+W77*(X77-1))*Y77</f>
        <v>225150.90140237493</v>
      </c>
      <c r="AD77" s="6">
        <f>U77*战斗公式!$E$41*(1+V77*战斗公式!$E$40)</f>
        <v>296495.01419242792</v>
      </c>
      <c r="AE77" s="22">
        <f t="shared" si="12"/>
        <v>521645.91559480282</v>
      </c>
      <c r="AF77" s="22">
        <f t="shared" si="16"/>
        <v>24840.281694990583</v>
      </c>
      <c r="AG77" s="22"/>
      <c r="AH77" s="9">
        <f t="shared" si="13"/>
        <v>2334.8982367653698</v>
      </c>
      <c r="AI77" s="9">
        <f t="shared" si="14"/>
        <v>49797.80316951283</v>
      </c>
      <c r="AJ77" s="9">
        <f t="shared" si="15"/>
        <v>18679.185894122962</v>
      </c>
      <c r="AK77" s="9">
        <f t="shared" si="17"/>
        <v>111.18563032216025</v>
      </c>
      <c r="AL77" s="9">
        <f t="shared" si="18"/>
        <v>1450.0437796689075</v>
      </c>
      <c r="AM77" s="9">
        <f t="shared" si="19"/>
        <v>889.48504257728564</v>
      </c>
    </row>
    <row r="78" spans="4:39" ht="14.25" customHeight="1" x14ac:dyDescent="0.2">
      <c r="D78" s="1">
        <v>61</v>
      </c>
      <c r="E78" s="6">
        <f t="shared" si="26"/>
        <v>136.98069655690171</v>
      </c>
      <c r="F78" s="6">
        <f t="shared" si="26"/>
        <v>1151.8831301375824</v>
      </c>
      <c r="G78" s="6">
        <f t="shared" si="26"/>
        <v>105.84872006669677</v>
      </c>
      <c r="H78" s="6">
        <v>0.4</v>
      </c>
      <c r="I78" s="6">
        <v>1.5</v>
      </c>
      <c r="J78" s="6">
        <v>1</v>
      </c>
      <c r="K78" s="26">
        <f t="shared" si="8"/>
        <v>1.04285548738254</v>
      </c>
      <c r="L78" s="6">
        <f t="shared" si="20"/>
        <v>11985.810948728898</v>
      </c>
      <c r="M78" s="6">
        <f t="shared" si="21"/>
        <v>149108.1148568966</v>
      </c>
      <c r="N78" s="6">
        <f t="shared" si="22"/>
        <v>15877.308010004515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8">
        <v>61</v>
      </c>
      <c r="T78" s="6">
        <f>VLOOKUP($S$13,角色设定!$AB$9:$AJ$21,MATCH(E$17,角色设定!$AB$9:$AJ$9,0),0)*Z78*$L$15*E78/Y78/(1+W78*(X78-1))</f>
        <v>8755.8683878701377</v>
      </c>
      <c r="U78" s="6">
        <f>VLOOKUP($S$13,角色设定!$AB$9:$AJ$21,MATCH(F$17,角色设定!$AB$9:$AJ$9,0),0)*F78*$L$15/(1+V78/$N$16)</f>
        <v>183078.71455848572</v>
      </c>
      <c r="V78" s="6">
        <f>VLOOKUP($S$13,角色设定!$AB$9:$AJ$21,MATCH(V$17,角色设定!$AB$9:$AJ$9,0),0)*G78*$L$15</f>
        <v>70046.947102961087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T78*战斗公式!$E$39*(1+W78*(X78-1))*Y78</f>
        <v>236408.44647249373</v>
      </c>
      <c r="AD78" s="6">
        <f>U78*战斗公式!$E$41*(1+V78*战斗公式!$E$40)</f>
        <v>311319.76490204933</v>
      </c>
      <c r="AE78" s="22">
        <f t="shared" si="12"/>
        <v>547728.21137454303</v>
      </c>
      <c r="AF78" s="22">
        <f t="shared" si="16"/>
        <v>26082.295779740205</v>
      </c>
      <c r="AG78" s="22"/>
      <c r="AH78" s="9">
        <f t="shared" si="13"/>
        <v>2451.6431486036386</v>
      </c>
      <c r="AI78" s="9">
        <f t="shared" si="14"/>
        <v>51262.040076376004</v>
      </c>
      <c r="AJ78" s="9">
        <f t="shared" si="15"/>
        <v>19613.145188829105</v>
      </c>
      <c r="AK78" s="9">
        <f t="shared" si="17"/>
        <v>116.74491183826876</v>
      </c>
      <c r="AL78" s="9">
        <f t="shared" si="18"/>
        <v>1464.2369068631742</v>
      </c>
      <c r="AM78" s="9">
        <f t="shared" si="19"/>
        <v>933.95929470614283</v>
      </c>
    </row>
    <row r="79" spans="4:39" ht="14.25" customHeight="1" x14ac:dyDescent="0.2">
      <c r="D79" s="1">
        <v>62</v>
      </c>
      <c r="E79" s="6">
        <f t="shared" si="26"/>
        <v>143.82973138474682</v>
      </c>
      <c r="F79" s="6">
        <f t="shared" si="26"/>
        <v>1209.4772866444619</v>
      </c>
      <c r="G79" s="6">
        <f t="shared" si="26"/>
        <v>111.14115607003164</v>
      </c>
      <c r="H79" s="6">
        <v>0.4</v>
      </c>
      <c r="I79" s="6">
        <v>1.5</v>
      </c>
      <c r="J79" s="6">
        <v>1</v>
      </c>
      <c r="K79" s="26">
        <f t="shared" si="8"/>
        <v>1.042551477812417</v>
      </c>
      <c r="L79" s="6">
        <f t="shared" si="20"/>
        <v>12585.101496165349</v>
      </c>
      <c r="M79" s="6">
        <f t="shared" si="21"/>
        <v>155498.21579178065</v>
      </c>
      <c r="N79" s="6">
        <f t="shared" si="22"/>
        <v>16671.173410504747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8">
        <v>62</v>
      </c>
      <c r="T79" s="6">
        <f>VLOOKUP($S$13,角色设定!$AB$9:$AJ$21,MATCH(E$17,角色设定!$AB$9:$AJ$9,0),0)*Z79*$L$15*E79/Y79/(1+W79*(X79-1))</f>
        <v>9193.6618072636447</v>
      </c>
      <c r="U79" s="6">
        <f>VLOOKUP($S$13,角色设定!$AB$9:$AJ$21,MATCH(F$17,角色设定!$AB$9:$AJ$9,0),0)*F79*$L$15/(1+V79/$N$16)</f>
        <v>188353.25961296525</v>
      </c>
      <c r="V79" s="6">
        <f>VLOOKUP($S$13,角色设定!$AB$9:$AJ$21,MATCH(V$17,角色设定!$AB$9:$AJ$9,0),0)*G79*$L$15</f>
        <v>73549.294458109158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T79*战斗公式!$E$39*(1+W79*(X79-1))*Y79</f>
        <v>248228.86879611842</v>
      </c>
      <c r="AD79" s="6">
        <f>U79*战斗公式!$E$41*(1+V79*战斗公式!$E$40)</f>
        <v>326885.75314715185</v>
      </c>
      <c r="AE79" s="22">
        <f t="shared" si="12"/>
        <v>575114.62194327032</v>
      </c>
      <c r="AF79" s="22">
        <f t="shared" si="16"/>
        <v>27386.410568727297</v>
      </c>
      <c r="AG79" s="22"/>
      <c r="AH79" s="9">
        <f t="shared" si="13"/>
        <v>2574.2253060338207</v>
      </c>
      <c r="AI79" s="9">
        <f t="shared" si="14"/>
        <v>52738.912691630278</v>
      </c>
      <c r="AJ79" s="9">
        <f t="shared" si="15"/>
        <v>20593.802448270566</v>
      </c>
      <c r="AK79" s="9">
        <f t="shared" si="17"/>
        <v>122.58215743018218</v>
      </c>
      <c r="AL79" s="9">
        <f t="shared" si="18"/>
        <v>1476.8726152542731</v>
      </c>
      <c r="AM79" s="9">
        <f t="shared" si="19"/>
        <v>980.65725944146106</v>
      </c>
    </row>
    <row r="80" spans="4:39" ht="14.25" customHeight="1" x14ac:dyDescent="0.2">
      <c r="D80" s="1">
        <v>63</v>
      </c>
      <c r="E80" s="6">
        <f t="shared" si="26"/>
        <v>151.02121795398409</v>
      </c>
      <c r="F80" s="6">
        <f t="shared" si="26"/>
        <v>1269.9511509766844</v>
      </c>
      <c r="G80" s="6">
        <f t="shared" si="26"/>
        <v>116.69821387353318</v>
      </c>
      <c r="H80" s="6">
        <v>0.4</v>
      </c>
      <c r="I80" s="6">
        <v>1.5</v>
      </c>
      <c r="J80" s="6">
        <v>1</v>
      </c>
      <c r="K80" s="26">
        <f t="shared" si="8"/>
        <v>1.0422368755080618</v>
      </c>
      <c r="L80" s="6">
        <f t="shared" si="20"/>
        <v>13214.356570973607</v>
      </c>
      <c r="M80" s="6">
        <f t="shared" si="21"/>
        <v>162114.89467091503</v>
      </c>
      <c r="N80" s="6">
        <f t="shared" si="22"/>
        <v>17504.732081029975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8">
        <v>63</v>
      </c>
      <c r="T80" s="6">
        <f>VLOOKUP($S$13,角色设定!$AB$9:$AJ$21,MATCH(E$17,角色设定!$AB$9:$AJ$9,0),0)*Z80*$L$15*E80/Y80/(1+W80*(X80-1))</f>
        <v>9653.3448976268246</v>
      </c>
      <c r="U80" s="6">
        <f>VLOOKUP($S$13,角色设定!$AB$9:$AJ$21,MATCH(F$17,角色设定!$AB$9:$AJ$9,0),0)*F80*$L$15/(1+V80/$N$16)</f>
        <v>193667.16538214381</v>
      </c>
      <c r="V80" s="6">
        <f>VLOOKUP($S$13,角色设定!$AB$9:$AJ$21,MATCH(V$17,角色设定!$AB$9:$AJ$9,0),0)*G80*$L$15</f>
        <v>77226.759181014597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T80*战斗公式!$E$39*(1+W80*(X80-1))*Y80</f>
        <v>260640.31223592424</v>
      </c>
      <c r="AD80" s="6">
        <f>U80*战斗公式!$E$41*(1+V80*战斗公式!$E$40)</f>
        <v>343230.04080450931</v>
      </c>
      <c r="AE80" s="22">
        <f t="shared" si="12"/>
        <v>603870.35304043349</v>
      </c>
      <c r="AF80" s="22">
        <f t="shared" si="16"/>
        <v>28755.731097163167</v>
      </c>
      <c r="AG80" s="22"/>
      <c r="AH80" s="9">
        <f t="shared" si="13"/>
        <v>2702.936571335511</v>
      </c>
      <c r="AI80" s="9">
        <f t="shared" si="14"/>
        <v>54226.806307000268</v>
      </c>
      <c r="AJ80" s="9">
        <f t="shared" si="15"/>
        <v>21623.492570684088</v>
      </c>
      <c r="AK80" s="9">
        <f t="shared" si="17"/>
        <v>128.71126530169022</v>
      </c>
      <c r="AL80" s="9">
        <f t="shared" si="18"/>
        <v>1487.8936153699906</v>
      </c>
      <c r="AM80" s="9">
        <f t="shared" si="19"/>
        <v>1029.6901224135217</v>
      </c>
    </row>
    <row r="81" spans="4:39" ht="14.25" customHeight="1" x14ac:dyDescent="0.2">
      <c r="D81" s="1">
        <v>64</v>
      </c>
      <c r="E81" s="6">
        <f t="shared" si="26"/>
        <v>158.57227885168336</v>
      </c>
      <c r="F81" s="6">
        <f t="shared" si="26"/>
        <v>1333.4487085255191</v>
      </c>
      <c r="G81" s="6">
        <f t="shared" si="26"/>
        <v>122.53312456720988</v>
      </c>
      <c r="H81" s="6">
        <v>0.4</v>
      </c>
      <c r="I81" s="6">
        <v>1.5</v>
      </c>
      <c r="J81" s="6">
        <v>1</v>
      </c>
      <c r="K81" s="26">
        <f t="shared" si="8"/>
        <v>1.0419115112287476</v>
      </c>
      <c r="L81" s="6">
        <f t="shared" si="20"/>
        <v>13875.074399522295</v>
      </c>
      <c r="M81" s="6">
        <f t="shared" si="21"/>
        <v>168962.12129513302</v>
      </c>
      <c r="N81" s="6">
        <f t="shared" si="22"/>
        <v>18379.968685081483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8">
        <v>64</v>
      </c>
      <c r="T81" s="6">
        <f>VLOOKUP($S$13,角色设定!$AB$9:$AJ$21,MATCH(E$17,角色设定!$AB$9:$AJ$9,0),0)*Z81*$L$15*E81/Y81/(1+W81*(X81-1))</f>
        <v>10136.012142508169</v>
      </c>
      <c r="U81" s="6">
        <f>VLOOKUP($S$13,角色设定!$AB$9:$AJ$21,MATCH(F$17,角色设定!$AB$9:$AJ$9,0),0)*F81*$L$15/(1+V81/$N$16)</f>
        <v>199014.48440644034</v>
      </c>
      <c r="V81" s="6">
        <f>VLOOKUP($S$13,角色设定!$AB$9:$AJ$21,MATCH(V$17,角色设定!$AB$9:$AJ$9,0),0)*G81*$L$15</f>
        <v>81088.097140065351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T81*战斗公式!$E$39*(1+W81*(X81-1))*Y81</f>
        <v>273672.32784772053</v>
      </c>
      <c r="AD81" s="6">
        <f>U81*战斗公式!$E$41*(1+V81*战斗公式!$E$40)</f>
        <v>360391.54284473497</v>
      </c>
      <c r="AE81" s="22">
        <f t="shared" si="12"/>
        <v>634063.87069245544</v>
      </c>
      <c r="AF81" s="22">
        <f t="shared" si="16"/>
        <v>30193.517652021954</v>
      </c>
      <c r="AG81" s="22"/>
      <c r="AH81" s="9">
        <f t="shared" si="13"/>
        <v>2838.0833999022875</v>
      </c>
      <c r="AI81" s="9">
        <f t="shared" si="14"/>
        <v>55724.055633803298</v>
      </c>
      <c r="AJ81" s="9">
        <f t="shared" si="15"/>
        <v>22704.6671992183</v>
      </c>
      <c r="AK81" s="9">
        <f t="shared" si="17"/>
        <v>135.14682856677655</v>
      </c>
      <c r="AL81" s="9">
        <f t="shared" si="18"/>
        <v>1497.2493268030303</v>
      </c>
      <c r="AM81" s="9">
        <f t="shared" si="19"/>
        <v>1081.1746285342124</v>
      </c>
    </row>
    <row r="82" spans="4:39" ht="14.25" customHeight="1" x14ac:dyDescent="0.2">
      <c r="D82" s="1">
        <v>65</v>
      </c>
      <c r="E82" s="6">
        <f t="shared" si="26"/>
        <v>166.50089279426751</v>
      </c>
      <c r="F82" s="6">
        <f t="shared" si="26"/>
        <v>1400.1211439517951</v>
      </c>
      <c r="G82" s="6">
        <f t="shared" si="26"/>
        <v>128.65978079557036</v>
      </c>
      <c r="H82" s="6">
        <v>0.4</v>
      </c>
      <c r="I82" s="6">
        <v>1.5</v>
      </c>
      <c r="J82" s="6">
        <v>1</v>
      </c>
      <c r="K82" s="26">
        <f t="shared" si="8"/>
        <v>1.0415752304441379</v>
      </c>
      <c r="L82" s="6">
        <f t="shared" ref="L82:L117" si="27">E82*$L$16/J82/(1+H82*(I82-1))*$L$15</f>
        <v>14568.828119498407</v>
      </c>
      <c r="M82" s="6">
        <f t="shared" ref="M82:M113" si="28">F82/(1+N82/$N$16)*$L$15</f>
        <v>176043.57913902699</v>
      </c>
      <c r="N82" s="6">
        <f t="shared" ref="N82:N117" si="29">G82*$L$15</f>
        <v>19298.967119335553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10642.812749633576</v>
      </c>
      <c r="U82" s="6">
        <f>VLOOKUP($S$13,角色设定!$AB$9:$AJ$21,MATCH(F$17,角色设定!$AB$9:$AJ$9,0),0)*F82*$L$15/(1+V82/$N$16)</f>
        <v>204389.11427963912</v>
      </c>
      <c r="V82" s="6">
        <f>VLOOKUP($S$13,角色设定!$AB$9:$AJ$21,MATCH(V$17,角色设定!$AB$9:$AJ$9,0),0)*G82*$L$15</f>
        <v>85142.501997068612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T82*战斗公式!$E$39*(1+W82*(X82-1))*Y82</f>
        <v>287355.94424010662</v>
      </c>
      <c r="AD82" s="6">
        <f>U82*战斗公式!$E$41*(1+V82*战斗公式!$E$40)</f>
        <v>378411.11998697172</v>
      </c>
      <c r="AE82" s="22">
        <f t="shared" si="12"/>
        <v>665767.06422707834</v>
      </c>
      <c r="AF82" s="22">
        <f t="shared" si="16"/>
        <v>31703.1935346229</v>
      </c>
      <c r="AG82" s="22"/>
      <c r="AH82" s="9">
        <f t="shared" si="13"/>
        <v>2979.9875698974015</v>
      </c>
      <c r="AI82" s="9">
        <f t="shared" si="14"/>
        <v>57228.951998298959</v>
      </c>
      <c r="AJ82" s="9">
        <f t="shared" si="15"/>
        <v>23839.900559179212</v>
      </c>
      <c r="AK82" s="9">
        <f t="shared" si="17"/>
        <v>141.90416999511399</v>
      </c>
      <c r="AL82" s="9">
        <f t="shared" si="18"/>
        <v>1504.8963644956602</v>
      </c>
      <c r="AM82" s="9">
        <f t="shared" si="19"/>
        <v>1135.2333599609119</v>
      </c>
    </row>
    <row r="83" spans="4:39" ht="14.25" customHeight="1" x14ac:dyDescent="0.2">
      <c r="D83" s="1">
        <v>66</v>
      </c>
      <c r="E83" s="6">
        <f t="shared" ref="E83:G117" si="33">E$15*E$16^($D83-1)</f>
        <v>174.82593743398093</v>
      </c>
      <c r="F83" s="6">
        <f t="shared" si="33"/>
        <v>1470.127201149385</v>
      </c>
      <c r="G83" s="6">
        <f t="shared" si="33"/>
        <v>135.09276983534889</v>
      </c>
      <c r="H83" s="6">
        <v>0.4</v>
      </c>
      <c r="I83" s="6">
        <v>1.5</v>
      </c>
      <c r="J83" s="6">
        <v>1</v>
      </c>
      <c r="K83" s="26">
        <f t="shared" ref="K83:K115" si="34">M84/M83</f>
        <v>1.0412278949300784</v>
      </c>
      <c r="L83" s="6">
        <f t="shared" si="27"/>
        <v>15297.26952547333</v>
      </c>
      <c r="M83" s="6">
        <f t="shared" si="28"/>
        <v>183362.63150994285</v>
      </c>
      <c r="N83" s="6">
        <f t="shared" si="29"/>
        <v>20263.915475302332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8">
        <v>66</v>
      </c>
      <c r="T83" s="6">
        <f>VLOOKUP($S$13,角色设定!$AB$9:$AJ$21,MATCH(E$17,角色设定!$AB$9:$AJ$9,0),0)*Z83*$L$15*E83/Y83/(1+W83*(X83-1))</f>
        <v>11174.953387115258</v>
      </c>
      <c r="U83" s="6">
        <f>VLOOKUP($S$13,角色设定!$AB$9:$AJ$21,MATCH(F$17,角色设定!$AB$9:$AJ$9,0),0)*F83*$L$15/(1+V83/$N$16)</f>
        <v>209784.82485765009</v>
      </c>
      <c r="V83" s="6">
        <f>VLOOKUP($S$13,角色设定!$AB$9:$AJ$21,MATCH(V$17,角色设定!$AB$9:$AJ$9,0),0)*G83*$L$15</f>
        <v>89399.62709692205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T83*战斗公式!$E$39*(1+W83*(X83-1))*Y83</f>
        <v>301723.74145211198</v>
      </c>
      <c r="AD83" s="6">
        <f>U83*战斗公式!$E$41*(1+V83*战斗公式!$E$40)</f>
        <v>397331.6759863203</v>
      </c>
      <c r="AE83" s="22">
        <f t="shared" ref="AE83:AE117" si="35">AC83+AD83</f>
        <v>699055.41743843234</v>
      </c>
      <c r="AF83" s="22">
        <f t="shared" si="16"/>
        <v>33288.353211353999</v>
      </c>
      <c r="AG83" s="22"/>
      <c r="AH83" s="9">
        <f t="shared" ref="AH83:AH117" si="36">T83*$F$5</f>
        <v>3128.9869483922726</v>
      </c>
      <c r="AI83" s="9">
        <f t="shared" ref="AI83:AI117" si="37">U83*$F$5</f>
        <v>58739.750960142032</v>
      </c>
      <c r="AJ83" s="9">
        <f t="shared" ref="AJ83:AJ117" si="38">V83*$F$5</f>
        <v>25031.895587138177</v>
      </c>
      <c r="AK83" s="9">
        <f t="shared" si="17"/>
        <v>148.99937849487105</v>
      </c>
      <c r="AL83" s="9">
        <f t="shared" si="18"/>
        <v>1510.7989618430729</v>
      </c>
      <c r="AM83" s="9">
        <f t="shared" si="19"/>
        <v>1191.9950279589648</v>
      </c>
    </row>
    <row r="84" spans="4:39" ht="14.25" customHeight="1" x14ac:dyDescent="0.2">
      <c r="D84" s="1">
        <v>67</v>
      </c>
      <c r="E84" s="6">
        <f t="shared" si="33"/>
        <v>183.56723430567996</v>
      </c>
      <c r="F84" s="6">
        <f t="shared" si="33"/>
        <v>1543.6335612068542</v>
      </c>
      <c r="G84" s="6">
        <f t="shared" si="33"/>
        <v>141.84740832711634</v>
      </c>
      <c r="H84" s="6">
        <v>0.4</v>
      </c>
      <c r="I84" s="6">
        <v>1.5</v>
      </c>
      <c r="J84" s="6">
        <v>1</v>
      </c>
      <c r="K84" s="26">
        <f t="shared" si="34"/>
        <v>1.040869384396014</v>
      </c>
      <c r="L84" s="6">
        <f t="shared" si="27"/>
        <v>16062.133001746997</v>
      </c>
      <c r="M84" s="6">
        <f t="shared" si="28"/>
        <v>190922.28681593746</v>
      </c>
      <c r="N84" s="6">
        <f t="shared" si="29"/>
        <v>21277.11124906745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8">
        <v>67</v>
      </c>
      <c r="T84" s="6">
        <f>VLOOKUP($S$13,角色设定!$AB$9:$AJ$21,MATCH(E$17,角色设定!$AB$9:$AJ$9,0),0)*Z84*$L$15*E84/Y84/(1+W84*(X84-1))</f>
        <v>11733.70105647102</v>
      </c>
      <c r="U84" s="6">
        <f>VLOOKUP($S$13,角色设定!$AB$9:$AJ$21,MATCH(F$17,角色设定!$AB$9:$AJ$9,0),0)*F84*$L$15/(1+V84/$N$16)</f>
        <v>215195.286727692</v>
      </c>
      <c r="V84" s="6">
        <f>VLOOKUP($S$13,角色设定!$AB$9:$AJ$21,MATCH(V$17,角色设定!$AB$9:$AJ$9,0),0)*G84*$L$15</f>
        <v>93869.608451768159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T84*战斗公式!$E$39*(1+W84*(X84-1))*Y84</f>
        <v>316809.92852471751</v>
      </c>
      <c r="AD84" s="6">
        <f>U84*战斗公式!$E$41*(1+V84*战斗公式!$E$40)</f>
        <v>417198.25978563633</v>
      </c>
      <c r="AE84" s="22">
        <f t="shared" si="35"/>
        <v>734008.18831035378</v>
      </c>
      <c r="AF84" s="22">
        <f t="shared" ref="AF84:AF117" si="39">AE84-AE83</f>
        <v>34952.770871921442</v>
      </c>
      <c r="AG84" s="22"/>
      <c r="AH84" s="9">
        <f t="shared" si="36"/>
        <v>3285.4362958118859</v>
      </c>
      <c r="AI84" s="9">
        <f t="shared" si="37"/>
        <v>60254.680283753769</v>
      </c>
      <c r="AJ84" s="9">
        <f t="shared" si="38"/>
        <v>26283.490366495087</v>
      </c>
      <c r="AK84" s="9">
        <f t="shared" ref="AK84:AK118" si="40">AH84-AH83</f>
        <v>156.44934741961333</v>
      </c>
      <c r="AL84" s="9">
        <f t="shared" ref="AL84:AL118" si="41">AI84-AI83</f>
        <v>1514.9293236117373</v>
      </c>
      <c r="AM84" s="9">
        <f t="shared" ref="AM84:AM118" si="42">AJ84-AJ83</f>
        <v>1251.5947793569103</v>
      </c>
    </row>
    <row r="85" spans="4:39" ht="14.25" customHeight="1" x14ac:dyDescent="0.2">
      <c r="D85" s="1">
        <v>68</v>
      </c>
      <c r="E85" s="6">
        <f t="shared" si="33"/>
        <v>192.74559602096397</v>
      </c>
      <c r="F85" s="6">
        <f t="shared" si="33"/>
        <v>1620.8152392671971</v>
      </c>
      <c r="G85" s="6">
        <f t="shared" si="33"/>
        <v>148.93977874347217</v>
      </c>
      <c r="H85" s="6">
        <v>0.4</v>
      </c>
      <c r="I85" s="6">
        <v>1.5</v>
      </c>
      <c r="J85" s="6">
        <v>1</v>
      </c>
      <c r="K85" s="26">
        <f t="shared" si="34"/>
        <v>1.0404995981333418</v>
      </c>
      <c r="L85" s="6">
        <f t="shared" si="27"/>
        <v>16865.239651834348</v>
      </c>
      <c r="M85" s="6">
        <f t="shared" si="28"/>
        <v>198725.16314558403</v>
      </c>
      <c r="N85" s="6">
        <f t="shared" si="29"/>
        <v>22340.966811520826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8">
        <v>68</v>
      </c>
      <c r="T85" s="6">
        <f>VLOOKUP($S$13,角色设定!$AB$9:$AJ$21,MATCH(E$17,角色设定!$AB$9:$AJ$9,0),0)*Z85*$L$15*E85/Y85/(1+W85*(X85-1))</f>
        <v>12320.386109294572</v>
      </c>
      <c r="U85" s="6">
        <f>VLOOKUP($S$13,角色设定!$AB$9:$AJ$21,MATCH(F$17,角色设定!$AB$9:$AJ$9,0),0)*F85*$L$15/(1+V85/$N$16)</f>
        <v>220614.10066606352</v>
      </c>
      <c r="V85" s="6">
        <f>VLOOKUP($S$13,角色设定!$AB$9:$AJ$21,MATCH(V$17,角色设定!$AB$9:$AJ$9,0),0)*G85*$L$15</f>
        <v>98563.088874356559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T85*战斗公式!$E$39*(1+W85*(X85-1))*Y85</f>
        <v>332650.42495095346</v>
      </c>
      <c r="AD85" s="6">
        <f>U85*战斗公式!$E$41*(1+V85*战斗公式!$E$40)</f>
        <v>438058.17277491814</v>
      </c>
      <c r="AE85" s="22">
        <f t="shared" si="35"/>
        <v>770708.5977258716</v>
      </c>
      <c r="AF85" s="22">
        <f t="shared" si="39"/>
        <v>36700.409415517817</v>
      </c>
      <c r="AG85" s="22"/>
      <c r="AH85" s="9">
        <f t="shared" si="36"/>
        <v>3449.7081106024802</v>
      </c>
      <c r="AI85" s="9">
        <f t="shared" si="37"/>
        <v>61771.948186497793</v>
      </c>
      <c r="AJ85" s="9">
        <f t="shared" si="38"/>
        <v>27597.664884819838</v>
      </c>
      <c r="AK85" s="9">
        <f t="shared" si="40"/>
        <v>164.27181479059436</v>
      </c>
      <c r="AL85" s="9">
        <f t="shared" si="41"/>
        <v>1517.2679027440245</v>
      </c>
      <c r="AM85" s="9">
        <f t="shared" si="42"/>
        <v>1314.1745183247513</v>
      </c>
    </row>
    <row r="86" spans="4:39" ht="14.25" customHeight="1" x14ac:dyDescent="0.2">
      <c r="D86" s="1">
        <v>69</v>
      </c>
      <c r="E86" s="6">
        <f t="shared" si="33"/>
        <v>202.38287582201215</v>
      </c>
      <c r="F86" s="6">
        <f t="shared" si="33"/>
        <v>1701.8560012305566</v>
      </c>
      <c r="G86" s="6">
        <f t="shared" si="33"/>
        <v>156.38676768064576</v>
      </c>
      <c r="H86" s="6">
        <v>0.4</v>
      </c>
      <c r="I86" s="6">
        <v>1.5</v>
      </c>
      <c r="J86" s="6">
        <v>1</v>
      </c>
      <c r="K86" s="26">
        <f t="shared" si="34"/>
        <v>1.040118456672682</v>
      </c>
      <c r="L86" s="6">
        <f t="shared" si="27"/>
        <v>17708.501634426066</v>
      </c>
      <c r="M86" s="6">
        <f t="shared" si="28"/>
        <v>206773.45239196299</v>
      </c>
      <c r="N86" s="6">
        <f t="shared" si="29"/>
        <v>23458.015152096865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8">
        <v>69</v>
      </c>
      <c r="T86" s="6">
        <f>VLOOKUP($S$13,角色设定!$AB$9:$AJ$21,MATCH(E$17,角色设定!$AB$9:$AJ$9,0),0)*Z86*$L$15*E86/Y86/(1+W86*(X86-1))</f>
        <v>12936.4054147593</v>
      </c>
      <c r="U86" s="6">
        <f>VLOOKUP($S$13,角色设定!$AB$9:$AJ$21,MATCH(F$17,角色设定!$AB$9:$AJ$9,0),0)*F86*$L$15/(1+V86/$N$16)</f>
        <v>226034.82779585998</v>
      </c>
      <c r="V86" s="6">
        <f>VLOOKUP($S$13,角色设定!$AB$9:$AJ$21,MATCH(V$17,角色设定!$AB$9:$AJ$9,0),0)*G86*$L$15</f>
        <v>103491.2433180744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T86*战斗公式!$E$39*(1+W86*(X86-1))*Y86</f>
        <v>349282.9461985011</v>
      </c>
      <c r="AD86" s="6">
        <f>U86*战斗公式!$E$41*(1+V86*战斗公式!$E$40)</f>
        <v>459961.08141366392</v>
      </c>
      <c r="AE86" s="22">
        <f t="shared" si="35"/>
        <v>809244.02761216508</v>
      </c>
      <c r="AF86" s="22">
        <f t="shared" si="39"/>
        <v>38535.429886293481</v>
      </c>
      <c r="AG86" s="22"/>
      <c r="AH86" s="9">
        <f t="shared" si="36"/>
        <v>3622.1935161326041</v>
      </c>
      <c r="AI86" s="9">
        <f t="shared" si="37"/>
        <v>63289.751782840802</v>
      </c>
      <c r="AJ86" s="9">
        <f t="shared" si="38"/>
        <v>28977.548129060833</v>
      </c>
      <c r="AK86" s="9">
        <f t="shared" si="40"/>
        <v>172.4854055301239</v>
      </c>
      <c r="AL86" s="9">
        <f t="shared" si="41"/>
        <v>1517.8035963430084</v>
      </c>
      <c r="AM86" s="9">
        <f t="shared" si="42"/>
        <v>1379.8832442409948</v>
      </c>
    </row>
    <row r="87" spans="4:39" ht="14.25" customHeight="1" x14ac:dyDescent="0.2">
      <c r="D87" s="1">
        <v>70</v>
      </c>
      <c r="E87" s="6">
        <f t="shared" si="33"/>
        <v>212.50201961311276</v>
      </c>
      <c r="F87" s="6">
        <f t="shared" si="33"/>
        <v>1786.9488012920845</v>
      </c>
      <c r="G87" s="6">
        <f t="shared" si="33"/>
        <v>164.20610606467807</v>
      </c>
      <c r="H87" s="6">
        <v>0.4</v>
      </c>
      <c r="I87" s="6">
        <v>1.5</v>
      </c>
      <c r="J87" s="6">
        <v>1</v>
      </c>
      <c r="K87" s="26">
        <f t="shared" si="34"/>
        <v>1.0397259034366553</v>
      </c>
      <c r="L87" s="6">
        <f t="shared" si="27"/>
        <v>18593.926716147365</v>
      </c>
      <c r="M87" s="6">
        <f t="shared" si="28"/>
        <v>215068.88418281081</v>
      </c>
      <c r="N87" s="6">
        <f t="shared" si="29"/>
        <v>24630.915909701711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8">
        <v>70</v>
      </c>
      <c r="T87" s="6">
        <f>VLOOKUP($S$13,角色设定!$AB$9:$AJ$21,MATCH(E$17,角色设定!$AB$9:$AJ$9,0),0)*Z87*$L$15*E87/Y87/(1+W87*(X87-1))</f>
        <v>13583.225685497264</v>
      </c>
      <c r="U87" s="6">
        <f>VLOOKUP($S$13,角色设定!$AB$9:$AJ$21,MATCH(F$17,角色设定!$AB$9:$AJ$9,0),0)*F87*$L$15/(1+V87/$N$16)</f>
        <v>231451.02014399285</v>
      </c>
      <c r="V87" s="6">
        <f>VLOOKUP($S$13,角色设定!$AB$9:$AJ$21,MATCH(V$17,角色设定!$AB$9:$AJ$9,0),0)*G87*$L$15</f>
        <v>108665.80548397813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T87*战斗公式!$E$39*(1+W87*(X87-1))*Y87</f>
        <v>366747.0935084261</v>
      </c>
      <c r="AD87" s="6">
        <f>U87*战斗公式!$E$41*(1+V87*战斗公式!$E$40)</f>
        <v>482959.13548434718</v>
      </c>
      <c r="AE87" s="22">
        <f t="shared" si="35"/>
        <v>849706.22899277322</v>
      </c>
      <c r="AF87" s="22">
        <f t="shared" si="39"/>
        <v>40462.201380608138</v>
      </c>
      <c r="AG87" s="22"/>
      <c r="AH87" s="9">
        <f t="shared" si="36"/>
        <v>3803.3031919392342</v>
      </c>
      <c r="AI87" s="9">
        <f t="shared" si="37"/>
        <v>64806.285640318005</v>
      </c>
      <c r="AJ87" s="9">
        <f t="shared" si="38"/>
        <v>30426.425535513878</v>
      </c>
      <c r="AK87" s="9">
        <f t="shared" si="40"/>
        <v>181.10967580663009</v>
      </c>
      <c r="AL87" s="9">
        <f t="shared" si="41"/>
        <v>1516.5338574772031</v>
      </c>
      <c r="AM87" s="9">
        <f t="shared" si="42"/>
        <v>1448.8774064530444</v>
      </c>
    </row>
    <row r="88" spans="4:39" ht="14.25" customHeight="1" x14ac:dyDescent="0.2">
      <c r="D88" s="1">
        <v>71</v>
      </c>
      <c r="E88" s="6">
        <f t="shared" si="33"/>
        <v>223.12712059376838</v>
      </c>
      <c r="F88" s="6">
        <f t="shared" si="33"/>
        <v>1876.2962413566886</v>
      </c>
      <c r="G88" s="6">
        <f t="shared" si="33"/>
        <v>172.41641136791193</v>
      </c>
      <c r="H88" s="6">
        <v>0.4</v>
      </c>
      <c r="I88" s="6">
        <v>1.5</v>
      </c>
      <c r="J88" s="6">
        <v>1</v>
      </c>
      <c r="K88" s="26">
        <f t="shared" si="34"/>
        <v>1.0393219063735195</v>
      </c>
      <c r="L88" s="6">
        <f t="shared" si="27"/>
        <v>19523.623051954732</v>
      </c>
      <c r="M88" s="6">
        <f t="shared" si="28"/>
        <v>223612.68990808635</v>
      </c>
      <c r="N88" s="6">
        <f t="shared" si="29"/>
        <v>25862.46170518679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8">
        <v>71</v>
      </c>
      <c r="T88" s="6">
        <f>VLOOKUP($S$13,角色设定!$AB$9:$AJ$21,MATCH(E$17,角色设定!$AB$9:$AJ$9,0),0)*Z88*$L$15*E88/Y88/(1+W88*(X88-1))</f>
        <v>14262.386969772127</v>
      </c>
      <c r="U88" s="6">
        <f>VLOOKUP($S$13,角色设定!$AB$9:$AJ$21,MATCH(F$17,角色设定!$AB$9:$AJ$9,0),0)*F88*$L$15/(1+V88/$N$16)</f>
        <v>236856.25128998089</v>
      </c>
      <c r="V88" s="6">
        <f>VLOOKUP($S$13,角色设定!$AB$9:$AJ$21,MATCH(V$17,角色设定!$AB$9:$AJ$9,0),0)*G88*$L$15</f>
        <v>114099.09575817701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T88*战斗公式!$E$39*(1+W88*(X88-1))*Y88</f>
        <v>385084.44818384742</v>
      </c>
      <c r="AD88" s="6">
        <f>U88*战斗公式!$E$41*(1+V88*战斗公式!$E$40)</f>
        <v>507107.09225856449</v>
      </c>
      <c r="AE88" s="22">
        <f t="shared" si="35"/>
        <v>892191.5404424119</v>
      </c>
      <c r="AF88" s="22">
        <f t="shared" si="39"/>
        <v>42485.311449638684</v>
      </c>
      <c r="AG88" s="22"/>
      <c r="AH88" s="9">
        <f t="shared" si="36"/>
        <v>3993.4683515361962</v>
      </c>
      <c r="AI88" s="9">
        <f t="shared" si="37"/>
        <v>66319.750361194659</v>
      </c>
      <c r="AJ88" s="9">
        <f t="shared" si="38"/>
        <v>31947.746812289566</v>
      </c>
      <c r="AK88" s="9">
        <f t="shared" si="40"/>
        <v>190.16515959696198</v>
      </c>
      <c r="AL88" s="9">
        <f t="shared" si="41"/>
        <v>1513.4647208766546</v>
      </c>
      <c r="AM88" s="9">
        <f t="shared" si="42"/>
        <v>1521.3212767756886</v>
      </c>
    </row>
    <row r="89" spans="4:39" ht="14.25" customHeight="1" x14ac:dyDescent="0.2">
      <c r="D89" s="1">
        <v>72</v>
      </c>
      <c r="E89" s="6">
        <f t="shared" si="33"/>
        <v>234.28347662345683</v>
      </c>
      <c r="F89" s="6">
        <f t="shared" si="33"/>
        <v>1970.1110534245233</v>
      </c>
      <c r="G89" s="6">
        <f t="shared" si="33"/>
        <v>181.03723193630756</v>
      </c>
      <c r="H89" s="6">
        <v>0.4</v>
      </c>
      <c r="I89" s="6">
        <v>1.5</v>
      </c>
      <c r="J89" s="6">
        <v>1</v>
      </c>
      <c r="K89" s="26">
        <f t="shared" si="34"/>
        <v>1.0389064595557083</v>
      </c>
      <c r="L89" s="6">
        <f t="shared" si="27"/>
        <v>20499.804204552474</v>
      </c>
      <c r="M89" s="6">
        <f t="shared" si="28"/>
        <v>232405.56716458296</v>
      </c>
      <c r="N89" s="6">
        <f t="shared" si="29"/>
        <v>27155.584790446133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8">
        <v>72</v>
      </c>
      <c r="T89" s="6">
        <f>VLOOKUP($S$13,角色设定!$AB$9:$AJ$21,MATCH(E$17,角色设定!$AB$9:$AJ$9,0),0)*Z89*$L$15*E89/Y89/(1+W89*(X89-1))</f>
        <v>14975.506318260735</v>
      </c>
      <c r="U89" s="6">
        <f>VLOOKUP($S$13,角色设定!$AB$9:$AJ$21,MATCH(F$17,角色设定!$AB$9:$AJ$9,0),0)*F89*$L$15/(1+V89/$N$16)</f>
        <v>242244.14679740055</v>
      </c>
      <c r="V89" s="6">
        <f>VLOOKUP($S$13,角色设定!$AB$9:$AJ$21,MATCH(V$17,角色设定!$AB$9:$AJ$9,0),0)*G89*$L$15</f>
        <v>119804.05054608587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T89*战斗公式!$E$39*(1+W89*(X89-1))*Y89</f>
        <v>404338.67059303983</v>
      </c>
      <c r="AD89" s="6">
        <f>U89*战斗公式!$E$41*(1+V89*战斗公式!$E$40)</f>
        <v>532462.44687149278</v>
      </c>
      <c r="AE89" s="22">
        <f t="shared" si="35"/>
        <v>936801.11746453261</v>
      </c>
      <c r="AF89" s="22">
        <f t="shared" si="39"/>
        <v>44609.577022120706</v>
      </c>
      <c r="AG89" s="22"/>
      <c r="AH89" s="9">
        <f t="shared" si="36"/>
        <v>4193.1417691130064</v>
      </c>
      <c r="AI89" s="9">
        <f t="shared" si="37"/>
        <v>67828.361103272167</v>
      </c>
      <c r="AJ89" s="9">
        <f t="shared" si="38"/>
        <v>33545.134152904044</v>
      </c>
      <c r="AK89" s="9">
        <f t="shared" si="40"/>
        <v>199.67341757681015</v>
      </c>
      <c r="AL89" s="9">
        <f t="shared" si="41"/>
        <v>1508.6107420775079</v>
      </c>
      <c r="AM89" s="9">
        <f t="shared" si="42"/>
        <v>1597.3873406144776</v>
      </c>
    </row>
    <row r="90" spans="4:39" ht="14.25" customHeight="1" x14ac:dyDescent="0.2">
      <c r="D90" s="1">
        <v>73</v>
      </c>
      <c r="E90" s="6">
        <f t="shared" si="33"/>
        <v>245.99765045462968</v>
      </c>
      <c r="F90" s="6">
        <f t="shared" si="33"/>
        <v>2068.6166060957494</v>
      </c>
      <c r="G90" s="6">
        <f t="shared" si="33"/>
        <v>190.08909353312293</v>
      </c>
      <c r="H90" s="6">
        <v>0.4</v>
      </c>
      <c r="I90" s="6">
        <v>1.5</v>
      </c>
      <c r="J90" s="6">
        <v>1</v>
      </c>
      <c r="K90" s="26">
        <f t="shared" si="34"/>
        <v>1.038479584726268</v>
      </c>
      <c r="L90" s="6">
        <f t="shared" si="27"/>
        <v>21524.794414780099</v>
      </c>
      <c r="M90" s="6">
        <f t="shared" si="28"/>
        <v>241447.64496399325</v>
      </c>
      <c r="N90" s="6">
        <f t="shared" si="29"/>
        <v>28513.364029968441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8">
        <v>73</v>
      </c>
      <c r="T90" s="6">
        <f>VLOOKUP($S$13,角色设定!$AB$9:$AJ$21,MATCH(E$17,角色设定!$AB$9:$AJ$9,0),0)*Z90*$L$15*E90/Y90/(1+W90*(X90-1))</f>
        <v>15724.281634173771</v>
      </c>
      <c r="U90" s="6">
        <f>VLOOKUP($S$13,角色设定!$AB$9:$AJ$21,MATCH(F$17,角色设定!$AB$9:$AJ$9,0),0)*F90*$L$15/(1+V90/$N$16)</f>
        <v>247608.41412263367</v>
      </c>
      <c r="V90" s="6">
        <f>VLOOKUP($S$13,角色设定!$AB$9:$AJ$21,MATCH(V$17,角色设定!$AB$9:$AJ$9,0),0)*G90*$L$15</f>
        <v>125794.25307339017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T90*战斗公式!$E$39*(1+W90*(X90-1))*Y90</f>
        <v>424555.60412269179</v>
      </c>
      <c r="AD90" s="6">
        <f>U90*战斗公式!$E$41*(1+V90*战斗公式!$E$40)</f>
        <v>559085.56921506755</v>
      </c>
      <c r="AE90" s="22">
        <f t="shared" si="35"/>
        <v>983641.17333775933</v>
      </c>
      <c r="AF90" s="22">
        <f t="shared" si="39"/>
        <v>46840.055873226724</v>
      </c>
      <c r="AG90" s="22"/>
      <c r="AH90" s="9">
        <f t="shared" si="36"/>
        <v>4402.7988575686559</v>
      </c>
      <c r="AI90" s="9">
        <f t="shared" si="37"/>
        <v>69330.355954337429</v>
      </c>
      <c r="AJ90" s="9">
        <f t="shared" si="38"/>
        <v>35222.390860549247</v>
      </c>
      <c r="AK90" s="9">
        <f t="shared" si="40"/>
        <v>209.6570884556495</v>
      </c>
      <c r="AL90" s="9">
        <f t="shared" si="41"/>
        <v>1501.9948510652612</v>
      </c>
      <c r="AM90" s="9">
        <f t="shared" si="42"/>
        <v>1677.2567076452033</v>
      </c>
    </row>
    <row r="91" spans="4:39" ht="14.25" customHeight="1" x14ac:dyDescent="0.2">
      <c r="D91" s="1">
        <v>74</v>
      </c>
      <c r="E91" s="6">
        <f t="shared" si="33"/>
        <v>258.29753297736113</v>
      </c>
      <c r="F91" s="6">
        <f t="shared" si="33"/>
        <v>2172.0474364005368</v>
      </c>
      <c r="G91" s="6">
        <f t="shared" si="33"/>
        <v>199.59354820977907</v>
      </c>
      <c r="H91" s="6">
        <v>0.4</v>
      </c>
      <c r="I91" s="6">
        <v>1.5</v>
      </c>
      <c r="J91" s="6">
        <v>1</v>
      </c>
      <c r="K91" s="26">
        <f t="shared" si="34"/>
        <v>1.0380413327751321</v>
      </c>
      <c r="L91" s="6">
        <f t="shared" si="27"/>
        <v>22601.034135519098</v>
      </c>
      <c r="M91" s="6">
        <f t="shared" si="28"/>
        <v>250738.45007534311</v>
      </c>
      <c r="N91" s="6">
        <f t="shared" si="29"/>
        <v>29939.032231466859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8">
        <v>74</v>
      </c>
      <c r="T91" s="6">
        <f>VLOOKUP($S$13,角色设定!$AB$9:$AJ$21,MATCH(E$17,角色设定!$AB$9:$AJ$9,0),0)*Z91*$L$15*E91/Y91/(1+W91*(X91-1))</f>
        <v>16510.495715882458</v>
      </c>
      <c r="U91" s="6">
        <f>VLOOKUP($S$13,角色设定!$AB$9:$AJ$21,MATCH(F$17,角色设定!$AB$9:$AJ$9,0),0)*F91*$L$15/(1+V91/$N$16)</f>
        <v>252942.87170454679</v>
      </c>
      <c r="V91" s="6">
        <f>VLOOKUP($S$13,角色设定!$AB$9:$AJ$21,MATCH(V$17,角色设定!$AB$9:$AJ$9,0),0)*G91*$L$15</f>
        <v>132083.96572705967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T91*战斗公式!$E$39*(1+W91*(X91-1))*Y91</f>
        <v>445783.38432882639</v>
      </c>
      <c r="AD91" s="6">
        <f>U91*战斗公式!$E$41*(1+V91*战斗公式!$E$40)</f>
        <v>587039.84767582081</v>
      </c>
      <c r="AE91" s="22">
        <f t="shared" si="35"/>
        <v>1032823.2320046471</v>
      </c>
      <c r="AF91" s="22">
        <f t="shared" si="39"/>
        <v>49182.05866688781</v>
      </c>
      <c r="AG91" s="22"/>
      <c r="AH91" s="9">
        <f t="shared" si="36"/>
        <v>4622.9388004470884</v>
      </c>
      <c r="AI91" s="9">
        <f t="shared" si="37"/>
        <v>70824.004077273115</v>
      </c>
      <c r="AJ91" s="9">
        <f t="shared" si="38"/>
        <v>36983.510403576707</v>
      </c>
      <c r="AK91" s="9">
        <f t="shared" si="40"/>
        <v>220.13994287843252</v>
      </c>
      <c r="AL91" s="9">
        <f t="shared" si="41"/>
        <v>1493.6481229356868</v>
      </c>
      <c r="AM91" s="9">
        <f t="shared" si="42"/>
        <v>1761.1195430274602</v>
      </c>
    </row>
    <row r="92" spans="4:39" ht="14.25" customHeight="1" x14ac:dyDescent="0.2">
      <c r="D92" s="1">
        <v>75</v>
      </c>
      <c r="E92" s="6">
        <f t="shared" si="33"/>
        <v>271.2124096262292</v>
      </c>
      <c r="F92" s="6">
        <f t="shared" si="33"/>
        <v>2280.6498082205635</v>
      </c>
      <c r="G92" s="6">
        <f t="shared" si="33"/>
        <v>209.57322562026803</v>
      </c>
      <c r="H92" s="6">
        <v>0.4</v>
      </c>
      <c r="I92" s="6">
        <v>1.5</v>
      </c>
      <c r="J92" s="6">
        <v>1</v>
      </c>
      <c r="K92" s="26">
        <f t="shared" si="34"/>
        <v>1.0375917851264167</v>
      </c>
      <c r="L92" s="6">
        <f t="shared" si="27"/>
        <v>23731.085842295059</v>
      </c>
      <c r="M92" s="6">
        <f t="shared" si="28"/>
        <v>260276.8748941801</v>
      </c>
      <c r="N92" s="6">
        <f t="shared" si="29"/>
        <v>31435.983843040205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8">
        <v>75</v>
      </c>
      <c r="T92" s="6">
        <f>VLOOKUP($S$13,角色设定!$AB$9:$AJ$21,MATCH(E$17,角色设定!$AB$9:$AJ$9,0),0)*Z92*$L$15*E92/Y92/(1+W92*(X92-1))</f>
        <v>17336.020501676583</v>
      </c>
      <c r="U92" s="6">
        <f>VLOOKUP($S$13,角色设定!$AB$9:$AJ$21,MATCH(F$17,角色设定!$AB$9:$AJ$9,0),0)*F92*$L$15/(1+V92/$N$16)</f>
        <v>258241.47695273851</v>
      </c>
      <c r="V92" s="6">
        <f>VLOOKUP($S$13,角色设定!$AB$9:$AJ$21,MATCH(V$17,角色设定!$AB$9:$AJ$9,0),0)*G92*$L$15</f>
        <v>138688.16401341264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T92*战斗公式!$E$39*(1+W92*(X92-1))*Y92</f>
        <v>468072.55354526773</v>
      </c>
      <c r="AD92" s="6">
        <f>U92*战斗公式!$E$41*(1+V92*战斗公式!$E$40)</f>
        <v>616391.84005961171</v>
      </c>
      <c r="AE92" s="22">
        <f t="shared" si="35"/>
        <v>1084464.3936048795</v>
      </c>
      <c r="AF92" s="22">
        <f t="shared" si="39"/>
        <v>51641.161600232357</v>
      </c>
      <c r="AG92" s="22"/>
      <c r="AH92" s="9">
        <f t="shared" si="36"/>
        <v>4854.0857404694434</v>
      </c>
      <c r="AI92" s="9">
        <f t="shared" si="37"/>
        <v>72307.613546766792</v>
      </c>
      <c r="AJ92" s="9">
        <f t="shared" si="38"/>
        <v>38832.68592375554</v>
      </c>
      <c r="AK92" s="9">
        <f t="shared" si="40"/>
        <v>231.14694002235501</v>
      </c>
      <c r="AL92" s="9">
        <f t="shared" si="41"/>
        <v>1483.6094694936764</v>
      </c>
      <c r="AM92" s="9">
        <f t="shared" si="42"/>
        <v>1849.1755201788328</v>
      </c>
    </row>
    <row r="93" spans="4:39" ht="14.25" customHeight="1" x14ac:dyDescent="0.2">
      <c r="D93" s="1">
        <v>76</v>
      </c>
      <c r="E93" s="6">
        <f t="shared" si="33"/>
        <v>284.77303010754065</v>
      </c>
      <c r="F93" s="6">
        <f t="shared" si="33"/>
        <v>2394.6822986315919</v>
      </c>
      <c r="G93" s="6">
        <f t="shared" si="33"/>
        <v>220.05188690128145</v>
      </c>
      <c r="H93" s="6">
        <v>0.4</v>
      </c>
      <c r="I93" s="6">
        <v>1.5</v>
      </c>
      <c r="J93" s="6">
        <v>1</v>
      </c>
      <c r="K93" s="26">
        <f t="shared" si="34"/>
        <v>1.0371310550172794</v>
      </c>
      <c r="L93" s="6">
        <f t="shared" si="27"/>
        <v>24917.640134409805</v>
      </c>
      <c r="M93" s="6">
        <f t="shared" si="28"/>
        <v>270061.14724857738</v>
      </c>
      <c r="N93" s="6">
        <f t="shared" si="29"/>
        <v>33007.783035192217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8">
        <v>76</v>
      </c>
      <c r="T93" s="6">
        <f>VLOOKUP($S$13,角色设定!$AB$9:$AJ$21,MATCH(E$17,角色设定!$AB$9:$AJ$9,0),0)*Z93*$L$15*E93/Y93/(1+W93*(X93-1))</f>
        <v>18202.82152676041</v>
      </c>
      <c r="U93" s="6">
        <f>VLOOKUP($S$13,角色设定!$AB$9:$AJ$21,MATCH(F$17,角色设定!$AB$9:$AJ$9,0),0)*F93*$L$15/(1+V93/$N$16)</f>
        <v>263498.35287063377</v>
      </c>
      <c r="V93" s="6">
        <f>VLOOKUP($S$13,角色设定!$AB$9:$AJ$21,MATCH(V$17,角色设定!$AB$9:$AJ$9,0),0)*G93*$L$15</f>
        <v>145622.57221408328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T93*战斗公式!$E$39*(1+W93*(X93-1))*Y93</f>
        <v>491476.18122253107</v>
      </c>
      <c r="AD93" s="6">
        <f>U93*战斗公式!$E$41*(1+V93*战斗公式!$E$40)</f>
        <v>647211.43206259247</v>
      </c>
      <c r="AE93" s="22">
        <f t="shared" si="35"/>
        <v>1138687.6132851236</v>
      </c>
      <c r="AF93" s="22">
        <f t="shared" si="39"/>
        <v>54223.219680244103</v>
      </c>
      <c r="AG93" s="22"/>
      <c r="AH93" s="9">
        <f t="shared" si="36"/>
        <v>5096.7900274929152</v>
      </c>
      <c r="AI93" s="9">
        <f t="shared" si="37"/>
        <v>73779.538803777468</v>
      </c>
      <c r="AJ93" s="9">
        <f t="shared" si="38"/>
        <v>40774.320219943322</v>
      </c>
      <c r="AK93" s="9">
        <f t="shared" si="40"/>
        <v>242.70428702347181</v>
      </c>
      <c r="AL93" s="9">
        <f t="shared" si="41"/>
        <v>1471.9252570106764</v>
      </c>
      <c r="AM93" s="9">
        <f t="shared" si="42"/>
        <v>1941.6342961877817</v>
      </c>
    </row>
    <row r="94" spans="4:39" ht="14.25" customHeight="1" x14ac:dyDescent="0.2">
      <c r="D94" s="1">
        <v>77</v>
      </c>
      <c r="E94" s="6">
        <f t="shared" si="33"/>
        <v>299.01168161291764</v>
      </c>
      <c r="F94" s="6">
        <f t="shared" si="33"/>
        <v>2514.4164135631713</v>
      </c>
      <c r="G94" s="6">
        <f t="shared" si="33"/>
        <v>231.05448124634549</v>
      </c>
      <c r="H94" s="6">
        <v>0.4</v>
      </c>
      <c r="I94" s="6">
        <v>1.5</v>
      </c>
      <c r="J94" s="6">
        <v>1</v>
      </c>
      <c r="K94" s="26">
        <f t="shared" si="34"/>
        <v>1.0366592886485557</v>
      </c>
      <c r="L94" s="6">
        <f t="shared" si="27"/>
        <v>26163.522141130295</v>
      </c>
      <c r="M94" s="6">
        <f t="shared" si="28"/>
        <v>280088.80256509391</v>
      </c>
      <c r="N94" s="6">
        <f t="shared" si="29"/>
        <v>34658.172186951822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8">
        <v>77</v>
      </c>
      <c r="T94" s="6">
        <f>VLOOKUP($S$13,角色设定!$AB$9:$AJ$21,MATCH(E$17,角色设定!$AB$9:$AJ$9,0),0)*Z94*$L$15*E94/Y94/(1+W94*(X94-1))</f>
        <v>19112.962603098429</v>
      </c>
      <c r="U94" s="6">
        <f>VLOOKUP($S$13,角色设定!$AB$9:$AJ$21,MATCH(F$17,角色设定!$AB$9:$AJ$9,0),0)*F94*$L$15/(1+V94/$N$16)</f>
        <v>268707.81307250692</v>
      </c>
      <c r="V94" s="6">
        <f>VLOOKUP($S$13,角色设定!$AB$9:$AJ$21,MATCH(V$17,角色设定!$AB$9:$AJ$9,0),0)*G94*$L$15</f>
        <v>152903.70082478743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T94*战斗公式!$E$39*(1+W94*(X94-1))*Y94</f>
        <v>516049.99028365762</v>
      </c>
      <c r="AD94" s="6">
        <f>U94*战斗公式!$E$41*(1+V94*战斗公式!$E$40)</f>
        <v>679572.00366572186</v>
      </c>
      <c r="AE94" s="22">
        <f t="shared" si="35"/>
        <v>1195621.9939493795</v>
      </c>
      <c r="AF94" s="22">
        <f t="shared" si="39"/>
        <v>56934.380664255936</v>
      </c>
      <c r="AG94" s="22"/>
      <c r="AH94" s="9">
        <f t="shared" si="36"/>
        <v>5351.629528867561</v>
      </c>
      <c r="AI94" s="9">
        <f t="shared" si="37"/>
        <v>75238.187660301948</v>
      </c>
      <c r="AJ94" s="9">
        <f t="shared" si="38"/>
        <v>42813.036230940488</v>
      </c>
      <c r="AK94" s="9">
        <f t="shared" si="40"/>
        <v>254.83950137464581</v>
      </c>
      <c r="AL94" s="9">
        <f t="shared" si="41"/>
        <v>1458.6488565244799</v>
      </c>
      <c r="AM94" s="9">
        <f t="shared" si="42"/>
        <v>2038.7160109971664</v>
      </c>
    </row>
    <row r="95" spans="4:39" ht="14.25" customHeight="1" x14ac:dyDescent="0.2">
      <c r="D95" s="1">
        <v>78</v>
      </c>
      <c r="E95" s="6">
        <f t="shared" si="33"/>
        <v>313.96226569356361</v>
      </c>
      <c r="F95" s="6">
        <f t="shared" si="33"/>
        <v>2640.1372342413306</v>
      </c>
      <c r="G95" s="6">
        <f t="shared" si="33"/>
        <v>242.60720530866283</v>
      </c>
      <c r="H95" s="6">
        <v>0.4</v>
      </c>
      <c r="I95" s="6">
        <v>1.5</v>
      </c>
      <c r="J95" s="6">
        <v>1</v>
      </c>
      <c r="K95" s="26">
        <f t="shared" si="34"/>
        <v>1.0361766661872931</v>
      </c>
      <c r="L95" s="6">
        <f t="shared" si="27"/>
        <v>27471.698248186814</v>
      </c>
      <c r="M95" s="6">
        <f t="shared" si="28"/>
        <v>290356.65882555599</v>
      </c>
      <c r="N95" s="6">
        <f t="shared" si="29"/>
        <v>36391.080796299422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20068.610733253354</v>
      </c>
      <c r="U95" s="6">
        <f>VLOOKUP($S$13,角色设定!$AB$9:$AJ$21,MATCH(F$17,角色设定!$AB$9:$AJ$9,0),0)*F95*$L$15/(1+V95/$N$16)</f>
        <v>273864.38497991237</v>
      </c>
      <c r="V95" s="6">
        <f>VLOOKUP($S$13,角色设定!$AB$9:$AJ$21,MATCH(V$17,角色设定!$AB$9:$AJ$9,0),0)*G95*$L$15</f>
        <v>160548.88586602686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T95*战斗公式!$E$39*(1+W95*(X95-1))*Y95</f>
        <v>541852.48979784059</v>
      </c>
      <c r="AD95" s="6">
        <f>U95*战斗公式!$E$41*(1+V95*战斗公式!$E$40)</f>
        <v>713550.60384900821</v>
      </c>
      <c r="AE95" s="22">
        <f t="shared" si="35"/>
        <v>1255403.0936468488</v>
      </c>
      <c r="AF95" s="22">
        <f t="shared" si="39"/>
        <v>59781.099697469268</v>
      </c>
      <c r="AG95" s="22"/>
      <c r="AH95" s="9">
        <f t="shared" si="36"/>
        <v>5619.21100531094</v>
      </c>
      <c r="AI95" s="9">
        <f t="shared" si="37"/>
        <v>76682.027794375477</v>
      </c>
      <c r="AJ95" s="9">
        <f t="shared" si="38"/>
        <v>44953.688042487527</v>
      </c>
      <c r="AK95" s="9">
        <f t="shared" si="40"/>
        <v>267.58147644337896</v>
      </c>
      <c r="AL95" s="9">
        <f t="shared" si="41"/>
        <v>1443.840134073529</v>
      </c>
      <c r="AM95" s="9">
        <f t="shared" si="42"/>
        <v>2140.651811547039</v>
      </c>
    </row>
    <row r="96" spans="4:39" ht="14.25" customHeight="1" x14ac:dyDescent="0.2">
      <c r="D96" s="1">
        <v>79</v>
      </c>
      <c r="E96" s="6">
        <f t="shared" si="33"/>
        <v>329.66037897824168</v>
      </c>
      <c r="F96" s="6">
        <f t="shared" si="33"/>
        <v>2772.1440959533961</v>
      </c>
      <c r="G96" s="6">
        <f t="shared" si="33"/>
        <v>254.7375655740959</v>
      </c>
      <c r="H96" s="6">
        <v>0.4</v>
      </c>
      <c r="I96" s="6">
        <v>1.5</v>
      </c>
      <c r="J96" s="6">
        <v>1</v>
      </c>
      <c r="K96" s="26">
        <f t="shared" si="34"/>
        <v>1.0356834026015591</v>
      </c>
      <c r="L96" s="6">
        <f t="shared" si="27"/>
        <v>28845.283160596147</v>
      </c>
      <c r="M96" s="6">
        <f t="shared" si="28"/>
        <v>300860.7947471459</v>
      </c>
      <c r="N96" s="6">
        <f t="shared" si="29"/>
        <v>38210.634836114383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8">
        <v>79</v>
      </c>
      <c r="T96" s="6">
        <f>VLOOKUP($S$13,角色设定!$AB$9:$AJ$21,MATCH(E$17,角色设定!$AB$9:$AJ$9,0),0)*Z96*$L$15*E96/Y96/(1+W96*(X96-1))</f>
        <v>21072.041269916015</v>
      </c>
      <c r="U96" s="6">
        <f>VLOOKUP($S$13,角色设定!$AB$9:$AJ$21,MATCH(F$17,角色设定!$AB$9:$AJ$9,0),0)*F96*$L$15/(1+V96/$N$16)</f>
        <v>278962.83101232053</v>
      </c>
      <c r="V96" s="6">
        <f>VLOOKUP($S$13,角色设定!$AB$9:$AJ$21,MATCH(V$17,角色设定!$AB$9:$AJ$9,0),0)*G96*$L$15</f>
        <v>168576.33015932812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T96*战斗公式!$E$39*(1+W96*(X96-1))*Y96</f>
        <v>568945.11428773252</v>
      </c>
      <c r="AD96" s="6">
        <f>U96*战斗公式!$E$41*(1+V96*战斗公式!$E$40)</f>
        <v>749228.13404145872</v>
      </c>
      <c r="AE96" s="22">
        <f t="shared" si="35"/>
        <v>1318173.2483291912</v>
      </c>
      <c r="AF96" s="22">
        <f t="shared" si="39"/>
        <v>62770.154682342429</v>
      </c>
      <c r="AG96" s="22"/>
      <c r="AH96" s="9">
        <f t="shared" si="36"/>
        <v>5900.1715555764849</v>
      </c>
      <c r="AI96" s="9">
        <f t="shared" si="37"/>
        <v>78109.592683449751</v>
      </c>
      <c r="AJ96" s="9">
        <f t="shared" si="38"/>
        <v>47201.372444611879</v>
      </c>
      <c r="AK96" s="9">
        <f t="shared" si="40"/>
        <v>280.96055026554495</v>
      </c>
      <c r="AL96" s="9">
        <f t="shared" si="41"/>
        <v>1427.5648890742741</v>
      </c>
      <c r="AM96" s="9">
        <f t="shared" si="42"/>
        <v>2247.6844021243523</v>
      </c>
    </row>
    <row r="97" spans="4:39" ht="14.25" customHeight="1" x14ac:dyDescent="0.2">
      <c r="D97" s="1">
        <v>80</v>
      </c>
      <c r="E97" s="6">
        <f t="shared" si="33"/>
        <v>346.1433979271539</v>
      </c>
      <c r="F97" s="6">
        <f t="shared" si="33"/>
        <v>2910.751300751067</v>
      </c>
      <c r="G97" s="6">
        <f t="shared" si="33"/>
        <v>267.47444385280079</v>
      </c>
      <c r="H97" s="6">
        <v>0.4</v>
      </c>
      <c r="I97" s="6">
        <v>1.5</v>
      </c>
      <c r="J97" s="6">
        <v>1</v>
      </c>
      <c r="K97" s="26">
        <f t="shared" si="34"/>
        <v>1.0351797483084482</v>
      </c>
      <c r="L97" s="6">
        <f t="shared" si="27"/>
        <v>30287.547318625966</v>
      </c>
      <c r="M97" s="6">
        <f t="shared" si="28"/>
        <v>311596.53161313332</v>
      </c>
      <c r="N97" s="6">
        <f t="shared" si="29"/>
        <v>40121.166577920121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8">
        <v>80</v>
      </c>
      <c r="T97" s="6">
        <f>VLOOKUP($S$13,角色设定!$AB$9:$AJ$21,MATCH(E$17,角色设定!$AB$9:$AJ$9,0),0)*Z97*$L$15*E97/Y97/(1+W97*(X97-1))</f>
        <v>22125.643333411823</v>
      </c>
      <c r="U97" s="6">
        <f>VLOOKUP($S$13,角色设定!$AB$9:$AJ$21,MATCH(F$17,角色设定!$AB$9:$AJ$9,0),0)*F97*$L$15/(1+V97/$N$16)</f>
        <v>283998.16761831101</v>
      </c>
      <c r="V97" s="6">
        <f>VLOOKUP($S$13,角色设定!$AB$9:$AJ$21,MATCH(V$17,角色设定!$AB$9:$AJ$9,0),0)*G97*$L$15</f>
        <v>177005.14666729461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T97*战斗公式!$E$39*(1+W97*(X97-1))*Y97</f>
        <v>597392.37000211922</v>
      </c>
      <c r="AD97" s="6">
        <f>U97*战斗公式!$E$41*(1+V97*战斗公式!$E$40)</f>
        <v>786689.54074353166</v>
      </c>
      <c r="AE97" s="22">
        <f t="shared" si="35"/>
        <v>1384081.910745651</v>
      </c>
      <c r="AF97" s="22">
        <f t="shared" si="39"/>
        <v>65908.66241645976</v>
      </c>
      <c r="AG97" s="22"/>
      <c r="AH97" s="9">
        <f t="shared" si="36"/>
        <v>6195.1801333553112</v>
      </c>
      <c r="AI97" s="9">
        <f t="shared" si="37"/>
        <v>79519.486933127089</v>
      </c>
      <c r="AJ97" s="9">
        <f t="shared" si="38"/>
        <v>49561.441066842497</v>
      </c>
      <c r="AK97" s="9">
        <f t="shared" si="40"/>
        <v>295.00857777882629</v>
      </c>
      <c r="AL97" s="9">
        <f t="shared" si="41"/>
        <v>1409.8942496773379</v>
      </c>
      <c r="AM97" s="9">
        <f t="shared" si="42"/>
        <v>2360.0686222306176</v>
      </c>
    </row>
    <row r="98" spans="4:39" ht="14.25" customHeight="1" x14ac:dyDescent="0.2">
      <c r="D98" s="1">
        <v>81</v>
      </c>
      <c r="E98" s="6">
        <f t="shared" si="33"/>
        <v>363.45056782351156</v>
      </c>
      <c r="F98" s="6">
        <f t="shared" si="33"/>
        <v>3056.2888657886201</v>
      </c>
      <c r="G98" s="6">
        <f t="shared" si="33"/>
        <v>280.84816604544079</v>
      </c>
      <c r="H98" s="6">
        <v>0.4</v>
      </c>
      <c r="I98" s="6">
        <v>1.5</v>
      </c>
      <c r="J98" s="6">
        <v>1</v>
      </c>
      <c r="K98" s="26">
        <f t="shared" si="34"/>
        <v>1.0346659896171848</v>
      </c>
      <c r="L98" s="6">
        <f t="shared" si="27"/>
        <v>31801.924684557263</v>
      </c>
      <c r="M98" s="6">
        <f t="shared" si="28"/>
        <v>322558.41916906874</v>
      </c>
      <c r="N98" s="6">
        <f t="shared" si="29"/>
        <v>42127.224906816118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8">
        <v>81</v>
      </c>
      <c r="T98" s="6">
        <f>VLOOKUP($S$13,角色设定!$AB$9:$AJ$21,MATCH(E$17,角色设定!$AB$9:$AJ$9,0),0)*Z98*$L$15*E98/Y98/(1+W98*(X98-1))</f>
        <v>23231.925500082412</v>
      </c>
      <c r="U98" s="6">
        <f>VLOOKUP($S$13,角色设定!$AB$9:$AJ$21,MATCH(F$17,角色设定!$AB$9:$AJ$9,0),0)*F98*$L$15/(1+V98/$N$16)</f>
        <v>288965.68202670844</v>
      </c>
      <c r="V98" s="6">
        <f>VLOOKUP($S$13,角色设定!$AB$9:$AJ$21,MATCH(V$17,角色设定!$AB$9:$AJ$9,0),0)*G98*$L$15</f>
        <v>185855.40400065933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T98*战斗公式!$E$39*(1+W98*(X98-1))*Y98</f>
        <v>627261.98850222514</v>
      </c>
      <c r="AD98" s="6">
        <f>U98*战斗公式!$E$41*(1+V98*战斗公式!$E$40)</f>
        <v>826024.01778070803</v>
      </c>
      <c r="AE98" s="22">
        <f t="shared" si="35"/>
        <v>1453286.0062829331</v>
      </c>
      <c r="AF98" s="22">
        <f t="shared" si="39"/>
        <v>69204.095537282061</v>
      </c>
      <c r="AG98" s="22"/>
      <c r="AH98" s="9">
        <f t="shared" si="36"/>
        <v>6504.9391400230761</v>
      </c>
      <c r="AI98" s="9">
        <f t="shared" si="37"/>
        <v>80910.390967478364</v>
      </c>
      <c r="AJ98" s="9">
        <f t="shared" si="38"/>
        <v>52039.513120184616</v>
      </c>
      <c r="AK98" s="9">
        <f t="shared" si="40"/>
        <v>309.75900666776488</v>
      </c>
      <c r="AL98" s="9">
        <f t="shared" si="41"/>
        <v>1390.9040343512752</v>
      </c>
      <c r="AM98" s="9">
        <f t="shared" si="42"/>
        <v>2478.072053342119</v>
      </c>
    </row>
    <row r="99" spans="4:39" ht="14.25" customHeight="1" x14ac:dyDescent="0.2">
      <c r="D99" s="1">
        <v>82</v>
      </c>
      <c r="E99" s="6">
        <f t="shared" si="33"/>
        <v>381.62309621468722</v>
      </c>
      <c r="F99" s="6">
        <f t="shared" si="33"/>
        <v>3209.1033090780516</v>
      </c>
      <c r="G99" s="6">
        <f t="shared" si="33"/>
        <v>294.89057434771286</v>
      </c>
      <c r="H99" s="6">
        <v>0.4</v>
      </c>
      <c r="I99" s="6">
        <v>1.5</v>
      </c>
      <c r="J99" s="6">
        <v>1</v>
      </c>
      <c r="K99" s="26">
        <f t="shared" si="34"/>
        <v>1.0341424489504836</v>
      </c>
      <c r="L99" s="6">
        <f t="shared" si="27"/>
        <v>33392.020918785129</v>
      </c>
      <c r="M99" s="6">
        <f t="shared" si="28"/>
        <v>333740.22597891925</v>
      </c>
      <c r="N99" s="6">
        <f t="shared" si="29"/>
        <v>44233.586152156931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8">
        <v>82</v>
      </c>
      <c r="T99" s="6">
        <f>VLOOKUP($S$13,角色设定!$AB$9:$AJ$21,MATCH(E$17,角色设定!$AB$9:$AJ$9,0),0)*Z99*$L$15*E99/Y99/(1+W99*(X99-1))</f>
        <v>24393.521775086541</v>
      </c>
      <c r="U99" s="6">
        <f>VLOOKUP($S$13,角色设定!$AB$9:$AJ$21,MATCH(F$17,角色设定!$AB$9:$AJ$9,0),0)*F99*$L$15/(1+V99/$N$16)</f>
        <v>293860.94663082261</v>
      </c>
      <c r="V99" s="6">
        <f>VLOOKUP($S$13,角色设定!$AB$9:$AJ$21,MATCH(V$17,角色设定!$AB$9:$AJ$9,0),0)*G99*$L$15</f>
        <v>195148.1742006923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T99*战斗公式!$E$39*(1+W99*(X99-1))*Y99</f>
        <v>658625.08792733657</v>
      </c>
      <c r="AD99" s="6">
        <f>U99*战斗公式!$E$41*(1+V99*战斗公式!$E$40)</f>
        <v>867325.21866974386</v>
      </c>
      <c r="AE99" s="22">
        <f t="shared" si="35"/>
        <v>1525950.3065970805</v>
      </c>
      <c r="AF99" s="22">
        <f t="shared" si="39"/>
        <v>72664.300314147491</v>
      </c>
      <c r="AG99" s="22"/>
      <c r="AH99" s="9">
        <f t="shared" si="36"/>
        <v>6830.1860970242324</v>
      </c>
      <c r="AI99" s="9">
        <f t="shared" si="37"/>
        <v>82281.065056630337</v>
      </c>
      <c r="AJ99" s="9">
        <f t="shared" si="38"/>
        <v>54641.488776193852</v>
      </c>
      <c r="AK99" s="9">
        <f t="shared" si="40"/>
        <v>325.24695700115626</v>
      </c>
      <c r="AL99" s="9">
        <f t="shared" si="41"/>
        <v>1370.674089151973</v>
      </c>
      <c r="AM99" s="9">
        <f t="shared" si="42"/>
        <v>2601.9756560092355</v>
      </c>
    </row>
    <row r="100" spans="4:39" ht="14.25" customHeight="1" x14ac:dyDescent="0.2">
      <c r="D100" s="1">
        <v>83</v>
      </c>
      <c r="E100" s="6">
        <f t="shared" si="33"/>
        <v>400.70425102542157</v>
      </c>
      <c r="F100" s="6">
        <f t="shared" si="33"/>
        <v>3369.5584745319543</v>
      </c>
      <c r="G100" s="6">
        <f t="shared" si="33"/>
        <v>309.63510306509852</v>
      </c>
      <c r="H100" s="6">
        <v>0.4</v>
      </c>
      <c r="I100" s="6">
        <v>1.5</v>
      </c>
      <c r="J100" s="6">
        <v>1</v>
      </c>
      <c r="K100" s="26">
        <f t="shared" si="34"/>
        <v>1.0336094848290585</v>
      </c>
      <c r="L100" s="6">
        <f t="shared" si="27"/>
        <v>35061.621964724385</v>
      </c>
      <c r="M100" s="6">
        <f t="shared" si="28"/>
        <v>345134.93460712733</v>
      </c>
      <c r="N100" s="6">
        <f t="shared" si="29"/>
        <v>46445.265459764778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25613.197863840865</v>
      </c>
      <c r="U100" s="6">
        <f>VLOOKUP($S$13,角色设定!$AB$9:$AJ$21,MATCH(F$17,角色设定!$AB$9:$AJ$9,0),0)*F100*$L$15/(1+V100/$N$16)</f>
        <v>298679.83095274173</v>
      </c>
      <c r="V100" s="6">
        <f>VLOOKUP($S$13,角色设定!$AB$9:$AJ$21,MATCH(V$17,角色设定!$AB$9:$AJ$9,0),0)*G100*$L$15</f>
        <v>204905.58291072692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T100*战斗公式!$E$39*(1+W100*(X100-1))*Y100</f>
        <v>691556.34232370346</v>
      </c>
      <c r="AD100" s="6">
        <f>U100*战斗公式!$E$41*(1+V100*战斗公式!$E$40)</f>
        <v>910691.47960323107</v>
      </c>
      <c r="AE100" s="22">
        <f t="shared" si="35"/>
        <v>1602247.8219269346</v>
      </c>
      <c r="AF100" s="22">
        <f t="shared" si="39"/>
        <v>76297.515329854097</v>
      </c>
      <c r="AG100" s="22"/>
      <c r="AH100" s="9">
        <f t="shared" si="36"/>
        <v>7171.6954018754432</v>
      </c>
      <c r="AI100" s="9">
        <f t="shared" si="37"/>
        <v>83630.352666767692</v>
      </c>
      <c r="AJ100" s="9">
        <f t="shared" si="38"/>
        <v>57373.563215003545</v>
      </c>
      <c r="AK100" s="9">
        <f t="shared" si="40"/>
        <v>341.5093048512108</v>
      </c>
      <c r="AL100" s="9">
        <f t="shared" si="41"/>
        <v>1349.2876101373549</v>
      </c>
      <c r="AM100" s="9">
        <f t="shared" si="42"/>
        <v>2732.0744388096937</v>
      </c>
    </row>
    <row r="101" spans="4:39" ht="14.25" customHeight="1" x14ac:dyDescent="0.2">
      <c r="D101" s="1">
        <v>84</v>
      </c>
      <c r="E101" s="6">
        <f t="shared" si="33"/>
        <v>420.73946357669263</v>
      </c>
      <c r="F101" s="6">
        <f t="shared" si="33"/>
        <v>3538.0363982585518</v>
      </c>
      <c r="G101" s="6">
        <f t="shared" si="33"/>
        <v>325.1168582183534</v>
      </c>
      <c r="H101" s="6">
        <v>0.4</v>
      </c>
      <c r="I101" s="6">
        <v>1.5</v>
      </c>
      <c r="J101" s="6">
        <v>1</v>
      </c>
      <c r="K101" s="26">
        <f t="shared" si="34"/>
        <v>1.0330674916062219</v>
      </c>
      <c r="L101" s="6">
        <f t="shared" si="27"/>
        <v>36814.703062960609</v>
      </c>
      <c r="M101" s="6">
        <f t="shared" si="28"/>
        <v>356734.74195578368</v>
      </c>
      <c r="N101" s="6">
        <f t="shared" si="29"/>
        <v>48767.52873275301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26893.857757032911</v>
      </c>
      <c r="U101" s="6">
        <f>VLOOKUP($S$13,角色设定!$AB$9:$AJ$21,MATCH(F$17,角色设定!$AB$9:$AJ$9,0),0)*F101*$L$15/(1+V101/$N$16)</f>
        <v>303418.51116773376</v>
      </c>
      <c r="V101" s="6">
        <f>VLOOKUP($S$13,角色设定!$AB$9:$AJ$21,MATCH(V$17,角色设定!$AB$9:$AJ$9,0),0)*G101*$L$15</f>
        <v>215150.86205626326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T101*战斗公式!$E$39*(1+W101*(X101-1))*Y101</f>
        <v>726134.15943988855</v>
      </c>
      <c r="AD101" s="6">
        <f>U101*战斗公式!$E$41*(1+V101*战斗公式!$E$40)</f>
        <v>956226.05358339229</v>
      </c>
      <c r="AE101" s="22">
        <f t="shared" si="35"/>
        <v>1682360.2130232807</v>
      </c>
      <c r="AF101" s="22">
        <f t="shared" si="39"/>
        <v>80112.39109634608</v>
      </c>
      <c r="AG101" s="22"/>
      <c r="AH101" s="9">
        <f t="shared" si="36"/>
        <v>7530.2801719692161</v>
      </c>
      <c r="AI101" s="9">
        <f t="shared" si="37"/>
        <v>84957.183126965465</v>
      </c>
      <c r="AJ101" s="9">
        <f t="shared" si="38"/>
        <v>60242.241375753714</v>
      </c>
      <c r="AK101" s="9">
        <f t="shared" si="40"/>
        <v>358.58477009377293</v>
      </c>
      <c r="AL101" s="9">
        <f t="shared" si="41"/>
        <v>1326.8304601977725</v>
      </c>
      <c r="AM101" s="9">
        <f t="shared" si="42"/>
        <v>2868.6781607501689</v>
      </c>
    </row>
    <row r="102" spans="4:39" ht="14.25" customHeight="1" x14ac:dyDescent="0.2">
      <c r="D102" s="1">
        <v>85</v>
      </c>
      <c r="E102" s="6">
        <f t="shared" si="33"/>
        <v>441.7764367555273</v>
      </c>
      <c r="F102" s="6">
        <f t="shared" si="33"/>
        <v>3714.9382181714795</v>
      </c>
      <c r="G102" s="6">
        <f t="shared" si="33"/>
        <v>341.37270112927109</v>
      </c>
      <c r="H102" s="6">
        <v>0.4</v>
      </c>
      <c r="I102" s="6">
        <v>1.5</v>
      </c>
      <c r="J102" s="6">
        <v>1</v>
      </c>
      <c r="K102" s="26">
        <f t="shared" si="34"/>
        <v>1.0325168989419473</v>
      </c>
      <c r="L102" s="6">
        <f t="shared" si="27"/>
        <v>38655.43821610864</v>
      </c>
      <c r="M102" s="6">
        <f t="shared" si="28"/>
        <v>368531.06504105427</v>
      </c>
      <c r="N102" s="6">
        <f t="shared" si="29"/>
        <v>51205.905169390666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28238.550644884559</v>
      </c>
      <c r="U102" s="6">
        <f>VLOOKUP($S$13,角色设定!$AB$9:$AJ$21,MATCH(F$17,角色设定!$AB$9:$AJ$9,0),0)*F102*$L$15/(1+V102/$N$16)</f>
        <v>308073.47720059258</v>
      </c>
      <c r="V102" s="6">
        <f>VLOOKUP($S$13,角色设定!$AB$9:$AJ$21,MATCH(V$17,角色设定!$AB$9:$AJ$9,0),0)*G102*$L$15</f>
        <v>225908.40515907641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T102*战斗公式!$E$39*(1+W102*(X102-1))*Y102</f>
        <v>762440.8674118832</v>
      </c>
      <c r="AD102" s="6">
        <f>U102*战斗公式!$E$41*(1+V102*战斗公式!$E$40)</f>
        <v>1004037.3562625622</v>
      </c>
      <c r="AE102" s="22">
        <f t="shared" si="35"/>
        <v>1766478.2236744454</v>
      </c>
      <c r="AF102" s="22">
        <f t="shared" si="39"/>
        <v>84118.010651164688</v>
      </c>
      <c r="AG102" s="22"/>
      <c r="AH102" s="9">
        <f t="shared" si="36"/>
        <v>7906.7941805676774</v>
      </c>
      <c r="AI102" s="9">
        <f t="shared" si="37"/>
        <v>86260.57361616593</v>
      </c>
      <c r="AJ102" s="9">
        <f t="shared" si="38"/>
        <v>63254.353444541404</v>
      </c>
      <c r="AK102" s="9">
        <f t="shared" si="40"/>
        <v>376.51400859846126</v>
      </c>
      <c r="AL102" s="9">
        <f t="shared" si="41"/>
        <v>1303.3904892004648</v>
      </c>
      <c r="AM102" s="9">
        <f t="shared" si="42"/>
        <v>3012.1120687876901</v>
      </c>
    </row>
    <row r="103" spans="4:39" ht="14.25" customHeight="1" x14ac:dyDescent="0.2">
      <c r="D103" s="1">
        <v>86</v>
      </c>
      <c r="E103" s="6">
        <f t="shared" si="33"/>
        <v>463.86525859330357</v>
      </c>
      <c r="F103" s="6">
        <f t="shared" si="33"/>
        <v>3900.6851290800528</v>
      </c>
      <c r="G103" s="6">
        <f t="shared" si="33"/>
        <v>358.4413361857346</v>
      </c>
      <c r="H103" s="6">
        <v>0.4</v>
      </c>
      <c r="I103" s="6">
        <v>1.5</v>
      </c>
      <c r="J103" s="6">
        <v>1</v>
      </c>
      <c r="K103" s="26">
        <f t="shared" si="34"/>
        <v>1.0319581710085746</v>
      </c>
      <c r="L103" s="6">
        <f t="shared" si="27"/>
        <v>40588.210126914062</v>
      </c>
      <c r="M103" s="6">
        <f t="shared" si="28"/>
        <v>380514.55243996246</v>
      </c>
      <c r="N103" s="6">
        <f t="shared" si="29"/>
        <v>53766.200427860189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29650.478177128778</v>
      </c>
      <c r="U103" s="6">
        <f>VLOOKUP($S$13,角色设定!$AB$9:$AJ$21,MATCH(F$17,角色设定!$AB$9:$AJ$9,0),0)*F103*$L$15/(1+V103/$N$16)</f>
        <v>312641.53743566823</v>
      </c>
      <c r="V103" s="6">
        <f>VLOOKUP($S$13,角色设定!$AB$9:$AJ$21,MATCH(V$17,角色设定!$AB$9:$AJ$9,0),0)*G103*$L$15</f>
        <v>237203.82541703022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T103*战斗公式!$E$39*(1+W103*(X103-1))*Y103</f>
        <v>800562.910782477</v>
      </c>
      <c r="AD103" s="6">
        <f>U103*战斗公式!$E$41*(1+V103*战斗公式!$E$40)</f>
        <v>1054239.2240756899</v>
      </c>
      <c r="AE103" s="22">
        <f t="shared" si="35"/>
        <v>1854802.1348581668</v>
      </c>
      <c r="AF103" s="22">
        <f t="shared" si="39"/>
        <v>88323.911183721386</v>
      </c>
      <c r="AG103" s="22"/>
      <c r="AH103" s="9">
        <f t="shared" si="36"/>
        <v>8302.133889596058</v>
      </c>
      <c r="AI103" s="9">
        <f t="shared" si="37"/>
        <v>87539.630481987115</v>
      </c>
      <c r="AJ103" s="9">
        <f t="shared" si="38"/>
        <v>66417.071116768464</v>
      </c>
      <c r="AK103" s="9">
        <f t="shared" si="40"/>
        <v>395.33970902838064</v>
      </c>
      <c r="AL103" s="9">
        <f t="shared" si="41"/>
        <v>1279.0568658211851</v>
      </c>
      <c r="AM103" s="9">
        <f t="shared" si="42"/>
        <v>3162.7176722270597</v>
      </c>
    </row>
    <row r="104" spans="4:39" ht="14.25" customHeight="1" x14ac:dyDescent="0.2">
      <c r="D104" s="1">
        <v>87</v>
      </c>
      <c r="E104" s="6">
        <f t="shared" si="33"/>
        <v>487.05852152296876</v>
      </c>
      <c r="F104" s="6">
        <f t="shared" si="33"/>
        <v>4095.7193855340556</v>
      </c>
      <c r="G104" s="6">
        <f t="shared" si="33"/>
        <v>376.36340299502132</v>
      </c>
      <c r="H104" s="6">
        <v>0.4</v>
      </c>
      <c r="I104" s="6">
        <v>1.5</v>
      </c>
      <c r="J104" s="6">
        <v>1</v>
      </c>
      <c r="K104" s="26">
        <f t="shared" si="34"/>
        <v>1.0313918054233933</v>
      </c>
      <c r="L104" s="6">
        <f t="shared" si="27"/>
        <v>42617.620633259765</v>
      </c>
      <c r="M104" s="6">
        <f t="shared" si="28"/>
        <v>392675.10157808999</v>
      </c>
      <c r="N104" s="6">
        <f t="shared" si="29"/>
        <v>56454.510449253197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31133.002085985216</v>
      </c>
      <c r="U104" s="6">
        <f>VLOOKUP($S$13,角色设定!$AB$9:$AJ$21,MATCH(F$17,角色设定!$AB$9:$AJ$9,0),0)*F104*$L$15/(1+V104/$N$16)</f>
        <v>317119.821109852</v>
      </c>
      <c r="V104" s="6">
        <f>VLOOKUP($S$13,角色设定!$AB$9:$AJ$21,MATCH(V$17,角色设定!$AB$9:$AJ$9,0),0)*G104*$L$15</f>
        <v>249064.01668788173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T104*战斗公式!$E$39*(1+W104*(X104-1))*Y104</f>
        <v>840591.0563216008</v>
      </c>
      <c r="AD104" s="6">
        <f>U104*战斗公式!$E$41*(1+V104*战斗公式!$E$40)</f>
        <v>1106951.1852794746</v>
      </c>
      <c r="AE104" s="22">
        <f t="shared" si="35"/>
        <v>1947542.2416010755</v>
      </c>
      <c r="AF104" s="22">
        <f t="shared" si="39"/>
        <v>92740.106742908712</v>
      </c>
      <c r="AG104" s="22"/>
      <c r="AH104" s="9">
        <f t="shared" si="36"/>
        <v>8717.240584075862</v>
      </c>
      <c r="AI104" s="9">
        <f t="shared" si="37"/>
        <v>88793.549910758564</v>
      </c>
      <c r="AJ104" s="9">
        <f t="shared" si="38"/>
        <v>69737.924672606896</v>
      </c>
      <c r="AK104" s="9">
        <f t="shared" si="40"/>
        <v>415.10669447980399</v>
      </c>
      <c r="AL104" s="9">
        <f t="shared" si="41"/>
        <v>1253.919428771449</v>
      </c>
      <c r="AM104" s="9">
        <f t="shared" si="42"/>
        <v>3320.8535558384319</v>
      </c>
    </row>
    <row r="105" spans="4:39" ht="14.25" customHeight="1" x14ac:dyDescent="0.2">
      <c r="D105" s="1">
        <v>88</v>
      </c>
      <c r="E105" s="6">
        <f t="shared" si="33"/>
        <v>511.41144759911731</v>
      </c>
      <c r="F105" s="6">
        <f t="shared" si="33"/>
        <v>4300.5053548107589</v>
      </c>
      <c r="G105" s="6">
        <f t="shared" si="33"/>
        <v>395.18157314477253</v>
      </c>
      <c r="H105" s="6">
        <v>0.4</v>
      </c>
      <c r="I105" s="6">
        <v>1.5</v>
      </c>
      <c r="J105" s="6">
        <v>1</v>
      </c>
      <c r="K105" s="26">
        <f t="shared" si="34"/>
        <v>1.0308183319067461</v>
      </c>
      <c r="L105" s="6">
        <f t="shared" si="27"/>
        <v>44748.501664922762</v>
      </c>
      <c r="M105" s="6">
        <f t="shared" si="28"/>
        <v>405001.88196144055</v>
      </c>
      <c r="N105" s="6">
        <f t="shared" si="29"/>
        <v>59277.235971715876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32689.652190284487</v>
      </c>
      <c r="U105" s="6">
        <f>VLOOKUP($S$13,角色设定!$AB$9:$AJ$21,MATCH(F$17,角色设定!$AB$9:$AJ$9,0),0)*F105*$L$15/(1+V105/$N$16)</f>
        <v>321505.77848255046</v>
      </c>
      <c r="V105" s="6">
        <f>VLOOKUP($S$13,角色设定!$AB$9:$AJ$21,MATCH(V$17,角色设定!$AB$9:$AJ$9,0),0)*G105*$L$15</f>
        <v>261517.2175222759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T105*战斗公式!$E$39*(1+W105*(X105-1))*Y105</f>
        <v>882620.60913768108</v>
      </c>
      <c r="AD105" s="6">
        <f>U105*战斗公式!$E$41*(1+V105*战斗公式!$E$40)</f>
        <v>1162298.7445434486</v>
      </c>
      <c r="AE105" s="22">
        <f t="shared" si="35"/>
        <v>2044919.3536811296</v>
      </c>
      <c r="AF105" s="22">
        <f t="shared" si="39"/>
        <v>97377.112080054125</v>
      </c>
      <c r="AG105" s="22"/>
      <c r="AH105" s="9">
        <f t="shared" si="36"/>
        <v>9153.1026132796578</v>
      </c>
      <c r="AI105" s="9">
        <f t="shared" si="37"/>
        <v>90021.617975114132</v>
      </c>
      <c r="AJ105" s="9">
        <f t="shared" si="38"/>
        <v>73224.820906237263</v>
      </c>
      <c r="AK105" s="9">
        <f t="shared" si="40"/>
        <v>435.86202920379583</v>
      </c>
      <c r="AL105" s="9">
        <f t="shared" si="41"/>
        <v>1228.0680643555679</v>
      </c>
      <c r="AM105" s="9">
        <f t="shared" si="42"/>
        <v>3486.8962336303666</v>
      </c>
    </row>
    <row r="106" spans="4:39" ht="14.25" customHeight="1" x14ac:dyDescent="0.2">
      <c r="D106" s="1">
        <v>89</v>
      </c>
      <c r="E106" s="6">
        <f t="shared" si="33"/>
        <v>536.98201997907313</v>
      </c>
      <c r="F106" s="6">
        <f t="shared" si="33"/>
        <v>4515.5306225512968</v>
      </c>
      <c r="G106" s="6">
        <f t="shared" si="33"/>
        <v>414.94065180201108</v>
      </c>
      <c r="H106" s="6">
        <v>0.4</v>
      </c>
      <c r="I106" s="6">
        <v>1.5</v>
      </c>
      <c r="J106" s="6">
        <v>1</v>
      </c>
      <c r="K106" s="26">
        <f t="shared" si="34"/>
        <v>1.0302383106678152</v>
      </c>
      <c r="L106" s="6">
        <f t="shared" si="27"/>
        <v>46985.926748168895</v>
      </c>
      <c r="M106" s="6">
        <f t="shared" si="28"/>
        <v>417483.36438258504</v>
      </c>
      <c r="N106" s="6">
        <f t="shared" si="29"/>
        <v>62241.097770301662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34324.13479979871</v>
      </c>
      <c r="U106" s="6">
        <f>VLOOKUP($S$13,角色设定!$AB$9:$AJ$21,MATCH(F$17,角色设定!$AB$9:$AJ$9,0),0)*F106*$L$15/(1+V106/$N$16)</f>
        <v>325797.17889839882</v>
      </c>
      <c r="V106" s="6">
        <f>VLOOKUP($S$13,角色设定!$AB$9:$AJ$21,MATCH(V$17,角色设定!$AB$9:$AJ$9,0),0)*G106*$L$15</f>
        <v>274593.07839838963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T106*战斗公式!$E$39*(1+W106*(X106-1))*Y106</f>
        <v>926751.63959456503</v>
      </c>
      <c r="AD106" s="6">
        <f>U106*战斗公式!$E$41*(1+V106*战斗公式!$E$40)</f>
        <v>1220413.6817706209</v>
      </c>
      <c r="AE106" s="22">
        <f t="shared" si="35"/>
        <v>2147165.321365186</v>
      </c>
      <c r="AF106" s="22">
        <f t="shared" si="39"/>
        <v>102245.96768405638</v>
      </c>
      <c r="AG106" s="22"/>
      <c r="AH106" s="9">
        <f t="shared" si="36"/>
        <v>9610.7577439436391</v>
      </c>
      <c r="AI106" s="9">
        <f t="shared" si="37"/>
        <v>91223.210091551678</v>
      </c>
      <c r="AJ106" s="9">
        <f t="shared" si="38"/>
        <v>76886.061951549098</v>
      </c>
      <c r="AK106" s="9">
        <f t="shared" si="40"/>
        <v>457.65513066398125</v>
      </c>
      <c r="AL106" s="9">
        <f t="shared" si="41"/>
        <v>1201.5921164375468</v>
      </c>
      <c r="AM106" s="9">
        <f t="shared" si="42"/>
        <v>3661.2410453118355</v>
      </c>
    </row>
    <row r="107" spans="4:39" ht="14.25" customHeight="1" x14ac:dyDescent="0.2">
      <c r="D107" s="1">
        <v>90</v>
      </c>
      <c r="E107" s="6">
        <f t="shared" si="33"/>
        <v>563.83112097802677</v>
      </c>
      <c r="F107" s="6">
        <f t="shared" si="33"/>
        <v>4741.3071536788611</v>
      </c>
      <c r="G107" s="6">
        <f t="shared" si="33"/>
        <v>435.68768439211163</v>
      </c>
      <c r="H107" s="6">
        <v>0.4</v>
      </c>
      <c r="I107" s="6">
        <v>1.5</v>
      </c>
      <c r="J107" s="6">
        <v>1</v>
      </c>
      <c r="K107" s="26">
        <f t="shared" si="34"/>
        <v>1.0296523305240244</v>
      </c>
      <c r="L107" s="6">
        <f t="shared" si="27"/>
        <v>49335.223085577338</v>
      </c>
      <c r="M107" s="6">
        <f t="shared" si="28"/>
        <v>430107.35605343035</v>
      </c>
      <c r="N107" s="6">
        <f t="shared" si="29"/>
        <v>65353.152658816747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36040.341539788642</v>
      </c>
      <c r="U107" s="6">
        <f>VLOOKUP($S$13,角色设定!$AB$9:$AJ$21,MATCH(F$17,角色设定!$AB$9:$AJ$9,0),0)*F107*$L$15/(1+V107/$N$16)</f>
        <v>329992.10687690479</v>
      </c>
      <c r="V107" s="6">
        <f>VLOOKUP($S$13,角色设定!$AB$9:$AJ$21,MATCH(V$17,角色设定!$AB$9:$AJ$9,0),0)*G107*$L$15</f>
        <v>288322.73231830914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T107*战斗公式!$E$39*(1+W107*(X107-1))*Y107</f>
        <v>973089.22157429333</v>
      </c>
      <c r="AD107" s="6">
        <f>U107*战斗公式!$E$41*(1+V107*战斗公式!$E$40)</f>
        <v>1281434.3658591516</v>
      </c>
      <c r="AE107" s="22">
        <f t="shared" si="35"/>
        <v>2254523.5874334448</v>
      </c>
      <c r="AF107" s="22">
        <f t="shared" si="39"/>
        <v>107358.26606825879</v>
      </c>
      <c r="AG107" s="22"/>
      <c r="AH107" s="9">
        <f t="shared" si="36"/>
        <v>10091.295631140822</v>
      </c>
      <c r="AI107" s="9">
        <f t="shared" si="37"/>
        <v>92397.789925533347</v>
      </c>
      <c r="AJ107" s="9">
        <f t="shared" si="38"/>
        <v>80730.365049126573</v>
      </c>
      <c r="AK107" s="9">
        <f t="shared" si="40"/>
        <v>480.5378871971825</v>
      </c>
      <c r="AL107" s="9">
        <f t="shared" si="41"/>
        <v>1174.5798339816683</v>
      </c>
      <c r="AM107" s="9">
        <f t="shared" si="42"/>
        <v>3844.3030975774745</v>
      </c>
    </row>
    <row r="108" spans="4:39" ht="14.25" customHeight="1" x14ac:dyDescent="0.2">
      <c r="D108" s="1">
        <v>91</v>
      </c>
      <c r="E108" s="6">
        <f t="shared" si="33"/>
        <v>592.02267702692814</v>
      </c>
      <c r="F108" s="6">
        <f t="shared" si="33"/>
        <v>4978.3725113628043</v>
      </c>
      <c r="G108" s="6">
        <f t="shared" si="33"/>
        <v>457.47206861171719</v>
      </c>
      <c r="H108" s="6">
        <v>0.4</v>
      </c>
      <c r="I108" s="6">
        <v>1.5</v>
      </c>
      <c r="J108" s="6">
        <v>1</v>
      </c>
      <c r="K108" s="26">
        <f t="shared" si="34"/>
        <v>1.0290610067637567</v>
      </c>
      <c r="L108" s="6">
        <f t="shared" si="27"/>
        <v>51801.98423985621</v>
      </c>
      <c r="M108" s="6">
        <f t="shared" si="28"/>
        <v>442861.04153594089</v>
      </c>
      <c r="N108" s="6">
        <f t="shared" si="29"/>
        <v>68620.810291757574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37842.358616778074</v>
      </c>
      <c r="U108" s="6">
        <f>VLOOKUP($S$13,角色设定!$AB$9:$AJ$21,MATCH(F$17,角色设定!$AB$9:$AJ$9,0),0)*F108*$L$15/(1+V108/$N$16)</f>
        <v>334088.9563782973</v>
      </c>
      <c r="V108" s="6">
        <f>VLOOKUP($S$13,角色设定!$AB$9:$AJ$21,MATCH(V$17,角色设定!$AB$9:$AJ$9,0),0)*G108*$L$15</f>
        <v>302738.86893422453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T108*战斗公式!$E$39*(1+W108*(X108-1))*Y108</f>
        <v>1021743.6826530079</v>
      </c>
      <c r="AD108" s="6">
        <f>U108*战斗公式!$E$41*(1+V108*战斗公式!$E$40)</f>
        <v>1345506.0841521095</v>
      </c>
      <c r="AE108" s="22">
        <f t="shared" si="35"/>
        <v>2367249.7668051175</v>
      </c>
      <c r="AF108" s="22">
        <f t="shared" si="39"/>
        <v>112726.17937167268</v>
      </c>
      <c r="AG108" s="22"/>
      <c r="AH108" s="9">
        <f t="shared" si="36"/>
        <v>10595.860412697863</v>
      </c>
      <c r="AI108" s="9">
        <f t="shared" si="37"/>
        <v>93544.907785923249</v>
      </c>
      <c r="AJ108" s="9">
        <f t="shared" si="38"/>
        <v>84766.883301582871</v>
      </c>
      <c r="AK108" s="9">
        <f t="shared" si="40"/>
        <v>504.56478155704099</v>
      </c>
      <c r="AL108" s="9">
        <f t="shared" si="41"/>
        <v>1147.1178603899025</v>
      </c>
      <c r="AM108" s="9">
        <f t="shared" si="42"/>
        <v>4036.5182524562988</v>
      </c>
    </row>
    <row r="109" spans="4:39" ht="14.25" customHeight="1" x14ac:dyDescent="0.2">
      <c r="D109" s="1">
        <v>92</v>
      </c>
      <c r="E109" s="6">
        <f t="shared" si="33"/>
        <v>621.62381087827464</v>
      </c>
      <c r="F109" s="6">
        <f t="shared" si="33"/>
        <v>5227.2911369309459</v>
      </c>
      <c r="G109" s="6">
        <f t="shared" si="33"/>
        <v>480.34567204230319</v>
      </c>
      <c r="H109" s="6">
        <v>0.4</v>
      </c>
      <c r="I109" s="6">
        <v>1.5</v>
      </c>
      <c r="J109" s="6">
        <v>1</v>
      </c>
      <c r="K109" s="26">
        <f t="shared" si="34"/>
        <v>1.0284649787659068</v>
      </c>
      <c r="L109" s="6">
        <f t="shared" si="27"/>
        <v>54392.08345184903</v>
      </c>
      <c r="M109" s="6">
        <f t="shared" si="28"/>
        <v>455731.02925942116</v>
      </c>
      <c r="N109" s="6">
        <f t="shared" si="29"/>
        <v>72051.850806345479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39734.476547616992</v>
      </c>
      <c r="U109" s="6">
        <f>VLOOKUP($S$13,角色设定!$AB$9:$AJ$21,MATCH(F$17,角色设定!$AB$9:$AJ$9,0),0)*F109*$L$15/(1+V109/$N$16)</f>
        <v>338086.42340653652</v>
      </c>
      <c r="V109" s="6">
        <f>VLOOKUP($S$13,角色设定!$AB$9:$AJ$21,MATCH(V$17,角色设定!$AB$9:$AJ$9,0),0)*G109*$L$15</f>
        <v>317875.81238093594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T109*战斗公式!$E$39*(1+W109*(X109-1))*Y109</f>
        <v>1072830.8667856588</v>
      </c>
      <c r="AD109" s="6">
        <f>U109*战斗公式!$E$41*(1+V109*战斗公式!$E$40)</f>
        <v>1412781.3883597152</v>
      </c>
      <c r="AE109" s="22">
        <f t="shared" si="35"/>
        <v>2485612.2551453738</v>
      </c>
      <c r="AF109" s="22">
        <f t="shared" si="39"/>
        <v>118362.48834025627</v>
      </c>
      <c r="AG109" s="22"/>
      <c r="AH109" s="9">
        <f t="shared" si="36"/>
        <v>11125.653433332758</v>
      </c>
      <c r="AI109" s="9">
        <f t="shared" si="37"/>
        <v>94664.19855383024</v>
      </c>
      <c r="AJ109" s="9">
        <f t="shared" si="38"/>
        <v>89005.227466662065</v>
      </c>
      <c r="AK109" s="9">
        <f t="shared" si="40"/>
        <v>529.79302063489558</v>
      </c>
      <c r="AL109" s="9">
        <f t="shared" si="41"/>
        <v>1119.2907679069904</v>
      </c>
      <c r="AM109" s="9">
        <f t="shared" si="42"/>
        <v>4238.3441650791938</v>
      </c>
    </row>
    <row r="110" spans="4:39" ht="14.25" customHeight="1" x14ac:dyDescent="0.2">
      <c r="D110" s="1">
        <v>93</v>
      </c>
      <c r="E110" s="6">
        <f t="shared" si="33"/>
        <v>652.70500142218827</v>
      </c>
      <c r="F110" s="6">
        <f t="shared" si="33"/>
        <v>5488.6556937774922</v>
      </c>
      <c r="G110" s="6">
        <f t="shared" si="33"/>
        <v>504.36295564441821</v>
      </c>
      <c r="H110" s="6">
        <v>0.4</v>
      </c>
      <c r="I110" s="6">
        <v>1.5</v>
      </c>
      <c r="J110" s="6">
        <v>1</v>
      </c>
      <c r="K110" s="26">
        <f t="shared" si="34"/>
        <v>1.0278649073935024</v>
      </c>
      <c r="L110" s="6">
        <f t="shared" si="27"/>
        <v>57111.687624441474</v>
      </c>
      <c r="M110" s="6">
        <f t="shared" si="28"/>
        <v>468703.40333025547</v>
      </c>
      <c r="N110" s="6">
        <f t="shared" si="29"/>
        <v>75654.443346662738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41721.200374997832</v>
      </c>
      <c r="U110" s="6">
        <f>VLOOKUP($S$13,角色设定!$AB$9:$AJ$21,MATCH(F$17,角色设定!$AB$9:$AJ$9,0),0)*F110*$L$15/(1+V110/$N$16)</f>
        <v>341983.49711880577</v>
      </c>
      <c r="V110" s="6">
        <f>VLOOKUP($S$13,角色设定!$AB$9:$AJ$21,MATCH(V$17,角色设定!$AB$9:$AJ$9,0),0)*G110*$L$15</f>
        <v>333769.60299998254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T110*战斗公式!$E$39*(1+W110*(X110-1))*Y110</f>
        <v>1126472.4101249413</v>
      </c>
      <c r="AD110" s="6">
        <f>U110*战斗公式!$E$41*(1+V110*战斗公式!$E$40)</f>
        <v>1483420.4577777006</v>
      </c>
      <c r="AE110" s="22">
        <f t="shared" si="35"/>
        <v>2609892.8679026421</v>
      </c>
      <c r="AF110" s="22">
        <f t="shared" si="39"/>
        <v>124280.61275726836</v>
      </c>
      <c r="AG110" s="22"/>
      <c r="AH110" s="9">
        <f t="shared" si="36"/>
        <v>11681.936104999395</v>
      </c>
      <c r="AI110" s="9">
        <f t="shared" si="37"/>
        <v>95755.379193265631</v>
      </c>
      <c r="AJ110" s="9">
        <f t="shared" si="38"/>
        <v>93455.488839995116</v>
      </c>
      <c r="AK110" s="9">
        <f t="shared" si="40"/>
        <v>556.28267166663682</v>
      </c>
      <c r="AL110" s="9">
        <f t="shared" si="41"/>
        <v>1091.1806394353916</v>
      </c>
      <c r="AM110" s="9">
        <f t="shared" si="42"/>
        <v>4450.2613733330509</v>
      </c>
    </row>
    <row r="111" spans="4:39" ht="14.25" customHeight="1" x14ac:dyDescent="0.2">
      <c r="D111" s="1">
        <v>94</v>
      </c>
      <c r="E111" s="6">
        <f t="shared" si="33"/>
        <v>685.34025149329773</v>
      </c>
      <c r="F111" s="6">
        <f t="shared" si="33"/>
        <v>5763.0884784663676</v>
      </c>
      <c r="G111" s="6">
        <f t="shared" si="33"/>
        <v>529.58110342663929</v>
      </c>
      <c r="H111" s="6">
        <v>0.4</v>
      </c>
      <c r="I111" s="6">
        <v>1.5</v>
      </c>
      <c r="J111" s="6">
        <v>1</v>
      </c>
      <c r="K111" s="26">
        <f t="shared" si="34"/>
        <v>1.0272614721821602</v>
      </c>
      <c r="L111" s="6">
        <f t="shared" si="27"/>
        <v>59967.272005663552</v>
      </c>
      <c r="M111" s="6">
        <f t="shared" si="28"/>
        <v>481763.78025907243</v>
      </c>
      <c r="N111" s="6">
        <f t="shared" si="29"/>
        <v>79437.165513995889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43807.260393747725</v>
      </c>
      <c r="U111" s="6">
        <f>VLOOKUP($S$13,角色设定!$AB$9:$AJ$21,MATCH(F$17,角色设定!$AB$9:$AJ$9,0),0)*F111*$L$15/(1+V111/$N$16)</f>
        <v>345779.44961595442</v>
      </c>
      <c r="V111" s="6">
        <f>VLOOKUP($S$13,角色设定!$AB$9:$AJ$21,MATCH(V$17,角色设定!$AB$9:$AJ$9,0),0)*G111*$L$15</f>
        <v>350458.08314998186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T111*战斗公式!$E$39*(1+W111*(X111-1))*Y111</f>
        <v>1182796.0306311885</v>
      </c>
      <c r="AD111" s="6">
        <f>U111*战斗公式!$E$41*(1+V111*战斗公式!$E$40)</f>
        <v>1557591.4806665857</v>
      </c>
      <c r="AE111" s="22">
        <f t="shared" si="35"/>
        <v>2740387.5112977745</v>
      </c>
      <c r="AF111" s="22">
        <f t="shared" si="39"/>
        <v>130494.64339513239</v>
      </c>
      <c r="AG111" s="22"/>
      <c r="AH111" s="9">
        <f t="shared" si="36"/>
        <v>12266.032910249363</v>
      </c>
      <c r="AI111" s="9">
        <f t="shared" si="37"/>
        <v>96818.245892467254</v>
      </c>
      <c r="AJ111" s="9">
        <f t="shared" si="38"/>
        <v>98128.263281994936</v>
      </c>
      <c r="AK111" s="9">
        <f t="shared" si="40"/>
        <v>584.09680524996838</v>
      </c>
      <c r="AL111" s="9">
        <f t="shared" si="41"/>
        <v>1062.8666992016224</v>
      </c>
      <c r="AM111" s="9">
        <f t="shared" si="42"/>
        <v>4672.7744419998198</v>
      </c>
    </row>
    <row r="112" spans="4:39" ht="14.25" customHeight="1" x14ac:dyDescent="0.2">
      <c r="D112" s="1">
        <v>95</v>
      </c>
      <c r="E112" s="6">
        <f t="shared" si="33"/>
        <v>719.60726406796243</v>
      </c>
      <c r="F112" s="6">
        <f t="shared" si="33"/>
        <v>6051.2429023896839</v>
      </c>
      <c r="G112" s="6">
        <f t="shared" si="33"/>
        <v>556.06015859797094</v>
      </c>
      <c r="H112" s="6">
        <v>0.4</v>
      </c>
      <c r="I112" s="6">
        <v>1.5</v>
      </c>
      <c r="J112" s="6">
        <v>1</v>
      </c>
      <c r="K112" s="26">
        <f t="shared" si="34"/>
        <v>1.0266553683474964</v>
      </c>
      <c r="L112" s="6">
        <f t="shared" si="27"/>
        <v>62965.635605946707</v>
      </c>
      <c r="M112" s="6">
        <f t="shared" si="28"/>
        <v>494897.37015297747</v>
      </c>
      <c r="N112" s="6">
        <f t="shared" si="29"/>
        <v>83409.023789695639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45997.623413435096</v>
      </c>
      <c r="U112" s="6">
        <f>VLOOKUP($S$13,角色设定!$AB$9:$AJ$21,MATCH(F$17,角色设定!$AB$9:$AJ$9,0),0)*F112*$L$15/(1+V112/$N$16)</f>
        <v>349473.82459051692</v>
      </c>
      <c r="V112" s="6">
        <f>VLOOKUP($S$13,角色设定!$AB$9:$AJ$21,MATCH(V$17,角色设定!$AB$9:$AJ$9,0),0)*G112*$L$15</f>
        <v>367980.98730748071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T112*战斗公式!$E$39*(1+W112*(X112-1))*Y112</f>
        <v>1241935.8321627476</v>
      </c>
      <c r="AD112" s="6">
        <f>U112*战斗公式!$E$41*(1+V112*战斗公式!$E$40)</f>
        <v>1635471.0546999145</v>
      </c>
      <c r="AE112" s="22">
        <f t="shared" si="35"/>
        <v>2877406.8868626622</v>
      </c>
      <c r="AF112" s="22">
        <f t="shared" si="39"/>
        <v>137019.37556488765</v>
      </c>
      <c r="AG112" s="22"/>
      <c r="AH112" s="9">
        <f t="shared" si="36"/>
        <v>12879.334555761829</v>
      </c>
      <c r="AI112" s="9">
        <f t="shared" si="37"/>
        <v>97852.670885344749</v>
      </c>
      <c r="AJ112" s="9">
        <f t="shared" si="38"/>
        <v>103034.67644609461</v>
      </c>
      <c r="AK112" s="9">
        <f t="shared" si="40"/>
        <v>613.30164551246526</v>
      </c>
      <c r="AL112" s="9">
        <f t="shared" si="41"/>
        <v>1034.4249928774952</v>
      </c>
      <c r="AM112" s="9">
        <f t="shared" si="42"/>
        <v>4906.4131640996784</v>
      </c>
    </row>
    <row r="113" spans="4:39" ht="14.25" customHeight="1" x14ac:dyDescent="0.2">
      <c r="D113" s="1">
        <v>96</v>
      </c>
      <c r="E113" s="6">
        <f t="shared" si="33"/>
        <v>755.58762727136082</v>
      </c>
      <c r="F113" s="6">
        <f t="shared" si="33"/>
        <v>6353.8050475091704</v>
      </c>
      <c r="G113" s="6">
        <f t="shared" si="33"/>
        <v>583.86316652786979</v>
      </c>
      <c r="H113" s="6">
        <v>0.4</v>
      </c>
      <c r="I113" s="6">
        <v>1.5</v>
      </c>
      <c r="J113" s="6">
        <v>1</v>
      </c>
      <c r="K113" s="26">
        <f t="shared" si="34"/>
        <v>1.026047303638514</v>
      </c>
      <c r="L113" s="6">
        <f t="shared" si="27"/>
        <v>66113.917386244066</v>
      </c>
      <c r="M113" s="6">
        <f t="shared" si="28"/>
        <v>508089.04184861237</v>
      </c>
      <c r="N113" s="6">
        <f t="shared" si="29"/>
        <v>87579.474979180464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48297.504584106864</v>
      </c>
      <c r="U113" s="6">
        <f>VLOOKUP($S$13,角色设定!$AB$9:$AJ$21,MATCH(F$17,角色设定!$AB$9:$AJ$9,0),0)*F113*$L$15/(1+V113/$N$16)</f>
        <v>353066.42500830081</v>
      </c>
      <c r="V113" s="6">
        <f>VLOOKUP($S$13,角色设定!$AB$9:$AJ$21,MATCH(V$17,角色设定!$AB$9:$AJ$9,0),0)*G113*$L$15</f>
        <v>386380.03667285497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T113*战斗公式!$E$39*(1+W113*(X113-1))*Y113</f>
        <v>1304032.6237708854</v>
      </c>
      <c r="AD113" s="6">
        <f>U113*战斗公式!$E$41*(1+V113*战斗公式!$E$40)</f>
        <v>1717244.6074349117</v>
      </c>
      <c r="AE113" s="22">
        <f t="shared" si="35"/>
        <v>3021277.2312057968</v>
      </c>
      <c r="AF113" s="22">
        <f t="shared" si="39"/>
        <v>143870.34434313467</v>
      </c>
      <c r="AG113" s="22"/>
      <c r="AH113" s="9">
        <f t="shared" si="36"/>
        <v>13523.301283549923</v>
      </c>
      <c r="AI113" s="9">
        <f t="shared" si="37"/>
        <v>98858.599002324234</v>
      </c>
      <c r="AJ113" s="9">
        <f t="shared" si="38"/>
        <v>108186.4102683994</v>
      </c>
      <c r="AK113" s="9">
        <f t="shared" si="40"/>
        <v>643.96672778809443</v>
      </c>
      <c r="AL113" s="9">
        <f t="shared" si="41"/>
        <v>1005.9281169794849</v>
      </c>
      <c r="AM113" s="9">
        <f t="shared" si="42"/>
        <v>5151.7338223047846</v>
      </c>
    </row>
    <row r="114" spans="4:39" ht="14.25" customHeight="1" x14ac:dyDescent="0.2">
      <c r="D114" s="1">
        <v>97</v>
      </c>
      <c r="E114" s="6">
        <f t="shared" si="33"/>
        <v>793.36700863492877</v>
      </c>
      <c r="F114" s="6">
        <f t="shared" si="33"/>
        <v>6671.4952998846284</v>
      </c>
      <c r="G114" s="6">
        <f t="shared" si="33"/>
        <v>613.05632485426327</v>
      </c>
      <c r="H114" s="6">
        <v>0.4</v>
      </c>
      <c r="I114" s="6">
        <v>1.5</v>
      </c>
      <c r="J114" s="6">
        <v>1</v>
      </c>
      <c r="K114" s="26">
        <f t="shared" si="34"/>
        <v>1.0254379950666377</v>
      </c>
      <c r="L114" s="6">
        <f t="shared" si="27"/>
        <v>69419.613255556251</v>
      </c>
      <c r="M114" s="6">
        <f t="shared" ref="M114:M117" si="46">F114/(1+N114/$N$16)*$L$15</f>
        <v>521323.39139704488</v>
      </c>
      <c r="N114" s="6">
        <f t="shared" si="29"/>
        <v>91958.448728139483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50712.379813312211</v>
      </c>
      <c r="U114" s="6">
        <f>VLOOKUP($S$13,角色设定!$AB$9:$AJ$21,MATCH(F$17,角色设定!$AB$9:$AJ$9,0),0)*F114*$L$15/(1+V114/$N$16)</f>
        <v>356557.29999642627</v>
      </c>
      <c r="V114" s="6">
        <f>VLOOKUP($S$13,角色设定!$AB$9:$AJ$21,MATCH(V$17,角色设定!$AB$9:$AJ$9,0),0)*G114*$L$15</f>
        <v>405699.03850649769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T114*战斗公式!$E$39*(1+W114*(X114-1))*Y114</f>
        <v>1369234.2549594296</v>
      </c>
      <c r="AD114" s="6">
        <f>U114*战斗公式!$E$41*(1+V114*战斗公式!$E$40)</f>
        <v>1803106.8378066563</v>
      </c>
      <c r="AE114" s="22">
        <f t="shared" si="35"/>
        <v>3172341.0927660856</v>
      </c>
      <c r="AF114" s="22">
        <f t="shared" si="39"/>
        <v>151063.86156028882</v>
      </c>
      <c r="AG114" s="22"/>
      <c r="AH114" s="9">
        <f t="shared" si="36"/>
        <v>14199.466347727421</v>
      </c>
      <c r="AI114" s="9">
        <f t="shared" si="37"/>
        <v>99836.043998999361</v>
      </c>
      <c r="AJ114" s="9">
        <f t="shared" si="38"/>
        <v>113595.73078181937</v>
      </c>
      <c r="AK114" s="9">
        <f t="shared" si="40"/>
        <v>676.1650641774977</v>
      </c>
      <c r="AL114" s="9">
        <f t="shared" si="41"/>
        <v>977.44499667512719</v>
      </c>
      <c r="AM114" s="9">
        <f t="shared" si="42"/>
        <v>5409.320513419967</v>
      </c>
    </row>
    <row r="115" spans="4:39" ht="14.25" customHeight="1" x14ac:dyDescent="0.2">
      <c r="D115" s="1">
        <v>98</v>
      </c>
      <c r="E115" s="6">
        <f t="shared" si="33"/>
        <v>833.03535906667526</v>
      </c>
      <c r="F115" s="6">
        <f t="shared" si="33"/>
        <v>7005.0700648788597</v>
      </c>
      <c r="G115" s="6">
        <f t="shared" si="33"/>
        <v>643.7091410969764</v>
      </c>
      <c r="H115" s="6">
        <v>0.4</v>
      </c>
      <c r="I115" s="6">
        <v>1.5</v>
      </c>
      <c r="J115" s="6">
        <v>1</v>
      </c>
      <c r="K115" s="26">
        <f t="shared" si="34"/>
        <v>1.024828165542107</v>
      </c>
      <c r="L115" s="6">
        <f t="shared" si="27"/>
        <v>72890.593918334082</v>
      </c>
      <c r="M115" s="6">
        <f t="shared" si="46"/>
        <v>534584.81325552578</v>
      </c>
      <c r="N115" s="6">
        <f t="shared" si="29"/>
        <v>96556.371164546465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53247.998803977818</v>
      </c>
      <c r="U115" s="6">
        <f>VLOOKUP($S$13,角色设定!$AB$9:$AJ$21,MATCH(F$17,角色设定!$AB$9:$AJ$9,0),0)*F115*$L$15/(1+V115/$N$16)</f>
        <v>359946.7311053818</v>
      </c>
      <c r="V115" s="6">
        <f>VLOOKUP($S$13,角色设定!$AB$9:$AJ$21,MATCH(V$17,角色设定!$AB$9:$AJ$9,0),0)*G115*$L$15</f>
        <v>425983.99043182255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T115*战斗公式!$E$39*(1+W115*(X115-1))*Y115</f>
        <v>1437695.9677074011</v>
      </c>
      <c r="AD115" s="6">
        <f>U115*战斗公式!$E$41*(1+V115*战斗公式!$E$40)</f>
        <v>1893262.1796969897</v>
      </c>
      <c r="AE115" s="22">
        <f t="shared" si="35"/>
        <v>3330958.1474043909</v>
      </c>
      <c r="AF115" s="22">
        <f t="shared" si="39"/>
        <v>158617.05463830521</v>
      </c>
      <c r="AG115" s="22"/>
      <c r="AH115" s="9">
        <f t="shared" si="36"/>
        <v>14909.43966511379</v>
      </c>
      <c r="AI115" s="9">
        <f t="shared" si="37"/>
        <v>100785.08470950692</v>
      </c>
      <c r="AJ115" s="9">
        <f t="shared" si="38"/>
        <v>119275.51732091032</v>
      </c>
      <c r="AK115" s="9">
        <f t="shared" si="40"/>
        <v>709.97331738636967</v>
      </c>
      <c r="AL115" s="9">
        <f t="shared" si="41"/>
        <v>949.04071050755738</v>
      </c>
      <c r="AM115" s="9">
        <f t="shared" si="42"/>
        <v>5679.7865390909574</v>
      </c>
    </row>
    <row r="116" spans="4:39" ht="14.25" customHeight="1" x14ac:dyDescent="0.2">
      <c r="D116" s="1">
        <v>99</v>
      </c>
      <c r="E116" s="6">
        <f t="shared" si="33"/>
        <v>874.68712702000903</v>
      </c>
      <c r="F116" s="6">
        <f t="shared" si="33"/>
        <v>7355.3235681228034</v>
      </c>
      <c r="G116" s="6">
        <f t="shared" si="33"/>
        <v>675.89459815182522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7"/>
        <v>76535.123614250784</v>
      </c>
      <c r="M116" s="6">
        <f t="shared" si="46"/>
        <v>547857.57349533029</v>
      </c>
      <c r="N116" s="6">
        <f t="shared" si="29"/>
        <v>101384.18972277378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55910.398744176709</v>
      </c>
      <c r="U116" s="6">
        <f>VLOOKUP($S$13,角色设定!$AB$9:$AJ$21,MATCH(F$17,角色设定!$AB$9:$AJ$9,0),0)*F116*$L$15/(1+V116/$N$16)</f>
        <v>363235.21810546686</v>
      </c>
      <c r="V116" s="6">
        <f>VLOOKUP($S$13,角色设定!$AB$9:$AJ$21,MATCH(V$17,角色设定!$AB$9:$AJ$9,0),0)*G116*$L$15</f>
        <v>447283.18995341368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T116*战斗公式!$E$39*(1+W116*(X116-1))*Y116</f>
        <v>1509580.7660927712</v>
      </c>
      <c r="AD116" s="6">
        <f>U116*战斗公式!$E$41*(1+V116*战斗公式!$E$40)</f>
        <v>1987925.2886818389</v>
      </c>
      <c r="AE116" s="22">
        <f t="shared" si="35"/>
        <v>3497506.0547746103</v>
      </c>
      <c r="AF116" s="22">
        <f t="shared" si="39"/>
        <v>166547.90737021947</v>
      </c>
      <c r="AG116" s="22"/>
      <c r="AH116" s="9">
        <f t="shared" si="36"/>
        <v>15654.91164836948</v>
      </c>
      <c r="AI116" s="9">
        <f t="shared" si="37"/>
        <v>101705.86106953073</v>
      </c>
      <c r="AJ116" s="9">
        <f t="shared" si="38"/>
        <v>125239.29318695584</v>
      </c>
      <c r="AK116" s="9">
        <f t="shared" si="40"/>
        <v>745.47198325568934</v>
      </c>
      <c r="AL116" s="9">
        <f t="shared" si="41"/>
        <v>920.77636002381041</v>
      </c>
      <c r="AM116" s="9">
        <f t="shared" si="42"/>
        <v>5963.7758660455147</v>
      </c>
    </row>
    <row r="117" spans="4:39" ht="14.25" customHeight="1" x14ac:dyDescent="0.2">
      <c r="D117" s="1">
        <v>100</v>
      </c>
      <c r="E117" s="6">
        <f t="shared" si="33"/>
        <v>918.42148337100957</v>
      </c>
      <c r="F117" s="6">
        <f t="shared" si="33"/>
        <v>7723.0897465289445</v>
      </c>
      <c r="G117" s="6">
        <f t="shared" si="33"/>
        <v>709.68932805941654</v>
      </c>
      <c r="H117" s="6">
        <v>0.4</v>
      </c>
      <c r="I117" s="6">
        <v>1.5</v>
      </c>
      <c r="J117" s="6">
        <v>1</v>
      </c>
      <c r="K117" s="26"/>
      <c r="L117" s="6">
        <f t="shared" si="27"/>
        <v>80361.87979496333</v>
      </c>
      <c r="M117" s="6">
        <f t="shared" si="46"/>
        <v>561125.88430044684</v>
      </c>
      <c r="N117" s="6">
        <f t="shared" si="29"/>
        <v>106453.39920891248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58705.918681385556</v>
      </c>
      <c r="U117" s="6">
        <f>VLOOKUP($S$13,角色设定!$AB$9:$AJ$21,MATCH(F$17,角色设定!$AB$9:$AJ$9,0),0)*F117*$L$15/(1+V117/$N$16)</f>
        <v>366423.46446925215</v>
      </c>
      <c r="V117" s="6">
        <f>VLOOKUP($S$13,角色设定!$AB$9:$AJ$21,MATCH(V$17,角色设定!$AB$9:$AJ$9,0),0)*G117*$L$15</f>
        <v>469647.34945108439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T117*战斗公式!$E$39*(1+W117*(X117-1))*Y117</f>
        <v>1585059.80439741</v>
      </c>
      <c r="AD117" s="6">
        <f>U117*战斗公式!$E$41*(1+V117*战斗公式!$E$40)</f>
        <v>2087321.5531159309</v>
      </c>
      <c r="AE117" s="22">
        <f t="shared" si="35"/>
        <v>3672381.3575133411</v>
      </c>
      <c r="AF117" s="22">
        <f t="shared" si="39"/>
        <v>174875.3027387308</v>
      </c>
      <c r="AG117" s="22"/>
      <c r="AH117" s="9">
        <f t="shared" si="36"/>
        <v>16437.657230787958</v>
      </c>
      <c r="AI117" s="9">
        <f t="shared" si="37"/>
        <v>102598.57005139062</v>
      </c>
      <c r="AJ117" s="9">
        <f t="shared" si="38"/>
        <v>131501.25784630363</v>
      </c>
      <c r="AK117" s="9">
        <f t="shared" si="40"/>
        <v>782.74558241847808</v>
      </c>
      <c r="AL117" s="9">
        <f t="shared" si="41"/>
        <v>892.70898185989063</v>
      </c>
      <c r="AM117" s="9">
        <f t="shared" si="42"/>
        <v>6261.9646593477955</v>
      </c>
    </row>
    <row r="118" spans="4:39" ht="14.25" customHeight="1" x14ac:dyDescent="0.2">
      <c r="M118" s="6">
        <f>M117/L117</f>
        <v>6.982488285890188</v>
      </c>
      <c r="N118" s="6">
        <f>M117/N117</f>
        <v>5.2710940981720036</v>
      </c>
      <c r="U118" s="6">
        <f>U117/T117</f>
        <v>6.2416783980153863</v>
      </c>
      <c r="V118" s="6">
        <f>U117/V117</f>
        <v>0.78020979975192339</v>
      </c>
      <c r="AI118" s="1">
        <f t="shared" ref="AI118" si="47">M118*$F$5*2</f>
        <v>3.9101934400985057</v>
      </c>
      <c r="AJ118" s="1">
        <f t="shared" ref="AJ118" si="48">N118*$F$5*2</f>
        <v>2.9518126949763221</v>
      </c>
      <c r="AK118" s="9">
        <f t="shared" si="40"/>
        <v>-16437.657230787958</v>
      </c>
      <c r="AL118" s="9">
        <f t="shared" si="41"/>
        <v>-102594.65985795052</v>
      </c>
      <c r="AM118" s="9">
        <f t="shared" si="42"/>
        <v>-131498.30603360865</v>
      </c>
    </row>
    <row r="119" spans="4:39" ht="14.25" customHeight="1" x14ac:dyDescent="0.2">
      <c r="L119" s="6">
        <f>L117/100</f>
        <v>803.61879794963329</v>
      </c>
      <c r="M119" s="6">
        <f>M117/100</f>
        <v>5611.258843004468</v>
      </c>
      <c r="N119" s="6">
        <f t="shared" ref="N119" si="49">N117/100</f>
        <v>1064.5339920891247</v>
      </c>
    </row>
    <row r="121" spans="4:39" ht="14.25" customHeight="1" x14ac:dyDescent="0.2">
      <c r="L121" s="8">
        <f>L119*0.4</f>
        <v>321.44751917985332</v>
      </c>
      <c r="M121" s="8">
        <f>M119*0.4</f>
        <v>2244.5035372017874</v>
      </c>
      <c r="N121" s="8">
        <f>N119*4</f>
        <v>4258.1359683564988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79" t="s">
        <v>185</v>
      </c>
      <c r="B1" s="80"/>
      <c r="AB1" s="9"/>
    </row>
    <row r="2" spans="1:33" ht="14.25" customHeight="1" x14ac:dyDescent="0.2">
      <c r="A2" s="81"/>
      <c r="B2" s="82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79" t="s">
        <v>182</v>
      </c>
      <c r="B1" s="80"/>
      <c r="M1" s="3" t="s">
        <v>157</v>
      </c>
      <c r="N1" s="1" t="s">
        <v>258</v>
      </c>
      <c r="AC1" s="9"/>
    </row>
    <row r="2" spans="1:34" ht="14.25" customHeight="1" x14ac:dyDescent="0.2">
      <c r="A2" s="81"/>
      <c r="B2" s="82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98" t="str">
        <f>N2</f>
        <v>SSR</v>
      </c>
      <c r="P3" s="99"/>
      <c r="Q3" s="99"/>
      <c r="R3" s="99"/>
      <c r="S3" s="99"/>
      <c r="T3" s="37"/>
      <c r="U3" s="37"/>
      <c r="V3" s="98" t="s">
        <v>196</v>
      </c>
      <c r="W3" s="99"/>
      <c r="X3" s="99"/>
      <c r="Y3" s="99"/>
      <c r="Z3" s="99"/>
      <c r="AA3" s="99"/>
      <c r="AB3" s="100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0.2184587439305386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258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187.5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0.9</v>
      </c>
      <c r="T5" s="42">
        <f>N5*(1+Q5*(R5-1))*S5*战斗公式!$E$39+(P5*战斗公式!$E$40+1)*O5*战斗公式!$E$41</f>
        <v>8990.8854166666661</v>
      </c>
      <c r="U5" s="42">
        <f>T6-T5</f>
        <v>449.54427083333576</v>
      </c>
      <c r="V5" s="6">
        <f>VLOOKUP($N$1,$D$4:$J$15,MATCH(F$4,$D$4:$J$4,0),0)*角色成长!E18*角色成长!$L$15*AB5/AA5/(1+$Y$2*($Z$2-1))</f>
        <v>187.5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2" t="s">
        <v>259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196.87500000000006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0.9</v>
      </c>
      <c r="T6" s="42">
        <f>N6*(1+Q6*(R6-1))*S6*战斗公式!$E$39+(P6*战斗公式!$E$40+1)*O6*战斗公式!$E$41</f>
        <v>9440.4296875000018</v>
      </c>
      <c r="U6" s="42">
        <f t="shared" ref="U6:U69" si="6">T7-T6</f>
        <v>472.02148437499818</v>
      </c>
      <c r="V6" s="6">
        <f>VLOOKUP($N$1,$D$4:$J$15,MATCH(F$4,$D$4:$J$4,0),0)*角色成长!E19*角色成长!$L$15*AB6/AA6/(1+$Y$2*($Z$2-1))</f>
        <v>196.87500000000006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2" t="s">
        <v>260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206.71875000000003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0.9</v>
      </c>
      <c r="T7" s="42">
        <f>N7*(1+Q7*(R7-1))*S7*战斗公式!$E$39+(P7*战斗公式!$E$40+1)*O7*战斗公式!$E$41</f>
        <v>9912.451171875</v>
      </c>
      <c r="U7" s="42">
        <f t="shared" si="6"/>
        <v>495.62255859375182</v>
      </c>
      <c r="V7" s="6">
        <f>VLOOKUP($N$1,$D$4:$J$15,MATCH(F$4,$D$4:$J$4,0),0)*角色成长!E20*角色成长!$L$15*AB7/AA7/(1+$Y$2*($Z$2-1))</f>
        <v>206.71875000000003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2" t="s">
        <v>261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217.05468750000006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0.9</v>
      </c>
      <c r="T8" s="42">
        <f>N8*(1+Q8*(R8-1))*S8*战斗公式!$E$39+(P8*战斗公式!$E$40+1)*O8*战斗公式!$E$41</f>
        <v>10408.073730468752</v>
      </c>
      <c r="U8" s="42">
        <f t="shared" si="6"/>
        <v>520.40368652343568</v>
      </c>
      <c r="V8" s="6">
        <f>VLOOKUP($N$1,$D$4:$J$15,MATCH(F$4,$D$4:$J$4,0),0)*角色成长!E21*角色成长!$L$15*AB8/AA8/(1+$Y$2*($Z$2-1))</f>
        <v>217.05468750000006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2" t="s">
        <v>262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1.1901936511321409</v>
      </c>
      <c r="M9" s="1">
        <v>5</v>
      </c>
      <c r="N9" s="6">
        <f>VLOOKUP($N$2,角色品星!$C$16:$D$20,2,0)*VLOOKUP($N$3,角色品星!$C$3:$E$14,3,0)*V9</f>
        <v>227.90742187499998</v>
      </c>
      <c r="O9" s="6">
        <f>VLOOKUP($N$2,角色品星!$C$16:$D$20,2,0)*VLOOKUP($N$3,角色品星!$C$3:$E$14,3,0)*W9</f>
        <v>5425.0793312303867</v>
      </c>
      <c r="P9" s="6">
        <f>VLOOKUP($N$2,角色品星!$C$16:$D$20,2,0)*VLOOKUP($N$3,角色品星!$C$3:$E$14,3,0)*X9</f>
        <v>4558.1484374999991</v>
      </c>
      <c r="Q9" s="24">
        <f t="shared" si="3"/>
        <v>0.05</v>
      </c>
      <c r="R9" s="24">
        <f t="shared" si="4"/>
        <v>1.5</v>
      </c>
      <c r="S9" s="24">
        <f t="shared" si="5"/>
        <v>0.9</v>
      </c>
      <c r="T9" s="42">
        <f>N9*(1+Q9*(R9-1))*S9*战斗公式!$E$39+(P9*战斗公式!$E$40+1)*O9*战斗公式!$E$41</f>
        <v>10928.477416992188</v>
      </c>
      <c r="U9" s="42">
        <f t="shared" si="6"/>
        <v>546.42387084961229</v>
      </c>
      <c r="V9" s="6">
        <f>VLOOKUP($N$1,$D$4:$J$15,MATCH(F$4,$D$4:$J$4,0),0)*角色成长!E22*角色成长!$L$15*AB9/AA9/(1+$Y$2*($Z$2-1))</f>
        <v>227.90742187499998</v>
      </c>
      <c r="W9" s="6">
        <f>VLOOKUP($N$1,$D$4:$J$15,MATCH(G$4,$D$4:$J$4,0),0)*角色成长!F22*角色成长!$L$15/(1+X9/角色成长!$N$16)</f>
        <v>5425.0793312303867</v>
      </c>
      <c r="X9" s="6">
        <f>VLOOKUP($N$1,$D$4:$J$15,MATCH(H$4,$D$4:$J$4,0),0)*角色成长!G22*角色成长!$L$15</f>
        <v>4558.1484374999991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2" t="s">
        <v>263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239.30279296875005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0.9</v>
      </c>
      <c r="T10" s="42">
        <f>N10*(1+Q10*(R10-1))*S10*战斗公式!$E$39+(P10*战斗公式!$E$40+1)*O10*战斗公式!$E$41</f>
        <v>11474.9012878418</v>
      </c>
      <c r="U10" s="42">
        <f t="shared" si="6"/>
        <v>573.74506439208562</v>
      </c>
      <c r="V10" s="6">
        <f>VLOOKUP($N$1,$D$4:$J$15,MATCH(F$4,$D$4:$J$4,0),0)*角色成长!E23*角色成长!$L$15*AB10/AA10/(1+$Y$2*($Z$2-1))</f>
        <v>239.30279296875005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2" t="s">
        <v>264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251.26793261718751</v>
      </c>
      <c r="O11" s="6">
        <f>VLOOKUP($N$2,角色品星!$C$16:$D$20,2,0)*VLOOKUP($N$3,角色品星!$C$3:$E$14,3,0)*W11</f>
        <v>5954.5425376278308</v>
      </c>
      <c r="P11" s="6">
        <f>VLOOKUP($N$2,角色品星!$C$16:$D$20,2,0)*VLOOKUP($N$3,角色品星!$C$3:$E$14,3,0)*X11</f>
        <v>5025.3586523437489</v>
      </c>
      <c r="Q11" s="24">
        <f t="shared" si="3"/>
        <v>0.05</v>
      </c>
      <c r="R11" s="24">
        <f t="shared" si="4"/>
        <v>1.5</v>
      </c>
      <c r="S11" s="24">
        <f t="shared" si="5"/>
        <v>0.9</v>
      </c>
      <c r="T11" s="42">
        <f>N11*(1+Q11*(R11-1))*S11*战斗公式!$E$39+(P11*战斗公式!$E$40+1)*O11*战斗公式!$E$41</f>
        <v>12048.646352233885</v>
      </c>
      <c r="U11" s="42">
        <f t="shared" si="6"/>
        <v>602.43231761169955</v>
      </c>
      <c r="V11" s="6">
        <f>VLOOKUP($N$1,$D$4:$J$15,MATCH(F$4,$D$4:$J$4,0),0)*角色成长!E24*角色成长!$L$15*AB11/AA11/(1+$Y$2*($Z$2-1))</f>
        <v>251.26793261718751</v>
      </c>
      <c r="W11" s="6">
        <f>VLOOKUP($N$1,$D$4:$J$15,MATCH(G$4,$D$4:$J$4,0),0)*角色成长!F24*角色成长!$L$15/(1+X11/角色成长!$N$16)</f>
        <v>5954.5425376278308</v>
      </c>
      <c r="X11" s="6">
        <f>VLOOKUP($N$1,$D$4:$J$15,MATCH(H$4,$D$4:$J$4,0),0)*角色成长!G24*角色成长!$L$15</f>
        <v>5025.3586523437489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2" t="s">
        <v>265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263.83132924804698</v>
      </c>
      <c r="O12" s="6">
        <f>VLOOKUP($N$2,角色品星!$C$16:$D$20,2,0)*VLOOKUP($N$3,角色品星!$C$3:$E$14,3,0)*W12</f>
        <v>6237.3471225953399</v>
      </c>
      <c r="P12" s="6">
        <f>VLOOKUP($N$2,角色品星!$C$16:$D$20,2,0)*VLOOKUP($N$3,角色品星!$C$3:$E$14,3,0)*X12</f>
        <v>5276.6265849609372</v>
      </c>
      <c r="Q12" s="24">
        <f t="shared" si="3"/>
        <v>0.05</v>
      </c>
      <c r="R12" s="24">
        <f t="shared" si="4"/>
        <v>1.5</v>
      </c>
      <c r="S12" s="24">
        <f t="shared" si="5"/>
        <v>0.9</v>
      </c>
      <c r="T12" s="42">
        <f>N12*(1+Q12*(R12-1))*S12*战斗公式!$E$39+(P12*战斗公式!$E$40+1)*O12*战斗公式!$E$41</f>
        <v>12651.078669845585</v>
      </c>
      <c r="U12" s="42">
        <f t="shared" si="6"/>
        <v>632.55393349227415</v>
      </c>
      <c r="V12" s="6">
        <f>VLOOKUP($N$1,$D$4:$J$15,MATCH(F$4,$D$4:$J$4,0),0)*角色成长!E25*角色成长!$L$15*AB12/AA12/(1+$Y$2*($Z$2-1))</f>
        <v>263.83132924804698</v>
      </c>
      <c r="W12" s="6">
        <f>VLOOKUP($N$1,$D$4:$J$15,MATCH(G$4,$D$4:$J$4,0),0)*角色成长!F25*角色成长!$L$15/(1+X12/角色成长!$N$16)</f>
        <v>6237.3471225953399</v>
      </c>
      <c r="X12" s="6">
        <f>VLOOKUP($N$1,$D$4:$J$15,MATCH(H$4,$D$4:$J$4,0),0)*角色成长!G25*角色成长!$L$15</f>
        <v>5276.6265849609372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2" t="s">
        <v>266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277.02289571044923</v>
      </c>
      <c r="O13" s="6">
        <f>VLOOKUP($N$2,角色品星!$C$16:$D$20,2,0)*VLOOKUP($N$3,角色品星!$C$3:$E$14,3,0)*W13</f>
        <v>6532.8426721629512</v>
      </c>
      <c r="P13" s="6">
        <f>VLOOKUP($N$2,角色品星!$C$16:$D$20,2,0)*VLOOKUP($N$3,角色品星!$C$3:$E$14,3,0)*X13</f>
        <v>5540.4579142089833</v>
      </c>
      <c r="Q13" s="24">
        <f t="shared" si="3"/>
        <v>0.05</v>
      </c>
      <c r="R13" s="24">
        <f t="shared" si="4"/>
        <v>1.5</v>
      </c>
      <c r="S13" s="24">
        <f t="shared" si="5"/>
        <v>0.9</v>
      </c>
      <c r="T13" s="42">
        <f>N13*(1+Q13*(R13-1))*S13*战斗公式!$E$39+(P13*战斗公式!$E$40+1)*O13*战斗公式!$E$41</f>
        <v>13283.632603337859</v>
      </c>
      <c r="U13" s="42">
        <f t="shared" si="6"/>
        <v>664.18163016689505</v>
      </c>
      <c r="V13" s="6">
        <f>VLOOKUP($N$1,$D$4:$J$15,MATCH(F$4,$D$4:$J$4,0),0)*角色成长!E26*角色成长!$L$15*AB13/AA13/(1+$Y$2*($Z$2-1))</f>
        <v>277.02289571044923</v>
      </c>
      <c r="W13" s="6">
        <f>VLOOKUP($N$1,$D$4:$J$15,MATCH(G$4,$D$4:$J$4,0),0)*角色成长!F26*角色成长!$L$15/(1+X13/角色成长!$N$16)</f>
        <v>6532.8426721629512</v>
      </c>
      <c r="X13" s="6">
        <f>VLOOKUP($N$1,$D$4:$J$15,MATCH(H$4,$D$4:$J$4,0),0)*角色成长!G26*角色成长!$L$15</f>
        <v>5540.4579142089833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2" t="s">
        <v>267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1.1760291729868786</v>
      </c>
      <c r="M14" s="1">
        <v>10</v>
      </c>
      <c r="N14" s="6">
        <f>VLOOKUP($N$2,角色品星!$C$16:$D$20,2,0)*VLOOKUP($N$3,角色品星!$C$3:$E$14,3,0)*V14</f>
        <v>290.87404049597171</v>
      </c>
      <c r="O14" s="6">
        <f>VLOOKUP($N$2,角色品星!$C$16:$D$20,2,0)*VLOOKUP($N$3,角色品星!$C$3:$E$14,3,0)*W14</f>
        <v>6841.5271457565877</v>
      </c>
      <c r="P14" s="6">
        <f>VLOOKUP($N$2,角色品星!$C$16:$D$20,2,0)*VLOOKUP($N$3,角色品星!$C$3:$E$14,3,0)*X14</f>
        <v>5817.4808099194333</v>
      </c>
      <c r="Q14" s="24">
        <f t="shared" si="3"/>
        <v>0.05</v>
      </c>
      <c r="R14" s="24">
        <f t="shared" si="4"/>
        <v>1.5</v>
      </c>
      <c r="S14" s="24">
        <f t="shared" si="5"/>
        <v>0.9</v>
      </c>
      <c r="T14" s="42">
        <f>N14*(1+Q14*(R14-1))*S14*战斗公式!$E$39+(P14*战斗公式!$E$40+1)*O14*战斗公式!$E$41</f>
        <v>13947.814233504754</v>
      </c>
      <c r="U14" s="42">
        <f t="shared" si="6"/>
        <v>697.3907116752398</v>
      </c>
      <c r="V14" s="6">
        <f>VLOOKUP($N$1,$D$4:$J$15,MATCH(F$4,$D$4:$J$4,0),0)*角色成长!E27*角色成长!$L$15*AB14/AA14/(1+$Y$2*($Z$2-1))</f>
        <v>290.87404049597171</v>
      </c>
      <c r="W14" s="6">
        <f>VLOOKUP($N$1,$D$4:$J$15,MATCH(G$4,$D$4:$J$4,0),0)*角色成长!F27*角色成长!$L$15/(1+X14/角色成长!$N$16)</f>
        <v>6841.5271457565877</v>
      </c>
      <c r="X14" s="6">
        <f>VLOOKUP($N$1,$D$4:$J$15,MATCH(H$4,$D$4:$J$4,0),0)*角色成长!G27*角色成长!$L$15</f>
        <v>5817.4808099194333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2" t="s">
        <v>268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1.1728053330001964</v>
      </c>
      <c r="M15" s="1">
        <v>11</v>
      </c>
      <c r="N15" s="6">
        <f>VLOOKUP($N$2,角色品星!$C$16:$D$20,2,0)*VLOOKUP($N$3,角色品星!$C$3:$E$14,3,0)*V15</f>
        <v>305.41774252077033</v>
      </c>
      <c r="O15" s="6">
        <f>VLOOKUP($N$2,角色品星!$C$16:$D$20,2,0)*VLOOKUP($N$3,角色品星!$C$3:$E$14,3,0)*W15</f>
        <v>7163.9111444248056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0.9</v>
      </c>
      <c r="T15" s="42">
        <f>N15*(1+Q15*(R15-1))*S15*战斗公式!$E$39+(P15*战斗公式!$E$40+1)*O15*战斗公式!$E$41</f>
        <v>14645.204945179994</v>
      </c>
      <c r="U15" s="42">
        <f t="shared" si="6"/>
        <v>732.26024725900061</v>
      </c>
      <c r="V15" s="6">
        <f>VLOOKUP($N$1,$D$4:$J$15,MATCH(F$4,$D$4:$J$4,0),0)*角色成长!E28*角色成长!$L$15*AB15/AA15/(1+$Y$2*($Z$2-1))</f>
        <v>305.41774252077033</v>
      </c>
      <c r="W15" s="6">
        <f>VLOOKUP($N$1,$D$4:$J$15,MATCH(G$4,$D$4:$J$4,0),0)*角色成长!F28*角色成长!$L$15/(1+X15/角色成长!$N$16)</f>
        <v>7163.9111444248056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1.1694392691111599</v>
      </c>
      <c r="M16" s="1">
        <v>12</v>
      </c>
      <c r="N16" s="6">
        <f>VLOOKUP($N$2,角色品星!$C$16:$D$20,2,0)*VLOOKUP($N$3,角色品星!$C$3:$E$14,3,0)*V16</f>
        <v>320.68862964680886</v>
      </c>
      <c r="O16" s="6">
        <f>VLOOKUP($N$2,角色品星!$C$16:$D$20,2,0)*VLOOKUP($N$3,角色品星!$C$3:$E$14,3,0)*W16</f>
        <v>7500.5175333284706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0.9</v>
      </c>
      <c r="T16" s="42">
        <f>N16*(1+Q16*(R16-1))*S16*战斗公式!$E$39+(P16*战斗公式!$E$40+1)*O16*战斗公式!$E$41</f>
        <v>15377.465192438995</v>
      </c>
      <c r="U16" s="42">
        <f t="shared" si="6"/>
        <v>768.873259621947</v>
      </c>
      <c r="V16" s="6">
        <f>VLOOKUP($N$1,$D$4:$J$15,MATCH(F$4,$D$4:$J$4,0),0)*角色成长!E29*角色成长!$L$15*AB16/AA16/(1+$Y$2*($Z$2-1))</f>
        <v>320.68862964680886</v>
      </c>
      <c r="W16" s="6">
        <f>VLOOKUP($N$1,$D$4:$J$15,MATCH(G$4,$D$4:$J$4,0),0)*角色成长!F29*角色成长!$L$15/(1+X16/角色成长!$N$16)</f>
        <v>7500.5175333284706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2"/>
    </row>
    <row r="17" spans="2:38" ht="14.25" customHeight="1" x14ac:dyDescent="0.2">
      <c r="C17" s="6"/>
      <c r="L17" s="6">
        <f t="shared" si="2"/>
        <v>1.16592563469196</v>
      </c>
      <c r="M17" s="1">
        <v>13</v>
      </c>
      <c r="N17" s="6">
        <f>VLOOKUP($N$2,角色品星!$C$16:$D$20,2,0)*VLOOKUP($N$3,角色品星!$C$3:$E$14,3,0)*V17</f>
        <v>336.72306112914924</v>
      </c>
      <c r="O17" s="6">
        <f>VLOOKUP($N$2,角色品星!$C$16:$D$20,2,0)*VLOOKUP($N$3,角色品星!$C$3:$E$14,3,0)*W17</f>
        <v>7851.8809752484585</v>
      </c>
      <c r="P17" s="6">
        <f>VLOOKUP($N$2,角色品星!$C$16:$D$20,2,0)*VLOOKUP($N$3,角色品星!$C$3:$E$14,3,0)*X17</f>
        <v>6734.4612225829842</v>
      </c>
      <c r="Q17" s="24">
        <f t="shared" si="3"/>
        <v>0.05</v>
      </c>
      <c r="R17" s="24">
        <f t="shared" si="4"/>
        <v>1.5</v>
      </c>
      <c r="S17" s="24">
        <f t="shared" si="5"/>
        <v>0.9</v>
      </c>
      <c r="T17" s="42">
        <f>N17*(1+Q17*(R17-1))*S17*战斗公式!$E$39+(P17*战斗公式!$E$40+1)*O17*战斗公式!$E$41</f>
        <v>16146.338452060942</v>
      </c>
      <c r="U17" s="42">
        <f t="shared" si="6"/>
        <v>807.31692260304953</v>
      </c>
      <c r="V17" s="6">
        <f>VLOOKUP($N$1,$D$4:$J$15,MATCH(F$4,$D$4:$J$4,0),0)*角色成长!E30*角色成长!$L$15*AB17/AA17/(1+$Y$2*($Z$2-1))</f>
        <v>336.72306112914924</v>
      </c>
      <c r="W17" s="6">
        <f>VLOOKUP($N$1,$D$4:$J$15,MATCH(G$4,$D$4:$J$4,0),0)*角色成长!F30*角色成长!$L$15/(1+X17/角色成长!$N$16)</f>
        <v>7851.8809752484585</v>
      </c>
      <c r="X17" s="6">
        <f>VLOOKUP($N$1,$D$4:$J$15,MATCH(H$4,$D$4:$J$4,0),0)*角色成长!G30*角色成长!$L$15</f>
        <v>6734.4612225829842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1.1622589707674986</v>
      </c>
      <c r="M18" s="1">
        <v>14</v>
      </c>
      <c r="N18" s="6">
        <f>VLOOKUP($N$2,角色品星!$C$16:$D$20,2,0)*VLOOKUP($N$3,角色品星!$C$3:$E$14,3,0)*V18</f>
        <v>353.55921418560678</v>
      </c>
      <c r="O18" s="6">
        <f>VLOOKUP($N$2,角色品星!$C$16:$D$20,2,0)*VLOOKUP($N$3,角色品星!$C$3:$E$14,3,0)*W18</f>
        <v>8218.5473676945785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0.9</v>
      </c>
      <c r="T18" s="42">
        <f>N18*(1+Q18*(R18-1))*S18*战斗公式!$E$39+(P18*战斗公式!$E$40+1)*O18*战斗公式!$E$41</f>
        <v>16953.655374663991</v>
      </c>
      <c r="U18" s="42">
        <f t="shared" si="6"/>
        <v>847.68276873319701</v>
      </c>
      <c r="V18" s="6">
        <f>VLOOKUP($N$1,$D$4:$J$15,MATCH(F$4,$D$4:$J$4,0),0)*角色成长!E31*角色成长!$L$15*AB18/AA18/(1+$Y$2*($Z$2-1))</f>
        <v>353.55921418560678</v>
      </c>
      <c r="W18" s="6">
        <f>VLOOKUP($N$1,$D$4:$J$15,MATCH(G$4,$D$4:$J$4,0),0)*角色成长!F31*角色成长!$L$15/(1+X18/角色成长!$N$16)</f>
        <v>8218.5473676945785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1.1584337126844506</v>
      </c>
      <c r="M19" s="1">
        <v>15</v>
      </c>
      <c r="N19" s="6">
        <f>VLOOKUP($N$2,角色品星!$C$16:$D$20,2,0)*VLOOKUP($N$3,角色品星!$C$3:$E$14,3,0)*V19</f>
        <v>371.23717489488706</v>
      </c>
      <c r="O19" s="6">
        <f>VLOOKUP($N$2,角色品星!$C$16:$D$20,2,0)*VLOOKUP($N$3,角色品星!$C$3:$E$14,3,0)*W19</f>
        <v>8601.0731759994123</v>
      </c>
      <c r="P19" s="6">
        <f>VLOOKUP($N$2,角色品星!$C$16:$D$20,2,0)*VLOOKUP($N$3,角色品星!$C$3:$E$14,3,0)*X19</f>
        <v>7424.743497897739</v>
      </c>
      <c r="Q19" s="24">
        <f t="shared" si="3"/>
        <v>0.05</v>
      </c>
      <c r="R19" s="24">
        <f t="shared" si="4"/>
        <v>1.5</v>
      </c>
      <c r="S19" s="24">
        <f t="shared" si="5"/>
        <v>0.9</v>
      </c>
      <c r="T19" s="42">
        <f>N19*(1+Q19*(R19-1))*S19*战斗公式!$E$39+(P19*战斗公式!$E$40+1)*O19*战斗公式!$E$41</f>
        <v>17801.338143397188</v>
      </c>
      <c r="U19" s="42">
        <f t="shared" si="6"/>
        <v>890.06690716986486</v>
      </c>
      <c r="V19" s="6">
        <f>VLOOKUP($N$1,$D$4:$J$15,MATCH(F$4,$D$4:$J$4,0),0)*角色成长!E32*角色成长!$L$15*AB19/AA19/(1+$Y$2*($Z$2-1))</f>
        <v>371.23717489488706</v>
      </c>
      <c r="W19" s="6">
        <f>VLOOKUP($N$1,$D$4:$J$15,MATCH(G$4,$D$4:$J$4,0),0)*角色成长!F32*角色成长!$L$15/(1+X19/角色成长!$N$16)</f>
        <v>8601.0731759994123</v>
      </c>
      <c r="X19" s="6">
        <f>VLOOKUP($N$1,$D$4:$J$15,MATCH(H$4,$D$4:$J$4,0),0)*角色成长!G32*角色成长!$L$15</f>
        <v>7424.743497897739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1.1544441978981301</v>
      </c>
      <c r="M20" s="1">
        <v>16</v>
      </c>
      <c r="N20" s="6">
        <f>VLOOKUP($N$2,角色品星!$C$16:$D$20,2,0)*VLOOKUP($N$3,角色品星!$C$3:$E$14,3,0)*V20</f>
        <v>389.79903363963155</v>
      </c>
      <c r="O20" s="6">
        <f>VLOOKUP($N$2,角色品星!$C$16:$D$20,2,0)*VLOOKUP($N$3,角色品星!$C$3:$E$14,3,0)*W20</f>
        <v>9000.024654631412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0.9</v>
      </c>
      <c r="T20" s="42">
        <f>N20*(1+Q20*(R20-1))*S20*战斗公式!$E$39+(P20*战斗公式!$E$40+1)*O20*战斗公式!$E$41</f>
        <v>18691.405050567053</v>
      </c>
      <c r="U20" s="42">
        <f t="shared" si="6"/>
        <v>934.57025252834865</v>
      </c>
      <c r="V20" s="6">
        <f>VLOOKUP($N$1,$D$4:$J$15,MATCH(F$4,$D$4:$J$4,0),0)*角色成长!E33*角色成长!$L$15*AB20/AA20/(1+$Y$2*($Z$2-1))</f>
        <v>389.79903363963155</v>
      </c>
      <c r="W20" s="6">
        <f>VLOOKUP($N$1,$D$4:$J$15,MATCH(G$4,$D$4:$J$4,0),0)*角色成长!F33*角色成长!$L$15/(1+X20/角色成长!$N$16)</f>
        <v>9000.024654631412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1.1502846749557192</v>
      </c>
      <c r="M21" s="1">
        <v>17</v>
      </c>
      <c r="N21" s="6">
        <f>VLOOKUP($N$2,角色品星!$C$16:$D$20,2,0)*VLOOKUP($N$3,角色品星!$C$3:$E$14,3,0)*V21</f>
        <v>409.28898532161298</v>
      </c>
      <c r="O21" s="6">
        <f>VLOOKUP($N$2,角色品星!$C$16:$D$20,2,0)*VLOOKUP($N$3,角色品星!$C$3:$E$14,3,0)*W21</f>
        <v>9415.9769488725542</v>
      </c>
      <c r="P21" s="6">
        <f>VLOOKUP($N$2,角色品星!$C$16:$D$20,2,0)*VLOOKUP($N$3,角色品星!$C$3:$E$14,3,0)*X21</f>
        <v>8185.7797064322604</v>
      </c>
      <c r="Q21" s="24">
        <f t="shared" si="3"/>
        <v>0.05</v>
      </c>
      <c r="R21" s="24">
        <f t="shared" si="4"/>
        <v>1.5</v>
      </c>
      <c r="S21" s="24">
        <f t="shared" si="5"/>
        <v>0.9</v>
      </c>
      <c r="T21" s="42">
        <f>N21*(1+Q21*(R21-1))*S21*战斗公式!$E$39+(P21*战斗公式!$E$40+1)*O21*战斗公式!$E$41</f>
        <v>19625.975303095402</v>
      </c>
      <c r="U21" s="42">
        <f t="shared" si="6"/>
        <v>981.29876515477372</v>
      </c>
      <c r="V21" s="6">
        <f>VLOOKUP($N$1,$D$4:$J$15,MATCH(F$4,$D$4:$J$4,0),0)*角色成长!E34*角色成长!$L$15*AB21/AA21/(1+$Y$2*($Z$2-1))</f>
        <v>409.28898532161298</v>
      </c>
      <c r="W21" s="6">
        <f>VLOOKUP($N$1,$D$4:$J$15,MATCH(G$4,$D$4:$J$4,0),0)*角色成长!F34*角色成长!$L$15/(1+X21/角色成长!$N$16)</f>
        <v>9415.9769488725542</v>
      </c>
      <c r="X21" s="6">
        <f>VLOOKUP($N$1,$D$4:$J$15,MATCH(H$4,$D$4:$J$4,0),0)*角色成长!G34*角色成长!$L$15</f>
        <v>8185.7797064322604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1.1459493137545582</v>
      </c>
      <c r="M22" s="1">
        <v>18</v>
      </c>
      <c r="N22" s="6">
        <f>VLOOKUP($N$2,角色品星!$C$16:$D$20,2,0)*VLOOKUP($N$3,角色品星!$C$3:$E$14,3,0)*V22</f>
        <v>429.75343458769373</v>
      </c>
      <c r="O22" s="6">
        <f>VLOOKUP($N$2,角色品星!$C$16:$D$20,2,0)*VLOOKUP($N$3,角色品星!$C$3:$E$14,3,0)*W22</f>
        <v>9849.5130689886391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0.9</v>
      </c>
      <c r="T22" s="42">
        <f>N22*(1+Q22*(R22-1))*S22*战斗公式!$E$39+(P22*战斗公式!$E$40+1)*O22*战斗公式!$E$41</f>
        <v>20607.274068250175</v>
      </c>
      <c r="U22" s="42">
        <f t="shared" si="6"/>
        <v>1030.3637034125059</v>
      </c>
      <c r="V22" s="6">
        <f>VLOOKUP($N$1,$D$4:$J$15,MATCH(F$4,$D$4:$J$4,0),0)*角色成长!E35*角色成长!$L$15*AB22/AA22/(1+$Y$2*($Z$2-1))</f>
        <v>429.75343458769373</v>
      </c>
      <c r="W22" s="6">
        <f>VLOOKUP($N$1,$D$4:$J$15,MATCH(G$4,$D$4:$J$4,0),0)*角色成长!F35*角色成长!$L$15/(1+X22/角色成长!$N$16)</f>
        <v>9849.5130689886391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1.1414322171535771</v>
      </c>
      <c r="M23" s="1">
        <v>19</v>
      </c>
      <c r="N23" s="6">
        <f>VLOOKUP($N$2,角色品星!$C$16:$D$20,2,0)*VLOOKUP($N$3,角色品星!$C$3:$E$14,3,0)*V23</f>
        <v>451.2411063170785</v>
      </c>
      <c r="O23" s="6">
        <f>VLOOKUP($N$2,角色品星!$C$16:$D$20,2,0)*VLOOKUP($N$3,角色品星!$C$3:$E$14,3,0)*W23</f>
        <v>10301.222729086716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0.9</v>
      </c>
      <c r="T23" s="42">
        <f>N23*(1+Q23*(R23-1))*S23*战斗公式!$E$39+(P23*战斗公式!$E$40+1)*O23*战斗公式!$E$41</f>
        <v>21637.637771662681</v>
      </c>
      <c r="U23" s="42">
        <f t="shared" si="6"/>
        <v>1081.8818885831352</v>
      </c>
      <c r="V23" s="6">
        <f>VLOOKUP($N$1,$D$4:$J$15,MATCH(F$4,$D$4:$J$4,0),0)*角色成长!E36*角色成长!$L$15*AB23/AA23/(1+$Y$2*($Z$2-1))</f>
        <v>451.2411063170785</v>
      </c>
      <c r="W23" s="6">
        <f>VLOOKUP($N$1,$D$4:$J$15,MATCH(G$4,$D$4:$J$4,0),0)*角色成长!F36*角色成长!$L$15/(1+X23/角色成长!$N$16)</f>
        <v>10301.222729086716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1.1367274340142739</v>
      </c>
      <c r="M24" s="1">
        <v>20</v>
      </c>
      <c r="N24" s="6">
        <f>VLOOKUP($N$2,角色品星!$C$16:$D$20,2,0)*VLOOKUP($N$3,角色品星!$C$3:$E$14,3,0)*V24</f>
        <v>473.8031616329323</v>
      </c>
      <c r="O24" s="6">
        <f>VLOOKUP($N$2,角色品星!$C$16:$D$20,2,0)*VLOOKUP($N$3,角色品星!$C$3:$E$14,3,0)*W24</f>
        <v>10771.701043017069</v>
      </c>
      <c r="P24" s="6">
        <f>VLOOKUP($N$2,角色品星!$C$16:$D$20,2,0)*VLOOKUP($N$3,角色品星!$C$3:$E$14,3,0)*X24</f>
        <v>9476.0632326586456</v>
      </c>
      <c r="Q24" s="24">
        <f t="shared" si="3"/>
        <v>0.05</v>
      </c>
      <c r="R24" s="24">
        <f t="shared" si="4"/>
        <v>1.5</v>
      </c>
      <c r="S24" s="24">
        <f t="shared" si="5"/>
        <v>0.9</v>
      </c>
      <c r="T24" s="42">
        <f>N24*(1+Q24*(R24-1))*S24*战斗公式!$E$39+(P24*战斗公式!$E$40+1)*O24*战斗公式!$E$41</f>
        <v>22719.519660245816</v>
      </c>
      <c r="U24" s="42">
        <f t="shared" si="6"/>
        <v>1135.975983012293</v>
      </c>
      <c r="V24" s="6">
        <f>VLOOKUP($N$1,$D$4:$J$15,MATCH(F$4,$D$4:$J$4,0),0)*角色成长!E37*角色成长!$L$15*AB24/AA24/(1+$Y$2*($Z$2-1))</f>
        <v>473.8031616329323</v>
      </c>
      <c r="W24" s="6">
        <f>VLOOKUP($N$1,$D$4:$J$15,MATCH(G$4,$D$4:$J$4,0),0)*角色成长!F37*角色成长!$L$15/(1+X24/角色成长!$N$16)</f>
        <v>10771.701043017069</v>
      </c>
      <c r="X24" s="6">
        <f>VLOOKUP($N$1,$D$4:$J$15,MATCH(H$4,$D$4:$J$4,0),0)*角色成长!G37*角色成长!$L$15</f>
        <v>9476.0632326586456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1.1318289737449412</v>
      </c>
      <c r="M25" s="1">
        <v>21</v>
      </c>
      <c r="N25" s="6">
        <f>VLOOKUP($N$2,角色品星!$C$16:$D$20,2,0)*VLOOKUP($N$3,角色品星!$C$3:$E$14,3,0)*V25</f>
        <v>497.493319714579</v>
      </c>
      <c r="O25" s="6">
        <f>VLOOKUP($N$2,角色品星!$C$16:$D$20,2,0)*VLOOKUP($N$3,角色品星!$C$3:$E$14,3,0)*W25</f>
        <v>11261.547069950317</v>
      </c>
      <c r="P25" s="6">
        <f>VLOOKUP($N$2,角色品星!$C$16:$D$20,2,0)*VLOOKUP($N$3,角色品星!$C$3:$E$14,3,0)*X25</f>
        <v>9949.8663942915791</v>
      </c>
      <c r="Q25" s="24">
        <f t="shared" si="3"/>
        <v>0.05</v>
      </c>
      <c r="R25" s="24">
        <f t="shared" si="4"/>
        <v>1.5</v>
      </c>
      <c r="S25" s="24">
        <f t="shared" si="5"/>
        <v>0.9</v>
      </c>
      <c r="T25" s="42">
        <f>N25*(1+Q25*(R25-1))*S25*战斗公式!$E$39+(P25*战斗公式!$E$40+1)*O25*战斗公式!$E$41</f>
        <v>23855.495643258109</v>
      </c>
      <c r="U25" s="42">
        <f t="shared" si="6"/>
        <v>1192.7747821629055</v>
      </c>
      <c r="V25" s="6">
        <f>VLOOKUP($N$1,$D$4:$J$15,MATCH(F$4,$D$4:$J$4,0),0)*角色成长!E38*角色成长!$L$15*AB25/AA25/(1+$Y$2*($Z$2-1))</f>
        <v>497.493319714579</v>
      </c>
      <c r="W25" s="6">
        <f>VLOOKUP($N$1,$D$4:$J$15,MATCH(G$4,$D$4:$J$4,0),0)*角色成长!F38*角色成长!$L$15/(1+X25/角色成长!$N$16)</f>
        <v>11261.547069950317</v>
      </c>
      <c r="X25" s="6">
        <f>VLOOKUP($N$1,$D$4:$J$15,MATCH(H$4,$D$4:$J$4,0),0)*角色成长!G38*角色成长!$L$15</f>
        <v>9949.8663942915791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1.1267308224178698</v>
      </c>
      <c r="M26" s="1">
        <v>22</v>
      </c>
      <c r="N26" s="6">
        <f>VLOOKUP($N$2,角色品星!$C$16:$D$20,2,0)*VLOOKUP($N$3,角色品星!$C$3:$E$14,3,0)*V26</f>
        <v>522.36798570030794</v>
      </c>
      <c r="O26" s="6">
        <f>VLOOKUP($N$2,角色品星!$C$16:$D$20,2,0)*VLOOKUP($N$3,角色品星!$C$3:$E$14,3,0)*W26</f>
        <v>11771.362202657478</v>
      </c>
      <c r="P26" s="6">
        <f>VLOOKUP($N$2,角色品星!$C$16:$D$20,2,0)*VLOOKUP($N$3,角色品星!$C$3:$E$14,3,0)*X26</f>
        <v>10447.359714006156</v>
      </c>
      <c r="Q26" s="24">
        <f t="shared" si="3"/>
        <v>0.05</v>
      </c>
      <c r="R26" s="24">
        <f t="shared" si="4"/>
        <v>1.5</v>
      </c>
      <c r="S26" s="24">
        <f t="shared" si="5"/>
        <v>0.9</v>
      </c>
      <c r="T26" s="42">
        <f>N26*(1+Q26*(R26-1))*S26*战斗公式!$E$39+(P26*战斗公式!$E$40+1)*O26*战斗公式!$E$41</f>
        <v>25048.270425421015</v>
      </c>
      <c r="U26" s="42">
        <f t="shared" si="6"/>
        <v>1252.4135212710498</v>
      </c>
      <c r="V26" s="6">
        <f>VLOOKUP($N$1,$D$4:$J$15,MATCH(F$4,$D$4:$J$4,0),0)*角色成长!E39*角色成长!$L$15*AB26/AA26/(1+$Y$2*($Z$2-1))</f>
        <v>522.36798570030794</v>
      </c>
      <c r="W26" s="6">
        <f>VLOOKUP($N$1,$D$4:$J$15,MATCH(G$4,$D$4:$J$4,0),0)*角色成长!F39*角色成长!$L$15/(1+X26/角色成长!$N$16)</f>
        <v>11771.362202657478</v>
      </c>
      <c r="X26" s="6">
        <f>VLOOKUP($N$1,$D$4:$J$15,MATCH(H$4,$D$4:$J$4,0),0)*角色成长!G39*角色成长!$L$15</f>
        <v>10447.359714006156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1.1214269605238802</v>
      </c>
      <c r="M27" s="1">
        <v>23</v>
      </c>
      <c r="N27" s="6">
        <f>VLOOKUP($N$2,角色品星!$C$16:$D$20,2,0)*VLOOKUP($N$3,角色品星!$C$3:$E$14,3,0)*V27</f>
        <v>548.4863849853233</v>
      </c>
      <c r="O27" s="6">
        <f>VLOOKUP($N$2,角色品星!$C$16:$D$20,2,0)*VLOOKUP($N$3,角色品星!$C$3:$E$14,3,0)*W27</f>
        <v>12301.748392056437</v>
      </c>
      <c r="P27" s="6">
        <f>VLOOKUP($N$2,角色品星!$C$16:$D$20,2,0)*VLOOKUP($N$3,角色品星!$C$3:$E$14,3,0)*X27</f>
        <v>10969.727699706464</v>
      </c>
      <c r="Q27" s="24">
        <f t="shared" si="3"/>
        <v>0.05</v>
      </c>
      <c r="R27" s="24">
        <f t="shared" si="4"/>
        <v>1.5</v>
      </c>
      <c r="S27" s="24">
        <f t="shared" si="5"/>
        <v>0.9</v>
      </c>
      <c r="T27" s="42">
        <f>N27*(1+Q27*(R27-1))*S27*战斗公式!$E$39+(P27*战斗公式!$E$40+1)*O27*战斗公式!$E$41</f>
        <v>26300.683946692065</v>
      </c>
      <c r="U27" s="42">
        <f t="shared" si="6"/>
        <v>1315.0341973346076</v>
      </c>
      <c r="V27" s="6">
        <f>VLOOKUP($N$1,$D$4:$J$15,MATCH(F$4,$D$4:$J$4,0),0)*角色成长!E40*角色成长!$L$15*AB27/AA27/(1+$Y$2*($Z$2-1))</f>
        <v>548.4863849853233</v>
      </c>
      <c r="W27" s="6">
        <f>VLOOKUP($N$1,$D$4:$J$15,MATCH(G$4,$D$4:$J$4,0),0)*角色成长!F40*角色成长!$L$15/(1+X27/角色成长!$N$16)</f>
        <v>12301.748392056437</v>
      </c>
      <c r="X27" s="6">
        <f>VLOOKUP($N$1,$D$4:$J$15,MATCH(H$4,$D$4:$J$4,0),0)*角色成长!G40*角色成长!$L$15</f>
        <v>10969.727699706464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1.1159113824216729</v>
      </c>
      <c r="M28" s="1">
        <v>24</v>
      </c>
      <c r="N28" s="6">
        <f>VLOOKUP($N$2,角色品星!$C$16:$D$20,2,0)*VLOOKUP($N$3,角色品星!$C$3:$E$14,3,0)*V28</f>
        <v>575.91070423458962</v>
      </c>
      <c r="O28" s="6">
        <f>VLOOKUP($N$2,角色品星!$C$16:$D$20,2,0)*VLOOKUP($N$3,角色品星!$C$3:$E$14,3,0)*W28</f>
        <v>12853.306202277197</v>
      </c>
      <c r="P28" s="6">
        <f>VLOOKUP($N$2,角色品星!$C$16:$D$20,2,0)*VLOOKUP($N$3,角色品星!$C$3:$E$14,3,0)*X28</f>
        <v>11518.214084691788</v>
      </c>
      <c r="Q28" s="24">
        <f t="shared" si="3"/>
        <v>0.05</v>
      </c>
      <c r="R28" s="24">
        <f t="shared" si="4"/>
        <v>1.5</v>
      </c>
      <c r="S28" s="24">
        <f t="shared" si="5"/>
        <v>0.9</v>
      </c>
      <c r="T28" s="42">
        <f>N28*(1+Q28*(R28-1))*S28*战斗公式!$E$39+(P28*战斗公式!$E$40+1)*O28*战斗公式!$E$41</f>
        <v>27615.718144026672</v>
      </c>
      <c r="U28" s="42">
        <f t="shared" si="6"/>
        <v>1380.7859072013307</v>
      </c>
      <c r="V28" s="6">
        <f>VLOOKUP($N$1,$D$4:$J$15,MATCH(F$4,$D$4:$J$4,0),0)*角色成长!E41*角色成长!$L$15*AB28/AA28/(1+$Y$2*($Z$2-1))</f>
        <v>575.91070423458962</v>
      </c>
      <c r="W28" s="6">
        <f>VLOOKUP($N$1,$D$4:$J$15,MATCH(G$4,$D$4:$J$4,0),0)*角色成长!F41*角色成长!$L$15/(1+X28/角色成长!$N$16)</f>
        <v>12853.306202277197</v>
      </c>
      <c r="X28" s="6">
        <f>VLOOKUP($N$1,$D$4:$J$15,MATCH(H$4,$D$4:$J$4,0),0)*角色成长!G41*角色成长!$L$15</f>
        <v>11518.214084691788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1.1101781175309033</v>
      </c>
      <c r="M29" s="1">
        <v>25</v>
      </c>
      <c r="N29" s="6">
        <f>VLOOKUP($N$2,角色品星!$C$16:$D$20,2,0)*VLOOKUP($N$3,角色品星!$C$3:$E$14,3,0)*V29</f>
        <v>604.70623944631905</v>
      </c>
      <c r="O29" s="6">
        <f>VLOOKUP($N$2,角色品星!$C$16:$D$20,2,0)*VLOOKUP($N$3,角色品星!$C$3:$E$14,3,0)*W29</f>
        <v>13426.63269135412</v>
      </c>
      <c r="P29" s="6">
        <f>VLOOKUP($N$2,角色品星!$C$16:$D$20,2,0)*VLOOKUP($N$3,角色品星!$C$3:$E$14,3,0)*X29</f>
        <v>12094.124788926378</v>
      </c>
      <c r="Q29" s="24">
        <f t="shared" si="3"/>
        <v>0.05</v>
      </c>
      <c r="R29" s="24">
        <f t="shared" si="4"/>
        <v>1.5</v>
      </c>
      <c r="S29" s="24">
        <f t="shared" si="5"/>
        <v>0.9</v>
      </c>
      <c r="T29" s="42">
        <f>N29*(1+Q29*(R29-1))*S29*战斗公式!$E$39+(P29*战斗公式!$E$40+1)*O29*战斗公式!$E$41</f>
        <v>28996.504051228003</v>
      </c>
      <c r="U29" s="42">
        <f t="shared" si="6"/>
        <v>1449.8252025613947</v>
      </c>
      <c r="V29" s="6">
        <f>VLOOKUP($N$1,$D$4:$J$15,MATCH(F$4,$D$4:$J$4,0),0)*角色成长!E42*角色成长!$L$15*AB29/AA29/(1+$Y$2*($Z$2-1))</f>
        <v>604.70623944631905</v>
      </c>
      <c r="W29" s="6">
        <f>VLOOKUP($N$1,$D$4:$J$15,MATCH(G$4,$D$4:$J$4,0),0)*角色成长!F42*角色成长!$L$15/(1+X29/角色成长!$N$16)</f>
        <v>13426.63269135412</v>
      </c>
      <c r="X29" s="6">
        <f>VLOOKUP($N$1,$D$4:$J$15,MATCH(H$4,$D$4:$J$4,0),0)*角色成长!G42*角色成长!$L$15</f>
        <v>12094.124788926378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1.1042212533075404</v>
      </c>
      <c r="M30" s="1">
        <v>26</v>
      </c>
      <c r="N30" s="6">
        <f>VLOOKUP($N$2,角色品星!$C$16:$D$20,2,0)*VLOOKUP($N$3,角色品星!$C$3:$E$14,3,0)*V30</f>
        <v>634.94155141863484</v>
      </c>
      <c r="O30" s="6">
        <f>VLOOKUP($N$2,角色品星!$C$16:$D$20,2,0)*VLOOKUP($N$3,角色品星!$C$3:$E$14,3,0)*W30</f>
        <v>14022.319113690382</v>
      </c>
      <c r="P30" s="6">
        <f>VLOOKUP($N$2,角色品星!$C$16:$D$20,2,0)*VLOOKUP($N$3,角色品星!$C$3:$E$14,3,0)*X30</f>
        <v>12698.831028372697</v>
      </c>
      <c r="Q30" s="24">
        <f t="shared" si="3"/>
        <v>0.05</v>
      </c>
      <c r="R30" s="24">
        <f t="shared" si="4"/>
        <v>1.5</v>
      </c>
      <c r="S30" s="24">
        <f t="shared" si="5"/>
        <v>0.9</v>
      </c>
      <c r="T30" s="42">
        <f>N30*(1+Q30*(R30-1))*S30*战斗公式!$E$39+(P30*战斗公式!$E$40+1)*O30*战斗公式!$E$41</f>
        <v>30446.329253789398</v>
      </c>
      <c r="U30" s="42">
        <f t="shared" si="6"/>
        <v>1522.3164626894722</v>
      </c>
      <c r="V30" s="6">
        <f>VLOOKUP($N$1,$D$4:$J$15,MATCH(F$4,$D$4:$J$4,0),0)*角色成长!E43*角色成长!$L$15*AB30/AA30/(1+$Y$2*($Z$2-1))</f>
        <v>634.94155141863484</v>
      </c>
      <c r="W30" s="6">
        <f>VLOOKUP($N$1,$D$4:$J$15,MATCH(G$4,$D$4:$J$4,0),0)*角色成长!F43*角色成长!$L$15/(1+X30/角色成长!$N$16)</f>
        <v>14022.319113690382</v>
      </c>
      <c r="X30" s="6">
        <f>VLOOKUP($N$1,$D$4:$J$15,MATCH(H$4,$D$4:$J$4,0),0)*角色成长!G43*角色成长!$L$15</f>
        <v>12698.831028372697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1.0980349600277428</v>
      </c>
      <c r="M31" s="1">
        <v>27</v>
      </c>
      <c r="N31" s="6">
        <f>VLOOKUP($N$2,角色品星!$C$16:$D$20,2,0)*VLOOKUP($N$3,角色品星!$C$3:$E$14,3,0)*V31</f>
        <v>666.68862898956661</v>
      </c>
      <c r="O31" s="6">
        <f>VLOOKUP($N$2,角色品星!$C$16:$D$20,2,0)*VLOOKUP($N$3,角色品星!$C$3:$E$14,3,0)*W31</f>
        <v>14640.948441670187</v>
      </c>
      <c r="P31" s="6">
        <f>VLOOKUP($N$2,角色品星!$C$16:$D$20,2,0)*VLOOKUP($N$3,角色品星!$C$3:$E$14,3,0)*X31</f>
        <v>13333.772579791332</v>
      </c>
      <c r="Q31" s="24">
        <f t="shared" si="3"/>
        <v>0.05</v>
      </c>
      <c r="R31" s="24">
        <f t="shared" si="4"/>
        <v>1.5</v>
      </c>
      <c r="S31" s="24">
        <f t="shared" si="5"/>
        <v>0.9</v>
      </c>
      <c r="T31" s="42">
        <f>N31*(1+Q31*(R31-1))*S31*战斗公式!$E$39+(P31*战斗公式!$E$40+1)*O31*战斗公式!$E$41</f>
        <v>31968.64571647887</v>
      </c>
      <c r="U31" s="42">
        <f t="shared" si="6"/>
        <v>1598.4322858239502</v>
      </c>
      <c r="V31" s="6">
        <f>VLOOKUP($N$1,$D$4:$J$15,MATCH(F$4,$D$4:$J$4,0),0)*角色成长!E44*角色成长!$L$15*AB31/AA31/(1+$Y$2*($Z$2-1))</f>
        <v>666.68862898956661</v>
      </c>
      <c r="W31" s="6">
        <f>VLOOKUP($N$1,$D$4:$J$15,MATCH(G$4,$D$4:$J$4,0),0)*角色成长!F44*角色成长!$L$15/(1+X31/角色成长!$N$16)</f>
        <v>14640.948441670187</v>
      </c>
      <c r="X31" s="6">
        <f>VLOOKUP($N$1,$D$4:$J$15,MATCH(H$4,$D$4:$J$4,0),0)*角色成长!G44*角色成长!$L$15</f>
        <v>13333.772579791332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1.0916135173921484</v>
      </c>
      <c r="M32" s="1">
        <v>28</v>
      </c>
      <c r="N32" s="6">
        <f>VLOOKUP($N$2,角色品星!$C$16:$D$20,2,0)*VLOOKUP($N$3,角色品星!$C$3:$E$14,3,0)*V32</f>
        <v>700.02306043904514</v>
      </c>
      <c r="O32" s="6">
        <f>VLOOKUP($N$2,角色品星!$C$16:$D$20,2,0)*VLOOKUP($N$3,角色品星!$C$3:$E$14,3,0)*W32</f>
        <v>15283.092705229645</v>
      </c>
      <c r="P32" s="6">
        <f>VLOOKUP($N$2,角色品星!$C$16:$D$20,2,0)*VLOOKUP($N$3,角色品星!$C$3:$E$14,3,0)*X32</f>
        <v>14000.461208780898</v>
      </c>
      <c r="Q32" s="24">
        <f t="shared" si="3"/>
        <v>0.05</v>
      </c>
      <c r="R32" s="24">
        <f t="shared" si="4"/>
        <v>1.5</v>
      </c>
      <c r="S32" s="24">
        <f t="shared" si="5"/>
        <v>0.9</v>
      </c>
      <c r="T32" s="42">
        <f>N32*(1+Q32*(R32-1))*S32*战斗公式!$E$39+(P32*战斗公式!$E$40+1)*O32*战斗公式!$E$41</f>
        <v>33567.07800230282</v>
      </c>
      <c r="U32" s="42">
        <f t="shared" si="6"/>
        <v>1678.3539001151366</v>
      </c>
      <c r="V32" s="6">
        <f>VLOOKUP($N$1,$D$4:$J$15,MATCH(F$4,$D$4:$J$4,0),0)*角色成长!E45*角色成长!$L$15*AB32/AA32/(1+$Y$2*($Z$2-1))</f>
        <v>700.02306043904514</v>
      </c>
      <c r="W32" s="6">
        <f>VLOOKUP($N$1,$D$4:$J$15,MATCH(G$4,$D$4:$J$4,0),0)*角色成长!F45*角色成长!$L$15/(1+X32/角色成长!$N$16)</f>
        <v>15283.092705229645</v>
      </c>
      <c r="X32" s="6">
        <f>VLOOKUP($N$1,$D$4:$J$15,MATCH(H$4,$D$4:$J$4,0),0)*角色成长!G45*角色成长!$L$15</f>
        <v>14000.461208780898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1.0849513429459803</v>
      </c>
      <c r="M33" s="1">
        <v>29</v>
      </c>
      <c r="N33" s="6">
        <f>VLOOKUP($N$2,角色品星!$C$16:$D$20,2,0)*VLOOKUP($N$3,角色品星!$C$3:$E$14,3,0)*V33</f>
        <v>735.02421346099709</v>
      </c>
      <c r="O33" s="6">
        <f>VLOOKUP($N$2,角色品星!$C$16:$D$20,2,0)*VLOOKUP($N$3,角色品星!$C$3:$E$14,3,0)*W33</f>
        <v>15949.310149846435</v>
      </c>
      <c r="P33" s="6">
        <f>VLOOKUP($N$2,角色品星!$C$16:$D$20,2,0)*VLOOKUP($N$3,角色品星!$C$3:$E$14,3,0)*X33</f>
        <v>14700.484269219942</v>
      </c>
      <c r="Q33" s="24">
        <f t="shared" si="3"/>
        <v>0.05</v>
      </c>
      <c r="R33" s="24">
        <f t="shared" si="4"/>
        <v>1.5</v>
      </c>
      <c r="S33" s="24">
        <f t="shared" si="5"/>
        <v>0.9</v>
      </c>
      <c r="T33" s="42">
        <f>N33*(1+Q33*(R33-1))*S33*战斗公式!$E$39+(P33*战斗公式!$E$40+1)*O33*战斗公式!$E$41</f>
        <v>35245.431902417957</v>
      </c>
      <c r="U33" s="42">
        <f t="shared" si="6"/>
        <v>1762.2715951209029</v>
      </c>
      <c r="V33" s="6">
        <f>VLOOKUP($N$1,$D$4:$J$15,MATCH(F$4,$D$4:$J$4,0),0)*角色成长!E46*角色成长!$L$15*AB33/AA33/(1+$Y$2*($Z$2-1))</f>
        <v>735.02421346099709</v>
      </c>
      <c r="W33" s="6">
        <f>VLOOKUP($N$1,$D$4:$J$15,MATCH(G$4,$D$4:$J$4,0),0)*角色成长!F46*角色成长!$L$15/(1+X33/角色成长!$N$16)</f>
        <v>15949.310149846435</v>
      </c>
      <c r="X33" s="6">
        <f>VLOOKUP($N$1,$D$4:$J$15,MATCH(H$4,$D$4:$J$4,0),0)*角色成长!G46*角色成长!$L$15</f>
        <v>14700.484269219942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1.0780430222916648</v>
      </c>
      <c r="M34" s="1">
        <v>30</v>
      </c>
      <c r="N34" s="6">
        <f>VLOOKUP($N$2,角色品星!$C$16:$D$20,2,0)*VLOOKUP($N$3,角色品星!$C$3:$E$14,3,0)*V34</f>
        <v>771.77542413404728</v>
      </c>
      <c r="O34" s="6">
        <f>VLOOKUP($N$2,角色品星!$C$16:$D$20,2,0)*VLOOKUP($N$3,角色品星!$C$3:$E$14,3,0)*W34</f>
        <v>16640.142215277992</v>
      </c>
      <c r="P34" s="6">
        <f>VLOOKUP($N$2,角色品星!$C$16:$D$20,2,0)*VLOOKUP($N$3,角色品星!$C$3:$E$14,3,0)*X34</f>
        <v>15435.508482680942</v>
      </c>
      <c r="Q34" s="24">
        <f t="shared" si="3"/>
        <v>0.05</v>
      </c>
      <c r="R34" s="24">
        <f t="shared" si="4"/>
        <v>1.5</v>
      </c>
      <c r="S34" s="24">
        <f t="shared" si="5"/>
        <v>0.9</v>
      </c>
      <c r="T34" s="42">
        <f>N34*(1+Q34*(R34-1))*S34*战斗公式!$E$39+(P34*战斗公式!$E$40+1)*O34*战斗公式!$E$41</f>
        <v>37007.70349753886</v>
      </c>
      <c r="U34" s="42">
        <f t="shared" si="6"/>
        <v>1850.3851748769303</v>
      </c>
      <c r="V34" s="6">
        <f>VLOOKUP($N$1,$D$4:$J$15,MATCH(F$4,$D$4:$J$4,0),0)*角色成长!E47*角色成长!$L$15*AB34/AA34/(1+$Y$2*($Z$2-1))</f>
        <v>771.77542413404728</v>
      </c>
      <c r="W34" s="6">
        <f>VLOOKUP($N$1,$D$4:$J$15,MATCH(G$4,$D$4:$J$4,0),0)*角色成长!F47*角色成长!$L$15/(1+X34/角色成长!$N$16)</f>
        <v>16640.142215277992</v>
      </c>
      <c r="X34" s="6">
        <f>VLOOKUP($N$1,$D$4:$J$15,MATCH(H$4,$D$4:$J$4,0),0)*角色成长!G47*角色成长!$L$15</f>
        <v>15435.508482680942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1.0708833410497294</v>
      </c>
      <c r="M35" s="1">
        <v>31</v>
      </c>
      <c r="N35" s="6">
        <f>VLOOKUP($N$2,角色品星!$C$16:$D$20,2,0)*VLOOKUP($N$3,角色品星!$C$3:$E$14,3,0)*V35</f>
        <v>810.36419534074923</v>
      </c>
      <c r="O35" s="6">
        <f>VLOOKUP($N$2,角色品星!$C$16:$D$20,2,0)*VLOOKUP($N$3,角色品星!$C$3:$E$14,3,0)*W35</f>
        <v>17356.110339471539</v>
      </c>
      <c r="P35" s="6">
        <f>VLOOKUP($N$2,角色品星!$C$16:$D$20,2,0)*VLOOKUP($N$3,角色品星!$C$3:$E$14,3,0)*X35</f>
        <v>16207.283906814982</v>
      </c>
      <c r="Q35" s="24">
        <f t="shared" si="3"/>
        <v>0.05</v>
      </c>
      <c r="R35" s="24">
        <f t="shared" si="4"/>
        <v>1.5</v>
      </c>
      <c r="S35" s="24">
        <f t="shared" si="5"/>
        <v>0.9</v>
      </c>
      <c r="T35" s="42">
        <f>N35*(1+Q35*(R35-1))*S35*战斗公式!$E$39+(P35*战斗公式!$E$40+1)*O35*战斗公式!$E$41</f>
        <v>38858.08867241579</v>
      </c>
      <c r="U35" s="42">
        <f t="shared" si="6"/>
        <v>1942.9044336207953</v>
      </c>
      <c r="V35" s="6">
        <f>VLOOKUP($N$1,$D$4:$J$15,MATCH(F$4,$D$4:$J$4,0),0)*角色成长!E48*角色成长!$L$15*AB35/AA35/(1+$Y$2*($Z$2-1))</f>
        <v>810.36419534074923</v>
      </c>
      <c r="W35" s="6">
        <f>VLOOKUP($N$1,$D$4:$J$15,MATCH(G$4,$D$4:$J$4,0),0)*角色成长!F48*角色成长!$L$15/(1+X35/角色成长!$N$16)</f>
        <v>17356.110339471539</v>
      </c>
      <c r="X35" s="6">
        <f>VLOOKUP($N$1,$D$4:$J$15,MATCH(H$4,$D$4:$J$4,0),0)*角色成长!G48*角色成长!$L$15</f>
        <v>16207.283906814982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1.0634673185005836</v>
      </c>
      <c r="M36" s="1">
        <v>32</v>
      </c>
      <c r="N36" s="6">
        <f>VLOOKUP($N$2,角色品星!$C$16:$D$20,2,0)*VLOOKUP($N$3,角色品星!$C$3:$E$14,3,0)*V36</f>
        <v>850.88240510778689</v>
      </c>
      <c r="O36" s="6">
        <f>VLOOKUP($N$2,角色品星!$C$16:$D$20,2,0)*VLOOKUP($N$3,角色品星!$C$3:$E$14,3,0)*W36</f>
        <v>18097.712594386107</v>
      </c>
      <c r="P36" s="6">
        <f>VLOOKUP($N$2,角色品星!$C$16:$D$20,2,0)*VLOOKUP($N$3,角色品星!$C$3:$E$14,3,0)*X36</f>
        <v>17017.648102155737</v>
      </c>
      <c r="Q36" s="24">
        <f t="shared" si="3"/>
        <v>0.05</v>
      </c>
      <c r="R36" s="24">
        <f t="shared" si="4"/>
        <v>1.5</v>
      </c>
      <c r="S36" s="24">
        <f t="shared" si="5"/>
        <v>0.9</v>
      </c>
      <c r="T36" s="42">
        <f>N36*(1+Q36*(R36-1))*S36*战斗公式!$E$39+(P36*战斗公式!$E$40+1)*O36*战斗公式!$E$41</f>
        <v>40800.993106036585</v>
      </c>
      <c r="U36" s="42">
        <f t="shared" si="6"/>
        <v>2040.0496553018384</v>
      </c>
      <c r="V36" s="6">
        <f>VLOOKUP($N$1,$D$4:$J$15,MATCH(F$4,$D$4:$J$4,0),0)*角色成长!E49*角色成长!$L$15*AB36/AA36/(1+$Y$2*($Z$2-1))</f>
        <v>850.88240510778689</v>
      </c>
      <c r="W36" s="6">
        <f>VLOOKUP($N$1,$D$4:$J$15,MATCH(G$4,$D$4:$J$4,0),0)*角色成长!F49*角色成长!$L$15/(1+X36/角色成长!$N$16)</f>
        <v>18097.712594386107</v>
      </c>
      <c r="X36" s="6">
        <f>VLOOKUP($N$1,$D$4:$J$15,MATCH(H$4,$D$4:$J$4,0),0)*角色成长!G49*角色成长!$L$15</f>
        <v>17017.648102155737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1.0557902428144355</v>
      </c>
      <c r="M37" s="1">
        <v>33</v>
      </c>
      <c r="N37" s="6">
        <f>VLOOKUP($N$2,角色品星!$C$16:$D$20,2,0)*VLOOKUP($N$3,角色品星!$C$3:$E$14,3,0)*V37</f>
        <v>893.42652536317632</v>
      </c>
      <c r="O37" s="6">
        <f>VLOOKUP($N$2,角色品星!$C$16:$D$20,2,0)*VLOOKUP($N$3,角色品星!$C$3:$E$14,3,0)*W37</f>
        <v>18865.420163000905</v>
      </c>
      <c r="P37" s="6">
        <f>VLOOKUP($N$2,角色品星!$C$16:$D$20,2,0)*VLOOKUP($N$3,角色品星!$C$3:$E$14,3,0)*X37</f>
        <v>17868.530507263524</v>
      </c>
      <c r="Q37" s="24">
        <f t="shared" si="3"/>
        <v>0.05</v>
      </c>
      <c r="R37" s="24">
        <f t="shared" si="4"/>
        <v>1.5</v>
      </c>
      <c r="S37" s="24">
        <f t="shared" si="5"/>
        <v>0.9</v>
      </c>
      <c r="T37" s="42">
        <f>N37*(1+Q37*(R37-1))*S37*战斗公式!$E$39+(P37*战斗公式!$E$40+1)*O37*战斗公式!$E$41</f>
        <v>42841.042761338424</v>
      </c>
      <c r="U37" s="42">
        <f t="shared" si="6"/>
        <v>2142.0521380669234</v>
      </c>
      <c r="V37" s="6">
        <f>VLOOKUP($N$1,$D$4:$J$15,MATCH(F$4,$D$4:$J$4,0),0)*角色成长!E50*角色成长!$L$15*AB37/AA37/(1+$Y$2*($Z$2-1))</f>
        <v>893.42652536317632</v>
      </c>
      <c r="W37" s="6">
        <f>VLOOKUP($N$1,$D$4:$J$15,MATCH(G$4,$D$4:$J$4,0),0)*角色成长!F50*角色成长!$L$15/(1+X37/角色成长!$N$16)</f>
        <v>18865.420163000905</v>
      </c>
      <c r="X37" s="6">
        <f>VLOOKUP($N$1,$D$4:$J$15,MATCH(H$4,$D$4:$J$4,0),0)*角色成长!G50*角色成长!$L$15</f>
        <v>17868.530507263524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1.0478477077491799</v>
      </c>
      <c r="M38" s="1">
        <v>34</v>
      </c>
      <c r="N38" s="6">
        <f>VLOOKUP($N$2,角色品星!$C$16:$D$20,2,0)*VLOOKUP($N$3,角色品星!$C$3:$E$14,3,0)*V38</f>
        <v>938.09785163133529</v>
      </c>
      <c r="O38" s="6">
        <f>VLOOKUP($N$2,角色品星!$C$16:$D$20,2,0)*VLOOKUP($N$3,角色品星!$C$3:$E$14,3,0)*W38</f>
        <v>19659.673669526495</v>
      </c>
      <c r="P38" s="6">
        <f>VLOOKUP($N$2,角色品星!$C$16:$D$20,2,0)*VLOOKUP($N$3,角色品星!$C$3:$E$14,3,0)*X38</f>
        <v>18761.957032626702</v>
      </c>
      <c r="Q38" s="24">
        <f t="shared" si="3"/>
        <v>0.05</v>
      </c>
      <c r="R38" s="24">
        <f t="shared" si="4"/>
        <v>1.5</v>
      </c>
      <c r="S38" s="24">
        <f t="shared" si="5"/>
        <v>0.9</v>
      </c>
      <c r="T38" s="42">
        <f>N38*(1+Q38*(R38-1))*S38*战斗公式!$E$39+(P38*战斗公式!$E$40+1)*O38*战斗公式!$E$41</f>
        <v>44983.094899405347</v>
      </c>
      <c r="U38" s="42">
        <f t="shared" si="6"/>
        <v>2249.154744970263</v>
      </c>
      <c r="V38" s="6">
        <f>VLOOKUP($N$1,$D$4:$J$15,MATCH(F$4,$D$4:$J$4,0),0)*角色成长!E51*角色成长!$L$15*AB38/AA38/(1+$Y$2*($Z$2-1))</f>
        <v>938.09785163133529</v>
      </c>
      <c r="W38" s="6">
        <f>VLOOKUP($N$1,$D$4:$J$15,MATCH(G$4,$D$4:$J$4,0),0)*角色成长!F51*角色成长!$L$15/(1+X38/角色成长!$N$16)</f>
        <v>19659.673669526495</v>
      </c>
      <c r="X38" s="6">
        <f>VLOOKUP($N$1,$D$4:$J$15,MATCH(H$4,$D$4:$J$4,0),0)*角色成长!G51*角色成长!$L$15</f>
        <v>18761.957032626702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1.0396356506667765</v>
      </c>
      <c r="M39" s="1">
        <v>35</v>
      </c>
      <c r="N39" s="6">
        <f>VLOOKUP($N$2,角色品星!$C$16:$D$20,2,0)*VLOOKUP($N$3,角色品星!$C$3:$E$14,3,0)*V39</f>
        <v>985.0027442129018</v>
      </c>
      <c r="O39" s="6">
        <f>VLOOKUP($N$2,角色品星!$C$16:$D$20,2,0)*VLOOKUP($N$3,角色品星!$C$3:$E$14,3,0)*W39</f>
        <v>20480.879377766814</v>
      </c>
      <c r="P39" s="6">
        <f>VLOOKUP($N$2,角色品星!$C$16:$D$20,2,0)*VLOOKUP($N$3,角色品星!$C$3:$E$14,3,0)*X39</f>
        <v>19700.054884258036</v>
      </c>
      <c r="Q39" s="24">
        <f t="shared" si="3"/>
        <v>0.05</v>
      </c>
      <c r="R39" s="24">
        <f t="shared" si="4"/>
        <v>1.5</v>
      </c>
      <c r="S39" s="24">
        <f t="shared" si="5"/>
        <v>0.9</v>
      </c>
      <c r="T39" s="42">
        <f>N39*(1+Q39*(R39-1))*S39*战斗公式!$E$39+(P39*战斗公式!$E$40+1)*O39*战斗公式!$E$41</f>
        <v>47232.24964437561</v>
      </c>
      <c r="U39" s="42">
        <f t="shared" si="6"/>
        <v>2361.6124822187849</v>
      </c>
      <c r="V39" s="6">
        <f>VLOOKUP($N$1,$D$4:$J$15,MATCH(F$4,$D$4:$J$4,0),0)*角色成长!E52*角色成长!$L$15*AB39/AA39/(1+$Y$2*($Z$2-1))</f>
        <v>985.0027442129018</v>
      </c>
      <c r="W39" s="6">
        <f>VLOOKUP($N$1,$D$4:$J$15,MATCH(G$4,$D$4:$J$4,0),0)*角色成长!F52*角色成长!$L$15/(1+X39/角色成长!$N$16)</f>
        <v>20480.879377766814</v>
      </c>
      <c r="X39" s="6">
        <f>VLOOKUP($N$1,$D$4:$J$15,MATCH(H$4,$D$4:$J$4,0),0)*角色成长!G52*角色成长!$L$15</f>
        <v>19700.054884258036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1.0311503916876503</v>
      </c>
      <c r="M40" s="1">
        <v>36</v>
      </c>
      <c r="N40" s="6">
        <f>VLOOKUP($N$2,角色品星!$C$16:$D$20,2,0)*VLOOKUP($N$3,角色品星!$C$3:$E$14,3,0)*V40</f>
        <v>1034.2528814235473</v>
      </c>
      <c r="O40" s="6">
        <f>VLOOKUP($N$2,角色品星!$C$16:$D$20,2,0)*VLOOKUP($N$3,角色品星!$C$3:$E$14,3,0)*W40</f>
        <v>21329.405275679426</v>
      </c>
      <c r="P40" s="6">
        <f>VLOOKUP($N$2,角色品星!$C$16:$D$20,2,0)*VLOOKUP($N$3,角色品星!$C$3:$E$14,3,0)*X40</f>
        <v>20685.057628470939</v>
      </c>
      <c r="Q40" s="24">
        <f t="shared" si="3"/>
        <v>0.05</v>
      </c>
      <c r="R40" s="24">
        <f t="shared" si="4"/>
        <v>1.5</v>
      </c>
      <c r="S40" s="24">
        <f t="shared" si="5"/>
        <v>0.9</v>
      </c>
      <c r="T40" s="42">
        <f>N40*(1+Q40*(R40-1))*S40*战斗公式!$E$39+(P40*战斗公式!$E$40+1)*O40*战斗公式!$E$41</f>
        <v>49593.862126594395</v>
      </c>
      <c r="U40" s="42">
        <f t="shared" si="6"/>
        <v>2479.6931063297088</v>
      </c>
      <c r="V40" s="6">
        <f>VLOOKUP($N$1,$D$4:$J$15,MATCH(F$4,$D$4:$J$4,0),0)*角色成长!E53*角色成长!$L$15*AB40/AA40/(1+$Y$2*($Z$2-1))</f>
        <v>1034.2528814235473</v>
      </c>
      <c r="W40" s="6">
        <f>VLOOKUP($N$1,$D$4:$J$15,MATCH(G$4,$D$4:$J$4,0),0)*角色成长!F53*角色成长!$L$15/(1+X40/角色成长!$N$16)</f>
        <v>21329.405275679426</v>
      </c>
      <c r="X40" s="6">
        <f>VLOOKUP($N$1,$D$4:$J$15,MATCH(H$4,$D$4:$J$4,0),0)*角色成长!G53*角色成长!$L$15</f>
        <v>20685.057628470939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1.0223886737702843</v>
      </c>
      <c r="M41" s="1">
        <v>37</v>
      </c>
      <c r="N41" s="6">
        <f>VLOOKUP($N$2,角色品星!$C$16:$D$20,2,0)*VLOOKUP($N$3,角色品星!$C$3:$E$14,3,0)*V41</f>
        <v>1085.9655254947243</v>
      </c>
      <c r="O41" s="6">
        <f>VLOOKUP($N$2,角色品星!$C$16:$D$20,2,0)*VLOOKUP($N$3,角色品星!$C$3:$E$14,3,0)*W41</f>
        <v>22205.577067416019</v>
      </c>
      <c r="P41" s="6">
        <f>VLOOKUP($N$2,角色品星!$C$16:$D$20,2,0)*VLOOKUP($N$3,角色品星!$C$3:$E$14,3,0)*X41</f>
        <v>21719.310509894483</v>
      </c>
      <c r="Q41" s="24">
        <f t="shared" si="3"/>
        <v>0.05</v>
      </c>
      <c r="R41" s="24">
        <f t="shared" si="4"/>
        <v>1.5</v>
      </c>
      <c r="S41" s="24">
        <f t="shared" si="5"/>
        <v>0.9</v>
      </c>
      <c r="T41" s="42">
        <f>N41*(1+Q41*(R41-1))*S41*战斗公式!$E$39+(P41*战斗公式!$E$40+1)*O41*战斗公式!$E$41</f>
        <v>52073.555232924104</v>
      </c>
      <c r="U41" s="42">
        <f t="shared" si="6"/>
        <v>2603.6777616462132</v>
      </c>
      <c r="V41" s="6">
        <f>VLOOKUP($N$1,$D$4:$J$15,MATCH(F$4,$D$4:$J$4,0),0)*角色成长!E54*角色成长!$L$15*AB41/AA41/(1+$Y$2*($Z$2-1))</f>
        <v>1085.9655254947243</v>
      </c>
      <c r="W41" s="6">
        <f>VLOOKUP($N$1,$D$4:$J$15,MATCH(G$4,$D$4:$J$4,0),0)*角色成长!F54*角色成长!$L$15/(1+X41/角色成长!$N$16)</f>
        <v>22205.577067416019</v>
      </c>
      <c r="X41" s="6">
        <f>VLOOKUP($N$1,$D$4:$J$15,MATCH(H$4,$D$4:$J$4,0),0)*角色成长!G54*角色成长!$L$15</f>
        <v>21719.310509894483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1.0133477034698646</v>
      </c>
      <c r="M42" s="1">
        <v>38</v>
      </c>
      <c r="N42" s="6">
        <f>VLOOKUP($N$2,角色品星!$C$16:$D$20,2,0)*VLOOKUP($N$3,角色品星!$C$3:$E$14,3,0)*V42</f>
        <v>1140.2638017694605</v>
      </c>
      <c r="O42" s="6">
        <f>VLOOKUP($N$2,角色品星!$C$16:$D$20,2,0)*VLOOKUP($N$3,角色品星!$C$3:$E$14,3,0)*W42</f>
        <v>23109.674097457995</v>
      </c>
      <c r="P42" s="6">
        <f>VLOOKUP($N$2,角色品星!$C$16:$D$20,2,0)*VLOOKUP($N$3,角色品星!$C$3:$E$14,3,0)*X42</f>
        <v>22805.276035389212</v>
      </c>
      <c r="Q42" s="24">
        <f t="shared" si="3"/>
        <v>0.05</v>
      </c>
      <c r="R42" s="24">
        <f t="shared" si="4"/>
        <v>1.5</v>
      </c>
      <c r="S42" s="24">
        <f t="shared" si="5"/>
        <v>0.9</v>
      </c>
      <c r="T42" s="42">
        <f>N42*(1+Q42*(R42-1))*S42*战斗公式!$E$39+(P42*战斗公式!$E$40+1)*O42*战斗公式!$E$41</f>
        <v>54677.232994570317</v>
      </c>
      <c r="U42" s="42">
        <f t="shared" si="6"/>
        <v>2733.8616497285038</v>
      </c>
      <c r="V42" s="6">
        <f>VLOOKUP($N$1,$D$4:$J$15,MATCH(F$4,$D$4:$J$4,0),0)*角色成长!E55*角色成长!$L$15*AB42/AA42/(1+$Y$2*($Z$2-1))</f>
        <v>1140.2638017694605</v>
      </c>
      <c r="W42" s="6">
        <f>VLOOKUP($N$1,$D$4:$J$15,MATCH(G$4,$D$4:$J$4,0),0)*角色成长!F55*角色成长!$L$15/(1+X42/角色成长!$N$16)</f>
        <v>23109.674097457995</v>
      </c>
      <c r="X42" s="6">
        <f>VLOOKUP($N$1,$D$4:$J$15,MATCH(H$4,$D$4:$J$4,0),0)*角色成长!G55*角色成长!$L$15</f>
        <v>22805.276035389212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1.0040251920959906</v>
      </c>
      <c r="M43" s="1">
        <v>39</v>
      </c>
      <c r="N43" s="6">
        <f>VLOOKUP($N$2,角色品星!$C$16:$D$20,2,0)*VLOOKUP($N$3,角色品星!$C$3:$E$14,3,0)*V43</f>
        <v>1197.2769918579334</v>
      </c>
      <c r="O43" s="6">
        <f>VLOOKUP($N$2,角色品星!$C$16:$D$20,2,0)*VLOOKUP($N$3,角色品星!$C$3:$E$14,3,0)*W43</f>
        <v>24041.925234845425</v>
      </c>
      <c r="P43" s="6">
        <f>VLOOKUP($N$2,角色品星!$C$16:$D$20,2,0)*VLOOKUP($N$3,角色品星!$C$3:$E$14,3,0)*X43</f>
        <v>23945.539837158667</v>
      </c>
      <c r="Q43" s="24">
        <f t="shared" si="3"/>
        <v>0.05</v>
      </c>
      <c r="R43" s="24">
        <f t="shared" si="4"/>
        <v>1.5</v>
      </c>
      <c r="S43" s="24">
        <f t="shared" si="5"/>
        <v>0.9</v>
      </c>
      <c r="T43" s="42">
        <f>N43*(1+Q43*(R43-1))*S43*战斗公式!$E$39+(P43*战斗公式!$E$40+1)*O43*战斗公式!$E$41</f>
        <v>57411.094644298821</v>
      </c>
      <c r="U43" s="42">
        <f t="shared" si="6"/>
        <v>2870.5547322149505</v>
      </c>
      <c r="V43" s="6">
        <f>VLOOKUP($N$1,$D$4:$J$15,MATCH(F$4,$D$4:$J$4,0),0)*角色成长!E56*角色成长!$L$15*AB43/AA43/(1+$Y$2*($Z$2-1))</f>
        <v>1197.2769918579334</v>
      </c>
      <c r="W43" s="6">
        <f>VLOOKUP($N$1,$D$4:$J$15,MATCH(G$4,$D$4:$J$4,0),0)*角色成长!F56*角色成长!$L$15/(1+X43/角色成长!$N$16)</f>
        <v>24041.925234845425</v>
      </c>
      <c r="X43" s="6">
        <f>VLOOKUP($N$1,$D$4:$J$15,MATCH(H$4,$D$4:$J$4,0),0)*角色成长!G56*角色成长!$L$15</f>
        <v>23945.539837158667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0.99441939695566939</v>
      </c>
      <c r="M44" s="1">
        <v>40</v>
      </c>
      <c r="N44" s="6">
        <f>VLOOKUP($N$2,角色品星!$C$16:$D$20,2,0)*VLOOKUP($N$3,角色品星!$C$3:$E$14,3,0)*V44</f>
        <v>1257.1408414508303</v>
      </c>
      <c r="O44" s="6">
        <f>VLOOKUP($N$2,角色品星!$C$16:$D$20,2,0)*VLOOKUP($N$3,角色品星!$C$3:$E$14,3,0)*W44</f>
        <v>25002.504748877545</v>
      </c>
      <c r="P44" s="6">
        <f>VLOOKUP($N$2,角色品星!$C$16:$D$20,2,0)*VLOOKUP($N$3,角色品星!$C$3:$E$14,3,0)*X44</f>
        <v>25142.816829016603</v>
      </c>
      <c r="Q44" s="24">
        <f t="shared" si="3"/>
        <v>0.05</v>
      </c>
      <c r="R44" s="24">
        <f t="shared" si="4"/>
        <v>1.5</v>
      </c>
      <c r="S44" s="24">
        <f t="shared" si="5"/>
        <v>0.9</v>
      </c>
      <c r="T44" s="42">
        <f>N44*(1+Q44*(R44-1))*S44*战斗公式!$E$39+(P44*战斗公式!$E$40+1)*O44*战斗公式!$E$41</f>
        <v>60281.649376513771</v>
      </c>
      <c r="U44" s="42">
        <f t="shared" si="6"/>
        <v>3014.0824688256835</v>
      </c>
      <c r="V44" s="6">
        <f>VLOOKUP($N$1,$D$4:$J$15,MATCH(F$4,$D$4:$J$4,0),0)*角色成长!E57*角色成长!$L$15*AB44/AA44/(1+$Y$2*($Z$2-1))</f>
        <v>1257.1408414508303</v>
      </c>
      <c r="W44" s="6">
        <f>VLOOKUP($N$1,$D$4:$J$15,MATCH(G$4,$D$4:$J$4,0),0)*角色成长!F57*角色成长!$L$15/(1+X44/角色成长!$N$16)</f>
        <v>25002.504748877545</v>
      </c>
      <c r="X44" s="6">
        <f>VLOOKUP($N$1,$D$4:$J$15,MATCH(H$4,$D$4:$J$4,0),0)*角色成长!G57*角色成长!$L$15</f>
        <v>25142.816829016603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0.98452916233468102</v>
      </c>
      <c r="M45" s="1">
        <v>41</v>
      </c>
      <c r="N45" s="6">
        <f>VLOOKUP($N$2,角色品星!$C$16:$D$20,2,0)*VLOOKUP($N$3,角色品星!$C$3:$E$14,3,0)*V45</f>
        <v>1319.9978835233717</v>
      </c>
      <c r="O45" s="6">
        <f>VLOOKUP($N$2,角色品星!$C$16:$D$20,2,0)*VLOOKUP($N$3,角色品星!$C$3:$E$14,3,0)*W45</f>
        <v>25991.528210976339</v>
      </c>
      <c r="P45" s="6">
        <f>VLOOKUP($N$2,角色品星!$C$16:$D$20,2,0)*VLOOKUP($N$3,角色品星!$C$3:$E$14,3,0)*X45</f>
        <v>26399.957670467433</v>
      </c>
      <c r="Q45" s="24">
        <f t="shared" si="3"/>
        <v>0.05</v>
      </c>
      <c r="R45" s="24">
        <f t="shared" si="4"/>
        <v>1.5</v>
      </c>
      <c r="S45" s="24">
        <f t="shared" si="5"/>
        <v>0.9</v>
      </c>
      <c r="T45" s="42">
        <f>N45*(1+Q45*(R45-1))*S45*战斗公式!$E$39+(P45*战斗公式!$E$40+1)*O45*战斗公式!$E$41</f>
        <v>63295.731845339455</v>
      </c>
      <c r="U45" s="42">
        <f t="shared" si="6"/>
        <v>3164.7865922669735</v>
      </c>
      <c r="V45" s="6">
        <f>VLOOKUP($N$1,$D$4:$J$15,MATCH(F$4,$D$4:$J$4,0),0)*角色成长!E58*角色成长!$L$15*AB45/AA45/(1+$Y$2*($Z$2-1))</f>
        <v>1319.9978835233717</v>
      </c>
      <c r="W45" s="6">
        <f>VLOOKUP($N$1,$D$4:$J$15,MATCH(G$4,$D$4:$J$4,0),0)*角色成长!F58*角色成长!$L$15/(1+X45/角色成长!$N$16)</f>
        <v>25991.528210976339</v>
      </c>
      <c r="X45" s="6">
        <f>VLOOKUP($N$1,$D$4:$J$15,MATCH(H$4,$D$4:$J$4,0),0)*角色成长!G58*角色成长!$L$15</f>
        <v>26399.957670467433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0.97435395983862749</v>
      </c>
      <c r="M46" s="1">
        <v>42</v>
      </c>
      <c r="N46" s="6">
        <f>VLOOKUP($N$2,角色品星!$C$16:$D$20,2,0)*VLOOKUP($N$3,角色品星!$C$3:$E$14,3,0)*V46</f>
        <v>1385.9977776995404</v>
      </c>
      <c r="O46" s="6">
        <f>VLOOKUP($N$2,角色品星!$C$16:$D$20,2,0)*VLOOKUP($N$3,角色品星!$C$3:$E$14,3,0)*W46</f>
        <v>27009.048460581696</v>
      </c>
      <c r="P46" s="6">
        <f>VLOOKUP($N$2,角色品星!$C$16:$D$20,2,0)*VLOOKUP($N$3,角色品星!$C$3:$E$14,3,0)*X46</f>
        <v>27719.955553990807</v>
      </c>
      <c r="Q46" s="24">
        <f t="shared" si="3"/>
        <v>0.05</v>
      </c>
      <c r="R46" s="24">
        <f t="shared" si="4"/>
        <v>1.5</v>
      </c>
      <c r="S46" s="24">
        <f t="shared" si="5"/>
        <v>0.9</v>
      </c>
      <c r="T46" s="42">
        <f>N46*(1+Q46*(R46-1))*S46*战斗公式!$E$39+(P46*战斗公式!$E$40+1)*O46*战斗公式!$E$41</f>
        <v>66460.518437606428</v>
      </c>
      <c r="U46" s="42">
        <f t="shared" si="6"/>
        <v>3323.0259218803258</v>
      </c>
      <c r="V46" s="6">
        <f>VLOOKUP($N$1,$D$4:$J$15,MATCH(F$4,$D$4:$J$4,0),0)*角色成长!E59*角色成长!$L$15*AB46/AA46/(1+$Y$2*($Z$2-1))</f>
        <v>1385.9977776995404</v>
      </c>
      <c r="W46" s="6">
        <f>VLOOKUP($N$1,$D$4:$J$15,MATCH(G$4,$D$4:$J$4,0),0)*角色成长!F59*角色成长!$L$15/(1+X46/角色成长!$N$16)</f>
        <v>27009.048460581696</v>
      </c>
      <c r="X46" s="6">
        <f>VLOOKUP($N$1,$D$4:$J$15,MATCH(H$4,$D$4:$J$4,0),0)*角色成长!G59*角色成长!$L$15</f>
        <v>27719.955553990807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0.96389392768534954</v>
      </c>
      <c r="M47" s="1">
        <v>43</v>
      </c>
      <c r="N47" s="6">
        <f>VLOOKUP($N$2,角色品星!$C$16:$D$20,2,0)*VLOOKUP($N$3,角色品星!$C$3:$E$14,3,0)*V47</f>
        <v>1455.2976665845174</v>
      </c>
      <c r="O47" s="6">
        <f>VLOOKUP($N$2,角色品星!$C$16:$D$20,2,0)*VLOOKUP($N$3,角色品星!$C$3:$E$14,3,0)*W47</f>
        <v>28055.051675909493</v>
      </c>
      <c r="P47" s="6">
        <f>VLOOKUP($N$2,角色品星!$C$16:$D$20,2,0)*VLOOKUP($N$3,角色品星!$C$3:$E$14,3,0)*X47</f>
        <v>29105.953331690347</v>
      </c>
      <c r="Q47" s="24">
        <f t="shared" si="3"/>
        <v>0.05</v>
      </c>
      <c r="R47" s="24">
        <f t="shared" si="4"/>
        <v>1.5</v>
      </c>
      <c r="S47" s="24">
        <f t="shared" si="5"/>
        <v>0.9</v>
      </c>
      <c r="T47" s="42">
        <f>N47*(1+Q47*(R47-1))*S47*战斗公式!$E$39+(P47*战斗公式!$E$40+1)*O47*战斗公式!$E$41</f>
        <v>69783.544359486754</v>
      </c>
      <c r="U47" s="42">
        <f t="shared" si="6"/>
        <v>3489.1772179743421</v>
      </c>
      <c r="V47" s="6">
        <f>VLOOKUP($N$1,$D$4:$J$15,MATCH(F$4,$D$4:$J$4,0),0)*角色成长!E60*角色成长!$L$15*AB47/AA47/(1+$Y$2*($Z$2-1))</f>
        <v>1455.2976665845174</v>
      </c>
      <c r="W47" s="6">
        <f>VLOOKUP($N$1,$D$4:$J$15,MATCH(G$4,$D$4:$J$4,0),0)*角色成长!F60*角色成长!$L$15/(1+X47/角色成长!$N$16)</f>
        <v>28055.051675909493</v>
      </c>
      <c r="X47" s="6">
        <f>VLOOKUP($N$1,$D$4:$J$15,MATCH(H$4,$D$4:$J$4,0),0)*角色成长!G60*角色成长!$L$15</f>
        <v>29105.953331690347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0.95314990851373482</v>
      </c>
      <c r="M48" s="1">
        <v>44</v>
      </c>
      <c r="N48" s="6">
        <f>VLOOKUP($N$2,角色品星!$C$16:$D$20,2,0)*VLOOKUP($N$3,角色品星!$C$3:$E$14,3,0)*V48</f>
        <v>1528.0625499137432</v>
      </c>
      <c r="O48" s="6">
        <f>VLOOKUP($N$2,角色品星!$C$16:$D$20,2,0)*VLOOKUP($N$3,角色品星!$C$3:$E$14,3,0)*W48</f>
        <v>29129.453593070975</v>
      </c>
      <c r="P48" s="6">
        <f>VLOOKUP($N$2,角色品星!$C$16:$D$20,2,0)*VLOOKUP($N$3,角色品星!$C$3:$E$14,3,0)*X48</f>
        <v>30561.250998274867</v>
      </c>
      <c r="Q48" s="24">
        <f t="shared" si="3"/>
        <v>0.05</v>
      </c>
      <c r="R48" s="24">
        <f t="shared" si="4"/>
        <v>1.5</v>
      </c>
      <c r="S48" s="24">
        <f t="shared" si="5"/>
        <v>0.9</v>
      </c>
      <c r="T48" s="42">
        <f>N48*(1+Q48*(R48-1))*S48*战斗公式!$E$39+(P48*战斗公式!$E$40+1)*O48*战斗公式!$E$41</f>
        <v>73272.721577461096</v>
      </c>
      <c r="U48" s="42">
        <f t="shared" si="6"/>
        <v>3663.6360788730526</v>
      </c>
      <c r="V48" s="6">
        <f>VLOOKUP($N$1,$D$4:$J$15,MATCH(F$4,$D$4:$J$4,0),0)*角色成长!E61*角色成长!$L$15*AB48/AA48/(1+$Y$2*($Z$2-1))</f>
        <v>1528.0625499137432</v>
      </c>
      <c r="W48" s="6">
        <f>VLOOKUP($N$1,$D$4:$J$15,MATCH(G$4,$D$4:$J$4,0),0)*角色成长!F61*角色成长!$L$15/(1+X48/角色成长!$N$16)</f>
        <v>29129.453593070975</v>
      </c>
      <c r="X48" s="6">
        <f>VLOOKUP($N$1,$D$4:$J$15,MATCH(H$4,$D$4:$J$4,0),0)*角色成长!G61*角色成长!$L$15</f>
        <v>30561.250998274867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1604.4656774094303</v>
      </c>
      <c r="O49" s="6">
        <f>VLOOKUP($N$2,角色品星!$C$16:$D$20,2,0)*VLOOKUP($N$3,角色品星!$C$3:$E$14,3,0)*W49</f>
        <v>30232.095919334715</v>
      </c>
      <c r="P49" s="6">
        <f>VLOOKUP($N$2,角色品星!$C$16:$D$20,2,0)*VLOOKUP($N$3,角色品星!$C$3:$E$14,3,0)*X49</f>
        <v>32089.313548188609</v>
      </c>
      <c r="Q49" s="24">
        <f t="shared" si="3"/>
        <v>0.05</v>
      </c>
      <c r="R49" s="24">
        <f t="shared" si="4"/>
        <v>1.5</v>
      </c>
      <c r="S49" s="24">
        <f t="shared" si="5"/>
        <v>0.9</v>
      </c>
      <c r="T49" s="42">
        <f>N49*(1+Q49*(R49-1))*S49*战斗公式!$E$39+(P49*战斗公式!$E$40+1)*O49*战斗公式!$E$41</f>
        <v>76936.357656334148</v>
      </c>
      <c r="U49" s="42">
        <f t="shared" si="6"/>
        <v>3846.8178828167293</v>
      </c>
      <c r="V49" s="6">
        <f>VLOOKUP($N$1,$D$4:$J$15,MATCH(F$4,$D$4:$J$4,0),0)*角色成长!E62*角色成长!$L$15*AB49/AA49/(1+$Y$2*($Z$2-1))</f>
        <v>1604.4656774094303</v>
      </c>
      <c r="W49" s="6">
        <f>VLOOKUP($N$1,$D$4:$J$15,MATCH(G$4,$D$4:$J$4,0),0)*角色成长!F62*角色成长!$L$15/(1+X49/角色成长!$N$16)</f>
        <v>30232.095919334715</v>
      </c>
      <c r="X49" s="6">
        <f>VLOOKUP($N$1,$D$4:$J$15,MATCH(H$4,$D$4:$J$4,0),0)*角色成长!G62*角色成长!$L$15</f>
        <v>32089.313548188609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0.93081701456321275</v>
      </c>
      <c r="M50" s="1">
        <v>46</v>
      </c>
      <c r="N50" s="6">
        <f>VLOOKUP($N$2,角色品星!$C$16:$D$20,2,0)*VLOOKUP($N$3,角色品星!$C$3:$E$14,3,0)*V50</f>
        <v>1684.6889612799025</v>
      </c>
      <c r="O50" s="6">
        <f>VLOOKUP($N$2,角色品星!$C$16:$D$20,2,0)*VLOOKUP($N$3,角色品星!$C$3:$E$14,3,0)*W50</f>
        <v>31362.742988123173</v>
      </c>
      <c r="P50" s="6">
        <f>VLOOKUP($N$2,角色品星!$C$16:$D$20,2,0)*VLOOKUP($N$3,角色品星!$C$3:$E$14,3,0)*X50</f>
        <v>33693.779225598046</v>
      </c>
      <c r="Q50" s="24">
        <f t="shared" si="3"/>
        <v>0.05</v>
      </c>
      <c r="R50" s="24">
        <f t="shared" si="4"/>
        <v>1.5</v>
      </c>
      <c r="S50" s="24">
        <f t="shared" si="5"/>
        <v>0.9</v>
      </c>
      <c r="T50" s="42">
        <f>N50*(1+Q50*(R50-1))*S50*战斗公式!$E$39+(P50*战斗公式!$E$40+1)*O50*战斗公式!$E$41</f>
        <v>80783.175539150878</v>
      </c>
      <c r="U50" s="42">
        <f t="shared" si="6"/>
        <v>4039.1587769575272</v>
      </c>
      <c r="V50" s="6">
        <f>VLOOKUP($N$1,$D$4:$J$15,MATCH(F$4,$D$4:$J$4,0),0)*角色成长!E63*角色成长!$L$15*AB50/AA50/(1+$Y$2*($Z$2-1))</f>
        <v>1684.6889612799025</v>
      </c>
      <c r="W50" s="6">
        <f>VLOOKUP($N$1,$D$4:$J$15,MATCH(G$4,$D$4:$J$4,0),0)*角色成长!F63*角色成长!$L$15/(1+X50/角色成长!$N$16)</f>
        <v>31362.742988123173</v>
      </c>
      <c r="X50" s="6">
        <f>VLOOKUP($N$1,$D$4:$J$15,MATCH(H$4,$D$4:$J$4,0),0)*角色成长!G63*角色成长!$L$15</f>
        <v>33693.779225598046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0.91923365739860485</v>
      </c>
      <c r="M51" s="1">
        <v>47</v>
      </c>
      <c r="N51" s="6">
        <f>VLOOKUP($N$2,角色品星!$C$16:$D$20,2,0)*VLOOKUP($N$3,角色品星!$C$3:$E$14,3,0)*V51</f>
        <v>1768.9234093438972</v>
      </c>
      <c r="O51" s="6">
        <f>VLOOKUP($N$2,角色品星!$C$16:$D$20,2,0)*VLOOKUP($N$3,角色品星!$C$3:$E$14,3,0)*W51</f>
        <v>32521.078704583993</v>
      </c>
      <c r="P51" s="6">
        <f>VLOOKUP($N$2,角色品星!$C$16:$D$20,2,0)*VLOOKUP($N$3,角色品星!$C$3:$E$14,3,0)*X51</f>
        <v>35378.468186877937</v>
      </c>
      <c r="Q51" s="24">
        <f t="shared" si="3"/>
        <v>0.05</v>
      </c>
      <c r="R51" s="24">
        <f t="shared" si="4"/>
        <v>1.5</v>
      </c>
      <c r="S51" s="24">
        <f t="shared" si="5"/>
        <v>0.9</v>
      </c>
      <c r="T51" s="42">
        <f>N51*(1+Q51*(R51-1))*S51*战斗公式!$E$39+(P51*战斗公式!$E$40+1)*O51*战斗公式!$E$41</f>
        <v>84822.334316108405</v>
      </c>
      <c r="U51" s="42">
        <f t="shared" si="6"/>
        <v>4241.1167158054159</v>
      </c>
      <c r="V51" s="6">
        <f>VLOOKUP($N$1,$D$4:$J$15,MATCH(F$4,$D$4:$J$4,0),0)*角色成长!E64*角色成长!$L$15*AB51/AA51/(1+$Y$2*($Z$2-1))</f>
        <v>1768.9234093438972</v>
      </c>
      <c r="W51" s="6">
        <f>VLOOKUP($N$1,$D$4:$J$15,MATCH(G$4,$D$4:$J$4,0),0)*角色成长!F64*角色成长!$L$15/(1+X51/角色成长!$N$16)</f>
        <v>32521.078704583993</v>
      </c>
      <c r="X51" s="6">
        <f>VLOOKUP($N$1,$D$4:$J$15,MATCH(H$4,$D$4:$J$4,0),0)*角色成长!G64*角色成长!$L$15</f>
        <v>35378.468186877937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0.9073774061326928</v>
      </c>
      <c r="M52" s="1">
        <v>48</v>
      </c>
      <c r="N52" s="6">
        <f>VLOOKUP($N$2,角色品星!$C$16:$D$20,2,0)*VLOOKUP($N$3,角色品星!$C$3:$E$14,3,0)*V52</f>
        <v>1857.3695798110919</v>
      </c>
      <c r="O52" s="6">
        <f>VLOOKUP($N$2,角色品星!$C$16:$D$20,2,0)*VLOOKUP($N$3,角色品星!$C$3:$E$14,3,0)*W52</f>
        <v>33706.703831175168</v>
      </c>
      <c r="P52" s="6">
        <f>VLOOKUP($N$2,角色品星!$C$16:$D$20,2,0)*VLOOKUP($N$3,角色品星!$C$3:$E$14,3,0)*X52</f>
        <v>37147.391596221845</v>
      </c>
      <c r="Q52" s="24">
        <f t="shared" si="3"/>
        <v>0.05</v>
      </c>
      <c r="R52" s="24">
        <f t="shared" si="4"/>
        <v>1.5</v>
      </c>
      <c r="S52" s="24">
        <f t="shared" si="5"/>
        <v>0.9</v>
      </c>
      <c r="T52" s="42">
        <f>N52*(1+Q52*(R52-1))*S52*战斗公式!$E$39+(P52*战斗公式!$E$40+1)*O52*战斗公式!$E$41</f>
        <v>89063.451031913821</v>
      </c>
      <c r="U52" s="42">
        <f t="shared" si="6"/>
        <v>4453.1725515957078</v>
      </c>
      <c r="V52" s="6">
        <f>VLOOKUP($N$1,$D$4:$J$15,MATCH(F$4,$D$4:$J$4,0),0)*角色成长!E65*角色成长!$L$15*AB52/AA52/(1+$Y$2*($Z$2-1))</f>
        <v>1857.3695798110919</v>
      </c>
      <c r="W52" s="6">
        <f>VLOOKUP($N$1,$D$4:$J$15,MATCH(G$4,$D$4:$J$4,0),0)*角色成长!F65*角色成长!$L$15/(1+X52/角色成长!$N$16)</f>
        <v>33706.703831175168</v>
      </c>
      <c r="X52" s="6">
        <f>VLOOKUP($N$1,$D$4:$J$15,MATCH(H$4,$D$4:$J$4,0),0)*角色成长!G65*角色成长!$L$15</f>
        <v>37147.391596221845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0.89525310781873446</v>
      </c>
      <c r="M53" s="1">
        <v>49</v>
      </c>
      <c r="N53" s="6">
        <f>VLOOKUP($N$2,角色品星!$C$16:$D$20,2,0)*VLOOKUP($N$3,角色品星!$C$3:$E$14,3,0)*V53</f>
        <v>1950.2380588016467</v>
      </c>
      <c r="O53" s="6">
        <f>VLOOKUP($N$2,角色品星!$C$16:$D$20,2,0)*VLOOKUP($N$3,角色品星!$C$3:$E$14,3,0)*W53</f>
        <v>34919.133662571003</v>
      </c>
      <c r="P53" s="6">
        <f>VLOOKUP($N$2,角色品星!$C$16:$D$20,2,0)*VLOOKUP($N$3,角色品星!$C$3:$E$14,3,0)*X53</f>
        <v>39004.761176032938</v>
      </c>
      <c r="Q53" s="24">
        <f t="shared" si="3"/>
        <v>0.05</v>
      </c>
      <c r="R53" s="24">
        <f t="shared" si="4"/>
        <v>1.5</v>
      </c>
      <c r="S53" s="24">
        <f t="shared" si="5"/>
        <v>0.9</v>
      </c>
      <c r="T53" s="42">
        <f>N53*(1+Q53*(R53-1))*S53*战斗公式!$E$39+(P53*战斗公式!$E$40+1)*O53*战斗公式!$E$41</f>
        <v>93516.623583509529</v>
      </c>
      <c r="U53" s="42">
        <f t="shared" si="6"/>
        <v>4675.8311791754968</v>
      </c>
      <c r="V53" s="6">
        <f>VLOOKUP($N$1,$D$4:$J$15,MATCH(F$4,$D$4:$J$4,0),0)*角色成长!E66*角色成长!$L$15*AB53/AA53/(1+$Y$2*($Z$2-1))</f>
        <v>1950.2380588016467</v>
      </c>
      <c r="W53" s="6">
        <f>VLOOKUP($N$1,$D$4:$J$15,MATCH(G$4,$D$4:$J$4,0),0)*角色成长!F66*角色成长!$L$15/(1+X53/角色成长!$N$16)</f>
        <v>34919.133662571003</v>
      </c>
      <c r="X53" s="6">
        <f>VLOOKUP($N$1,$D$4:$J$15,MATCH(H$4,$D$4:$J$4,0),0)*角色成长!G66*角色成长!$L$15</f>
        <v>39004.761176032938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0.88286648306185234</v>
      </c>
      <c r="M54" s="1">
        <v>50</v>
      </c>
      <c r="N54" s="6">
        <f>VLOOKUP($N$2,角色品星!$C$16:$D$20,2,0)*VLOOKUP($N$3,角色品星!$C$3:$E$14,3,0)*V54</f>
        <v>2047.7499617417297</v>
      </c>
      <c r="O54" s="6">
        <f>VLOOKUP($N$2,角色品星!$C$16:$D$20,2,0)*VLOOKUP($N$3,角色品星!$C$3:$E$14,3,0)*W54</f>
        <v>36157.796138259255</v>
      </c>
      <c r="P54" s="6">
        <f>VLOOKUP($N$2,角色品星!$C$16:$D$20,2,0)*VLOOKUP($N$3,角色品星!$C$3:$E$14,3,0)*X54</f>
        <v>40954.999234834577</v>
      </c>
      <c r="Q54" s="24">
        <f t="shared" si="3"/>
        <v>0.05</v>
      </c>
      <c r="R54" s="24">
        <f t="shared" si="4"/>
        <v>1.5</v>
      </c>
      <c r="S54" s="24">
        <f t="shared" si="5"/>
        <v>0.9</v>
      </c>
      <c r="T54" s="42">
        <f>N54*(1+Q54*(R54-1))*S54*战斗公式!$E$39+(P54*战斗公式!$E$40+1)*O54*战斗公式!$E$41</f>
        <v>98192.454762685025</v>
      </c>
      <c r="U54" s="42">
        <f t="shared" si="6"/>
        <v>4909.6227381342323</v>
      </c>
      <c r="V54" s="6">
        <f>VLOOKUP($N$1,$D$4:$J$15,MATCH(F$4,$D$4:$J$4,0),0)*角色成长!E67*角色成长!$L$15*AB54/AA54/(1+$Y$2*($Z$2-1))</f>
        <v>2047.7499617417297</v>
      </c>
      <c r="W54" s="6">
        <f>VLOOKUP($N$1,$D$4:$J$15,MATCH(G$4,$D$4:$J$4,0),0)*角色成长!F67*角色成长!$L$15/(1+X54/角色成长!$N$16)</f>
        <v>36157.796138259255</v>
      </c>
      <c r="X54" s="6">
        <f>VLOOKUP($N$1,$D$4:$J$15,MATCH(H$4,$D$4:$J$4,0),0)*角色成长!G67*角色成长!$L$15</f>
        <v>40954.999234834577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0.87022414005047555</v>
      </c>
      <c r="M55" s="1">
        <v>51</v>
      </c>
      <c r="N55" s="6">
        <f>VLOOKUP($N$2,角色品星!$C$16:$D$20,2,0)*VLOOKUP($N$3,角色品星!$C$3:$E$14,3,0)*V55</f>
        <v>2150.1374598288157</v>
      </c>
      <c r="O55" s="6">
        <f>VLOOKUP($N$2,角色品星!$C$16:$D$20,2,0)*VLOOKUP($N$3,角色品星!$C$3:$E$14,3,0)*W55</f>
        <v>37422.030439396898</v>
      </c>
      <c r="P55" s="6">
        <f>VLOOKUP($N$2,角色品星!$C$16:$D$20,2,0)*VLOOKUP($N$3,角色品星!$C$3:$E$14,3,0)*X55</f>
        <v>43002.749196576311</v>
      </c>
      <c r="Q55" s="24">
        <f t="shared" si="3"/>
        <v>0.05</v>
      </c>
      <c r="R55" s="24">
        <f t="shared" si="4"/>
        <v>1.5</v>
      </c>
      <c r="S55" s="24">
        <f t="shared" si="5"/>
        <v>0.9</v>
      </c>
      <c r="T55" s="42">
        <f>N55*(1+Q55*(R55-1))*S55*战斗公式!$E$39+(P55*战斗公式!$E$40+1)*O55*战斗公式!$E$41</f>
        <v>103102.07750081926</v>
      </c>
      <c r="U55" s="42">
        <f t="shared" si="6"/>
        <v>5155.1038750409789</v>
      </c>
      <c r="V55" s="6">
        <f>VLOOKUP($N$1,$D$4:$J$15,MATCH(F$4,$D$4:$J$4,0),0)*角色成长!E68*角色成长!$L$15*AB55/AA55/(1+$Y$2*($Z$2-1))</f>
        <v>2150.1374598288157</v>
      </c>
      <c r="W55" s="6">
        <f>VLOOKUP($N$1,$D$4:$J$15,MATCH(G$4,$D$4:$J$4,0),0)*角色成长!F68*角色成长!$L$15/(1+X55/角色成长!$N$16)</f>
        <v>37422.030439396898</v>
      </c>
      <c r="X55" s="6">
        <f>VLOOKUP($N$1,$D$4:$J$15,MATCH(H$4,$D$4:$J$4,0),0)*角色成长!G68*角色成长!$L$15</f>
        <v>43002.749196576311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0.85733358330668208</v>
      </c>
      <c r="M56" s="1">
        <v>52</v>
      </c>
      <c r="N56" s="6">
        <f>VLOOKUP($N$2,角色品星!$C$16:$D$20,2,0)*VLOOKUP($N$3,角色品星!$C$3:$E$14,3,0)*V56</f>
        <v>2257.6443328202567</v>
      </c>
      <c r="O56" s="6">
        <f>VLOOKUP($N$2,角色品星!$C$16:$D$20,2,0)*VLOOKUP($N$3,角色品星!$C$3:$E$14,3,0)*W56</f>
        <v>38711.086113776277</v>
      </c>
      <c r="P56" s="6">
        <f>VLOOKUP($N$2,角色品星!$C$16:$D$20,2,0)*VLOOKUP($N$3,角色品星!$C$3:$E$14,3,0)*X56</f>
        <v>45152.886656405128</v>
      </c>
      <c r="Q56" s="24">
        <f t="shared" si="3"/>
        <v>0.05</v>
      </c>
      <c r="R56" s="24">
        <f t="shared" si="4"/>
        <v>1.5</v>
      </c>
      <c r="S56" s="24">
        <f t="shared" si="5"/>
        <v>0.9</v>
      </c>
      <c r="T56" s="42">
        <f>N56*(1+Q56*(R56-1))*S56*战斗公式!$E$39+(P56*战斗公式!$E$40+1)*O56*战斗公式!$E$41</f>
        <v>108257.18137586024</v>
      </c>
      <c r="U56" s="42">
        <f t="shared" si="6"/>
        <v>5412.8590687930118</v>
      </c>
      <c r="V56" s="6">
        <f>VLOOKUP($N$1,$D$4:$J$15,MATCH(F$4,$D$4:$J$4,0),0)*角色成长!E69*角色成长!$L$15*AB56/AA56/(1+$Y$2*($Z$2-1))</f>
        <v>2257.6443328202567</v>
      </c>
      <c r="W56" s="6">
        <f>VLOOKUP($N$1,$D$4:$J$15,MATCH(G$4,$D$4:$J$4,0),0)*角色成长!F69*角色成长!$L$15/(1+X56/角色成长!$N$16)</f>
        <v>38711.086113776277</v>
      </c>
      <c r="X56" s="6">
        <f>VLOOKUP($N$1,$D$4:$J$15,MATCH(H$4,$D$4:$J$4,0),0)*角色成长!G69*角色成长!$L$15</f>
        <v>45152.886656405128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0.84420321675349241</v>
      </c>
      <c r="M57" s="1">
        <v>53</v>
      </c>
      <c r="N57" s="6">
        <f>VLOOKUP($N$2,角色品星!$C$16:$D$20,2,0)*VLOOKUP($N$3,角色品星!$C$3:$E$14,3,0)*V57</f>
        <v>2370.5265494612695</v>
      </c>
      <c r="O57" s="6">
        <f>VLOOKUP($N$2,角色品星!$C$16:$D$20,2,0)*VLOOKUP($N$3,角色品星!$C$3:$E$14,3,0)*W57</f>
        <v>40024.122769095215</v>
      </c>
      <c r="P57" s="6">
        <f>VLOOKUP($N$2,角色品星!$C$16:$D$20,2,0)*VLOOKUP($N$3,角色品星!$C$3:$E$14,3,0)*X57</f>
        <v>47410.530989225394</v>
      </c>
      <c r="Q57" s="24">
        <f t="shared" si="3"/>
        <v>0.05</v>
      </c>
      <c r="R57" s="24">
        <f t="shared" si="4"/>
        <v>1.5</v>
      </c>
      <c r="S57" s="24">
        <f t="shared" si="5"/>
        <v>0.9</v>
      </c>
      <c r="T57" s="42">
        <f>N57*(1+Q57*(R57-1))*S57*战斗公式!$E$39+(P57*战斗公式!$E$40+1)*O57*战斗公式!$E$41</f>
        <v>113670.04044465325</v>
      </c>
      <c r="U57" s="42">
        <f t="shared" si="6"/>
        <v>5683.5020222326566</v>
      </c>
      <c r="V57" s="6">
        <f>VLOOKUP($N$1,$D$4:$J$15,MATCH(F$4,$D$4:$J$4,0),0)*角色成长!E70*角色成长!$L$15*AB57/AA57/(1+$Y$2*($Z$2-1))</f>
        <v>2370.5265494612695</v>
      </c>
      <c r="W57" s="6">
        <f>VLOOKUP($N$1,$D$4:$J$15,MATCH(G$4,$D$4:$J$4,0),0)*角色成长!F70*角色成长!$L$15/(1+X57/角色成长!$N$16)</f>
        <v>40024.122769095215</v>
      </c>
      <c r="X57" s="6">
        <f>VLOOKUP($N$1,$D$4:$J$15,MATCH(H$4,$D$4:$J$4,0),0)*角色成长!G70*角色成长!$L$15</f>
        <v>47410.530989225394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0.83084234074326768</v>
      </c>
      <c r="M58" s="1">
        <v>54</v>
      </c>
      <c r="N58" s="6">
        <f>VLOOKUP($N$2,角色品星!$C$16:$D$20,2,0)*VLOOKUP($N$3,角色品星!$C$3:$E$14,3,0)*V58</f>
        <v>2489.0528769343332</v>
      </c>
      <c r="O58" s="6">
        <f>VLOOKUP($N$2,角色品星!$C$16:$D$20,2,0)*VLOOKUP($N$3,角色品星!$C$3:$E$14,3,0)*W58</f>
        <v>41360.210370117704</v>
      </c>
      <c r="P58" s="6">
        <f>VLOOKUP($N$2,角色品星!$C$16:$D$20,2,0)*VLOOKUP($N$3,角色品星!$C$3:$E$14,3,0)*X58</f>
        <v>49781.057538686648</v>
      </c>
      <c r="Q58" s="24">
        <f t="shared" si="3"/>
        <v>0.05</v>
      </c>
      <c r="R58" s="24">
        <f t="shared" si="4"/>
        <v>1.5</v>
      </c>
      <c r="S58" s="24">
        <f t="shared" si="5"/>
        <v>0.9</v>
      </c>
      <c r="T58" s="42">
        <f>N58*(1+Q58*(R58-1))*S58*战斗公式!$E$39+(P58*战斗公式!$E$40+1)*O58*战斗公式!$E$41</f>
        <v>119353.54246688591</v>
      </c>
      <c r="U58" s="42">
        <f t="shared" si="6"/>
        <v>5967.6771233442996</v>
      </c>
      <c r="V58" s="6">
        <f>VLOOKUP($N$1,$D$4:$J$15,MATCH(F$4,$D$4:$J$4,0),0)*角色成长!E71*角色成长!$L$15*AB58/AA58/(1+$Y$2*($Z$2-1))</f>
        <v>2489.0528769343332</v>
      </c>
      <c r="W58" s="6">
        <f>VLOOKUP($N$1,$D$4:$J$15,MATCH(G$4,$D$4:$J$4,0),0)*角色成长!F71*角色成长!$L$15/(1+X58/角色成长!$N$16)</f>
        <v>41360.210370117704</v>
      </c>
      <c r="X58" s="6">
        <f>VLOOKUP($N$1,$D$4:$J$15,MATCH(H$4,$D$4:$J$4,0),0)*角色成长!G71*角色成长!$L$15</f>
        <v>49781.057538686648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0.81726114274675199</v>
      </c>
      <c r="M59" s="1">
        <v>55</v>
      </c>
      <c r="N59" s="6">
        <f>VLOOKUP($N$2,角色品星!$C$16:$D$20,2,0)*VLOOKUP($N$3,角色品星!$C$3:$E$14,3,0)*V59</f>
        <v>2613.5055207810497</v>
      </c>
      <c r="O59" s="6">
        <f>VLOOKUP($N$2,角色品星!$C$16:$D$20,2,0)*VLOOKUP($N$3,角色品星!$C$3:$E$14,3,0)*W59</f>
        <v>42718.330169769302</v>
      </c>
      <c r="P59" s="6">
        <f>VLOOKUP($N$2,角色品星!$C$16:$D$20,2,0)*VLOOKUP($N$3,角色品星!$C$3:$E$14,3,0)*X59</f>
        <v>52270.110415620977</v>
      </c>
      <c r="Q59" s="24">
        <f t="shared" si="3"/>
        <v>0.05</v>
      </c>
      <c r="R59" s="24">
        <f t="shared" si="4"/>
        <v>1.5</v>
      </c>
      <c r="S59" s="24">
        <f t="shared" si="5"/>
        <v>0.9</v>
      </c>
      <c r="T59" s="42">
        <f>N59*(1+Q59*(R59-1))*S59*战斗公式!$E$39+(P59*战斗公式!$E$40+1)*O59*战斗公式!$E$41</f>
        <v>125321.2195902302</v>
      </c>
      <c r="U59" s="42">
        <f t="shared" si="6"/>
        <v>6266.0609795115306</v>
      </c>
      <c r="V59" s="6">
        <f>VLOOKUP($N$1,$D$4:$J$15,MATCH(F$4,$D$4:$J$4,0),0)*角色成长!E72*角色成长!$L$15*AB59/AA59/(1+$Y$2*($Z$2-1))</f>
        <v>2613.5055207810497</v>
      </c>
      <c r="W59" s="6">
        <f>VLOOKUP($N$1,$D$4:$J$15,MATCH(G$4,$D$4:$J$4,0),0)*角色成长!F72*角色成长!$L$15/(1+X59/角色成长!$N$16)</f>
        <v>42718.330169769302</v>
      </c>
      <c r="X59" s="6">
        <f>VLOOKUP($N$1,$D$4:$J$15,MATCH(H$4,$D$4:$J$4,0),0)*角色成长!G72*角色成长!$L$15</f>
        <v>52270.110415620977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0.80347068146667977</v>
      </c>
      <c r="M60" s="1">
        <v>56</v>
      </c>
      <c r="N60" s="6">
        <f>VLOOKUP($N$2,角色品星!$C$16:$D$20,2,0)*VLOOKUP($N$3,角色品星!$C$3:$E$14,3,0)*V60</f>
        <v>2744.1807968201028</v>
      </c>
      <c r="O60" s="6">
        <f>VLOOKUP($N$2,角色品星!$C$16:$D$20,2,0)*VLOOKUP($N$3,角色品星!$C$3:$E$14,3,0)*W60</f>
        <v>44097.376297776478</v>
      </c>
      <c r="P60" s="6">
        <f>VLOOKUP($N$2,角色品星!$C$16:$D$20,2,0)*VLOOKUP($N$3,角色品星!$C$3:$E$14,3,0)*X60</f>
        <v>54883.61593640205</v>
      </c>
      <c r="Q60" s="24">
        <f t="shared" si="3"/>
        <v>0.05</v>
      </c>
      <c r="R60" s="24">
        <f t="shared" si="4"/>
        <v>1.5</v>
      </c>
      <c r="S60" s="24">
        <f t="shared" si="5"/>
        <v>0.9</v>
      </c>
      <c r="T60" s="42">
        <f>N60*(1+Q60*(R60-1))*S60*战斗公式!$E$39+(P60*战斗公式!$E$40+1)*O60*战斗公式!$E$41</f>
        <v>131587.28056974174</v>
      </c>
      <c r="U60" s="42">
        <f t="shared" si="6"/>
        <v>6579.3640284870635</v>
      </c>
      <c r="V60" s="6">
        <f>VLOOKUP($N$1,$D$4:$J$15,MATCH(F$4,$D$4:$J$4,0),0)*角色成长!E73*角色成长!$L$15*AB60/AA60/(1+$Y$2*($Z$2-1))</f>
        <v>2744.1807968201028</v>
      </c>
      <c r="W60" s="6">
        <f>VLOOKUP($N$1,$D$4:$J$15,MATCH(G$4,$D$4:$J$4,0),0)*角色成长!F73*角色成长!$L$15/(1+X60/角色成长!$N$16)</f>
        <v>44097.376297776478</v>
      </c>
      <c r="X60" s="6">
        <f>VLOOKUP($N$1,$D$4:$J$15,MATCH(H$4,$D$4:$J$4,0),0)*角色成长!G73*角色成长!$L$15</f>
        <v>54883.61593640205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0.78948286421246494</v>
      </c>
      <c r="M61" s="1">
        <v>57</v>
      </c>
      <c r="N61" s="6">
        <f>VLOOKUP($N$2,角色品星!$C$16:$D$20,2,0)*VLOOKUP($N$3,角色品星!$C$3:$E$14,3,0)*V61</f>
        <v>2881.389836661107</v>
      </c>
      <c r="O61" s="6">
        <f>VLOOKUP($N$2,角色品星!$C$16:$D$20,2,0)*VLOOKUP($N$3,角色品星!$C$3:$E$14,3,0)*W61</f>
        <v>45496.158023197946</v>
      </c>
      <c r="P61" s="6">
        <f>VLOOKUP($N$2,角色品星!$C$16:$D$20,2,0)*VLOOKUP($N$3,角色品星!$C$3:$E$14,3,0)*X61</f>
        <v>57627.796733222138</v>
      </c>
      <c r="Q61" s="24">
        <f t="shared" si="3"/>
        <v>0.05</v>
      </c>
      <c r="R61" s="24">
        <f t="shared" si="4"/>
        <v>1.5</v>
      </c>
      <c r="S61" s="24">
        <f t="shared" si="5"/>
        <v>0.9</v>
      </c>
      <c r="T61" s="42">
        <f>N61*(1+Q61*(R61-1))*S61*战斗公式!$E$39+(P61*战斗公式!$E$40+1)*O61*战斗公式!$E$41</f>
        <v>138166.6445982288</v>
      </c>
      <c r="U61" s="42">
        <f t="shared" si="6"/>
        <v>6908.332229911437</v>
      </c>
      <c r="V61" s="6">
        <f>VLOOKUP($N$1,$D$4:$J$15,MATCH(F$4,$D$4:$J$4,0),0)*角色成长!E74*角色成长!$L$15*AB61/AA61/(1+$Y$2*($Z$2-1))</f>
        <v>2881.389836661107</v>
      </c>
      <c r="W61" s="6">
        <f>VLOOKUP($N$1,$D$4:$J$15,MATCH(G$4,$D$4:$J$4,0),0)*角色成长!F74*角色成长!$L$15/(1+X61/角色成长!$N$16)</f>
        <v>45496.158023197946</v>
      </c>
      <c r="X61" s="6">
        <f>VLOOKUP($N$1,$D$4:$J$15,MATCH(H$4,$D$4:$J$4,0),0)*角色成长!G74*角色成长!$L$15</f>
        <v>57627.796733222138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0.77531041745241958</v>
      </c>
      <c r="M62" s="1">
        <v>58</v>
      </c>
      <c r="N62" s="6">
        <f>VLOOKUP($N$2,角色品星!$C$16:$D$20,2,0)*VLOOKUP($N$3,角色品星!$C$3:$E$14,3,0)*V62</f>
        <v>3025.4593284941629</v>
      </c>
      <c r="O62" s="6">
        <f>VLOOKUP($N$2,角色品星!$C$16:$D$20,2,0)*VLOOKUP($N$3,角色品星!$C$3:$E$14,3,0)*W62</f>
        <v>46913.402699202517</v>
      </c>
      <c r="P62" s="6">
        <f>VLOOKUP($N$2,角色品星!$C$16:$D$20,2,0)*VLOOKUP($N$3,角色品星!$C$3:$E$14,3,0)*X62</f>
        <v>60509.186569883241</v>
      </c>
      <c r="Q62" s="24">
        <f t="shared" si="3"/>
        <v>0.05</v>
      </c>
      <c r="R62" s="24">
        <f t="shared" si="4"/>
        <v>1.5</v>
      </c>
      <c r="S62" s="24">
        <f t="shared" si="5"/>
        <v>0.9</v>
      </c>
      <c r="T62" s="42">
        <f>N62*(1+Q62*(R62-1))*S62*战斗公式!$E$39+(P62*战斗公式!$E$40+1)*O62*战斗公式!$E$41</f>
        <v>145074.97682814024</v>
      </c>
      <c r="U62" s="42">
        <f t="shared" si="6"/>
        <v>7253.7488414070103</v>
      </c>
      <c r="V62" s="6">
        <f>VLOOKUP($N$1,$D$4:$J$15,MATCH(F$4,$D$4:$J$4,0),0)*角色成长!E75*角色成长!$L$15*AB62/AA62/(1+$Y$2*($Z$2-1))</f>
        <v>3025.4593284941629</v>
      </c>
      <c r="W62" s="6">
        <f>VLOOKUP($N$1,$D$4:$J$15,MATCH(G$4,$D$4:$J$4,0),0)*角色成长!F75*角色成长!$L$15/(1+X62/角色成长!$N$16)</f>
        <v>46913.402699202517</v>
      </c>
      <c r="X62" s="6">
        <f>VLOOKUP($N$1,$D$4:$J$15,MATCH(H$4,$D$4:$J$4,0),0)*角色成长!G75*角色成长!$L$15</f>
        <v>60509.186569883241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0.7609668505460051</v>
      </c>
      <c r="M63" s="1">
        <v>59</v>
      </c>
      <c r="N63" s="6">
        <f>VLOOKUP($N$2,角色品星!$C$16:$D$20,2,0)*VLOOKUP($N$3,角色品星!$C$3:$E$14,3,0)*V63</f>
        <v>3176.732294918871</v>
      </c>
      <c r="O63" s="6">
        <f>VLOOKUP($N$2,角色品星!$C$16:$D$20,2,0)*VLOOKUP($N$3,角色品星!$C$3:$E$14,3,0)*W63</f>
        <v>48347.759389843923</v>
      </c>
      <c r="P63" s="6">
        <f>VLOOKUP($N$2,角色品星!$C$16:$D$20,2,0)*VLOOKUP($N$3,角色品星!$C$3:$E$14,3,0)*X63</f>
        <v>63534.645898377414</v>
      </c>
      <c r="Q63" s="24">
        <f t="shared" si="3"/>
        <v>0.05</v>
      </c>
      <c r="R63" s="24">
        <f t="shared" si="4"/>
        <v>1.5</v>
      </c>
      <c r="S63" s="24">
        <f t="shared" si="5"/>
        <v>0.9</v>
      </c>
      <c r="T63" s="42">
        <f>N63*(1+Q63*(R63-1))*S63*战斗公式!$E$39+(P63*战斗公式!$E$40+1)*O63*战斗公式!$E$41</f>
        <v>152328.72566954725</v>
      </c>
      <c r="U63" s="42">
        <f t="shared" si="6"/>
        <v>7616.4362834773783</v>
      </c>
      <c r="V63" s="6">
        <f>VLOOKUP($N$1,$D$4:$J$15,MATCH(F$4,$D$4:$J$4,0),0)*角色成长!E76*角色成长!$L$15*AB63/AA63/(1+$Y$2*($Z$2-1))</f>
        <v>3176.732294918871</v>
      </c>
      <c r="W63" s="6">
        <f>VLOOKUP($N$1,$D$4:$J$15,MATCH(G$4,$D$4:$J$4,0),0)*角色成长!F76*角色成长!$L$15/(1+X63/角色成长!$N$16)</f>
        <v>48347.759389843923</v>
      </c>
      <c r="X63" s="6">
        <f>VLOOKUP($N$1,$D$4:$J$15,MATCH(H$4,$D$4:$J$4,0),0)*角色成长!G76*角色成长!$L$15</f>
        <v>63534.645898377414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0.74646641274931613</v>
      </c>
      <c r="M64" s="1">
        <v>60</v>
      </c>
      <c r="N64" s="6">
        <f>VLOOKUP($N$2,角色品星!$C$16:$D$20,2,0)*VLOOKUP($N$3,角色品星!$C$3:$E$14,3,0)*V64</f>
        <v>3335.5689096648143</v>
      </c>
      <c r="O64" s="6">
        <f>VLOOKUP($N$2,角色品星!$C$16:$D$20,2,0)*VLOOKUP($N$3,角色品星!$C$3:$E$14,3,0)*W64</f>
        <v>49797.803169512837</v>
      </c>
      <c r="P64" s="6">
        <f>VLOOKUP($N$2,角色品星!$C$16:$D$20,2,0)*VLOOKUP($N$3,角色品星!$C$3:$E$14,3,0)*X64</f>
        <v>66711.378193296288</v>
      </c>
      <c r="Q64" s="24">
        <f t="shared" si="3"/>
        <v>0.05</v>
      </c>
      <c r="R64" s="24">
        <f t="shared" si="4"/>
        <v>1.5</v>
      </c>
      <c r="S64" s="24">
        <f t="shared" si="5"/>
        <v>0.9</v>
      </c>
      <c r="T64" s="42">
        <f>N64*(1+Q64*(R64-1))*S64*战斗公式!$E$39+(P64*战斗公式!$E$40+1)*O64*战斗公式!$E$41</f>
        <v>159945.16195302462</v>
      </c>
      <c r="U64" s="42">
        <f t="shared" si="6"/>
        <v>7997.25809765124</v>
      </c>
      <c r="V64" s="6">
        <f>VLOOKUP($N$1,$D$4:$J$15,MATCH(F$4,$D$4:$J$4,0),0)*角色成长!E77*角色成长!$L$15*AB64/AA64/(1+$Y$2*($Z$2-1))</f>
        <v>3335.5689096648143</v>
      </c>
      <c r="W64" s="6">
        <f>VLOOKUP($N$1,$D$4:$J$15,MATCH(G$4,$D$4:$J$4,0),0)*角色成长!F77*角色成长!$L$15/(1+X64/角色成长!$N$16)</f>
        <v>49797.803169512837</v>
      </c>
      <c r="X64" s="6">
        <f>VLOOKUP($N$1,$D$4:$J$15,MATCH(H$4,$D$4:$J$4,0),0)*角色成长!G77*角色成长!$L$15</f>
        <v>66711.378193296288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3502.3473551480556</v>
      </c>
      <c r="O65" s="6">
        <f>VLOOKUP($N$2,角色品星!$C$16:$D$20,2,0)*VLOOKUP($N$3,角色品星!$C$3:$E$14,3,0)*W65</f>
        <v>51262.040076376012</v>
      </c>
      <c r="P65" s="6">
        <f>VLOOKUP($N$2,角色品星!$C$16:$D$20,2,0)*VLOOKUP($N$3,角色品星!$C$3:$E$14,3,0)*X65</f>
        <v>70046.947102961087</v>
      </c>
      <c r="Q65" s="24">
        <f t="shared" si="3"/>
        <v>0.05</v>
      </c>
      <c r="R65" s="24">
        <f t="shared" si="4"/>
        <v>1.5</v>
      </c>
      <c r="S65" s="24">
        <f t="shared" si="5"/>
        <v>0.9</v>
      </c>
      <c r="T65" s="42">
        <f>N65*(1+Q65*(R65-1))*S65*战斗公式!$E$39+(P65*战斗公式!$E$40+1)*O65*战斗公式!$E$41</f>
        <v>167942.42005067586</v>
      </c>
      <c r="U65" s="42">
        <f t="shared" si="6"/>
        <v>8397.1210025338223</v>
      </c>
      <c r="V65" s="6">
        <f>VLOOKUP($N$1,$D$4:$J$15,MATCH(F$4,$D$4:$J$4,0),0)*角色成长!E78*角色成长!$L$15*AB65/AA65/(1+$Y$2*($Z$2-1))</f>
        <v>3502.3473551480556</v>
      </c>
      <c r="W65" s="6">
        <f>VLOOKUP($N$1,$D$4:$J$15,MATCH(G$4,$D$4:$J$4,0),0)*角色成长!F78*角色成长!$L$15/(1+X65/角色成长!$N$16)</f>
        <v>51262.040076376012</v>
      </c>
      <c r="X65" s="6">
        <f>VLOOKUP($N$1,$D$4:$J$15,MATCH(H$4,$D$4:$J$4,0),0)*角色成长!G78*角色成长!$L$15</f>
        <v>70046.947102961087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0.717055317528142</v>
      </c>
      <c r="M66" s="1">
        <v>62</v>
      </c>
      <c r="N66" s="6">
        <f>VLOOKUP($N$2,角色品星!$C$16:$D$20,2,0)*VLOOKUP($N$3,角色品星!$C$3:$E$14,3,0)*V66</f>
        <v>3677.4647229054594</v>
      </c>
      <c r="O66" s="6">
        <f>VLOOKUP($N$2,角色品星!$C$16:$D$20,2,0)*VLOOKUP($N$3,角色品星!$C$3:$E$14,3,0)*W66</f>
        <v>52738.912691630278</v>
      </c>
      <c r="P66" s="6">
        <f>VLOOKUP($N$2,角色品星!$C$16:$D$20,2,0)*VLOOKUP($N$3,角色品星!$C$3:$E$14,3,0)*X66</f>
        <v>73549.294458109158</v>
      </c>
      <c r="Q66" s="24">
        <f t="shared" si="3"/>
        <v>0.05</v>
      </c>
      <c r="R66" s="24">
        <f t="shared" si="4"/>
        <v>1.5</v>
      </c>
      <c r="S66" s="24">
        <f t="shared" si="5"/>
        <v>0.9</v>
      </c>
      <c r="T66" s="42">
        <f>N66*(1+Q66*(R66-1))*S66*战斗公式!$E$39+(P66*战斗公式!$E$40+1)*O66*战斗公式!$E$41</f>
        <v>176339.54105320969</v>
      </c>
      <c r="U66" s="42">
        <f t="shared" si="6"/>
        <v>8816.977052660397</v>
      </c>
      <c r="V66" s="6">
        <f>VLOOKUP($N$1,$D$4:$J$15,MATCH(F$4,$D$4:$J$4,0),0)*角色成长!E79*角色成长!$L$15*AB66/AA66/(1+$Y$2*($Z$2-1))</f>
        <v>3677.4647229054594</v>
      </c>
      <c r="W66" s="6">
        <f>VLOOKUP($N$1,$D$4:$J$15,MATCH(G$4,$D$4:$J$4,0),0)*角色成长!F79*角色成长!$L$15/(1+X66/角色成长!$N$16)</f>
        <v>52738.912691630278</v>
      </c>
      <c r="X66" s="6">
        <f>VLOOKUP($N$1,$D$4:$J$15,MATCH(H$4,$D$4:$J$4,0),0)*角色成长!G79*角色成长!$L$15</f>
        <v>73549.294458109158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0.70217638137444172</v>
      </c>
      <c r="M67" s="1">
        <v>63</v>
      </c>
      <c r="N67" s="6">
        <f>VLOOKUP($N$2,角色品星!$C$16:$D$20,2,0)*VLOOKUP($N$3,角色品星!$C$3:$E$14,3,0)*V67</f>
        <v>3861.3379590507302</v>
      </c>
      <c r="O67" s="6">
        <f>VLOOKUP($N$2,角色品星!$C$16:$D$20,2,0)*VLOOKUP($N$3,角色品星!$C$3:$E$14,3,0)*W67</f>
        <v>54226.806307000275</v>
      </c>
      <c r="P67" s="6">
        <f>VLOOKUP($N$2,角色品星!$C$16:$D$20,2,0)*VLOOKUP($N$3,角色品星!$C$3:$E$14,3,0)*X67</f>
        <v>77226.759181014597</v>
      </c>
      <c r="Q67" s="24">
        <f t="shared" si="3"/>
        <v>0.05</v>
      </c>
      <c r="R67" s="24">
        <f t="shared" si="4"/>
        <v>1.5</v>
      </c>
      <c r="S67" s="24">
        <f t="shared" si="5"/>
        <v>0.9</v>
      </c>
      <c r="T67" s="42">
        <f>N67*(1+Q67*(R67-1))*S67*战斗公式!$E$39+(P67*战斗公式!$E$40+1)*O67*战斗公式!$E$41</f>
        <v>185156.51810587008</v>
      </c>
      <c r="U67" s="42">
        <f t="shared" si="6"/>
        <v>9257.8259052936046</v>
      </c>
      <c r="V67" s="6">
        <f>VLOOKUP($N$1,$D$4:$J$15,MATCH(F$4,$D$4:$J$4,0),0)*角色成长!E80*角色成长!$L$15*AB67/AA67/(1+$Y$2*($Z$2-1))</f>
        <v>3861.3379590507302</v>
      </c>
      <c r="W67" s="6">
        <f>VLOOKUP($N$1,$D$4:$J$15,MATCH(G$4,$D$4:$J$4,0),0)*角色成长!F80*角色成长!$L$15/(1+X67/角色成长!$N$16)</f>
        <v>54226.806307000275</v>
      </c>
      <c r="X67" s="6">
        <f>VLOOKUP($N$1,$D$4:$J$15,MATCH(H$4,$D$4:$J$4,0),0)*角色成长!G80*角色成长!$L$15</f>
        <v>77226.759181014597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0.68720388810641164</v>
      </c>
      <c r="M68" s="1">
        <v>64</v>
      </c>
      <c r="N68" s="6">
        <f>VLOOKUP($N$2,角色品星!$C$16:$D$20,2,0)*VLOOKUP($N$3,角色品星!$C$3:$E$14,3,0)*V68</f>
        <v>4054.4048570032678</v>
      </c>
      <c r="O68" s="6">
        <f>VLOOKUP($N$2,角色品星!$C$16:$D$20,2,0)*VLOOKUP($N$3,角色品星!$C$3:$E$14,3,0)*W68</f>
        <v>55724.055633803306</v>
      </c>
      <c r="P68" s="6">
        <f>VLOOKUP($N$2,角色品星!$C$16:$D$20,2,0)*VLOOKUP($N$3,角色品星!$C$3:$E$14,3,0)*X68</f>
        <v>81088.097140065351</v>
      </c>
      <c r="Q68" s="24">
        <f t="shared" si="3"/>
        <v>0.05</v>
      </c>
      <c r="R68" s="24">
        <f t="shared" si="4"/>
        <v>1.5</v>
      </c>
      <c r="S68" s="24">
        <f t="shared" si="5"/>
        <v>0.9</v>
      </c>
      <c r="T68" s="42">
        <f>N68*(1+Q68*(R68-1))*S68*战斗公式!$E$39+(P68*战斗公式!$E$40+1)*O68*战斗公式!$E$41</f>
        <v>194414.34401116369</v>
      </c>
      <c r="U68" s="42">
        <f t="shared" si="6"/>
        <v>9720.717200558167</v>
      </c>
      <c r="V68" s="6">
        <f>VLOOKUP($N$1,$D$4:$J$15,MATCH(F$4,$D$4:$J$4,0),0)*角色成长!E81*角色成长!$L$15*AB68/AA68/(1+$Y$2*($Z$2-1))</f>
        <v>4054.4048570032678</v>
      </c>
      <c r="W68" s="6">
        <f>VLOOKUP($N$1,$D$4:$J$15,MATCH(G$4,$D$4:$J$4,0),0)*角色成长!F81*角色成长!$L$15/(1+X68/角色成长!$N$16)</f>
        <v>55724.055633803306</v>
      </c>
      <c r="X68" s="6">
        <f>VLOOKUP($N$1,$D$4:$J$15,MATCH(H$4,$D$4:$J$4,0),0)*角色成长!G81*角色成长!$L$15</f>
        <v>81088.097140065351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0.67215492446145531</v>
      </c>
      <c r="M69" s="1">
        <v>65</v>
      </c>
      <c r="N69" s="6">
        <f>VLOOKUP($N$2,角色品星!$C$16:$D$20,2,0)*VLOOKUP($N$3,角色品星!$C$3:$E$14,3,0)*V69</f>
        <v>4257.1250998534315</v>
      </c>
      <c r="O69" s="6">
        <f>VLOOKUP($N$2,角色品星!$C$16:$D$20,2,0)*VLOOKUP($N$3,角色品星!$C$3:$E$14,3,0)*W69</f>
        <v>57228.951998298959</v>
      </c>
      <c r="P69" s="6">
        <f>VLOOKUP($N$2,角色品星!$C$16:$D$20,2,0)*VLOOKUP($N$3,角色品星!$C$3:$E$14,3,0)*X69</f>
        <v>85142.501997068612</v>
      </c>
      <c r="Q69" s="24">
        <f t="shared" si="3"/>
        <v>0.05</v>
      </c>
      <c r="R69" s="24">
        <f t="shared" si="4"/>
        <v>1.5</v>
      </c>
      <c r="S69" s="24">
        <f t="shared" si="5"/>
        <v>0.9</v>
      </c>
      <c r="T69" s="42">
        <f>N69*(1+Q69*(R69-1))*S69*战斗公式!$E$39+(P69*战斗公式!$E$40+1)*O69*战斗公式!$E$41</f>
        <v>204135.06121172186</v>
      </c>
      <c r="U69" s="42">
        <f t="shared" si="6"/>
        <v>10206.753060586081</v>
      </c>
      <c r="V69" s="6">
        <f>VLOOKUP($N$1,$D$4:$J$15,MATCH(F$4,$D$4:$J$4,0),0)*角色成长!E82*角色成长!$L$15*AB69/AA69/(1+$Y$2*($Z$2-1))</f>
        <v>4257.1250998534315</v>
      </c>
      <c r="W69" s="6">
        <f>VLOOKUP($N$1,$D$4:$J$15,MATCH(G$4,$D$4:$J$4,0),0)*角色成长!F82*角色成长!$L$15/(1+X69/角色成长!$N$16)</f>
        <v>57228.951998298959</v>
      </c>
      <c r="X69" s="6">
        <f>VLOOKUP($N$1,$D$4:$J$15,MATCH(H$4,$D$4:$J$4,0),0)*角色成长!G82*角色成长!$L$15</f>
        <v>85142.501997068612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0.65704693484302457</v>
      </c>
      <c r="M70" s="1">
        <v>66</v>
      </c>
      <c r="N70" s="6">
        <f>VLOOKUP($N$2,角色品星!$C$16:$D$20,2,0)*VLOOKUP($N$3,角色品星!$C$3:$E$14,3,0)*V70</f>
        <v>4469.9813548461034</v>
      </c>
      <c r="O70" s="6">
        <f>VLOOKUP($N$2,角色品星!$C$16:$D$20,2,0)*VLOOKUP($N$3,角色品星!$C$3:$E$14,3,0)*W70</f>
        <v>58739.750960142032</v>
      </c>
      <c r="P70" s="6">
        <f>VLOOKUP($N$2,角色品星!$C$16:$D$20,2,0)*VLOOKUP($N$3,角色品星!$C$3:$E$14,3,0)*X70</f>
        <v>89399.62709692205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0.9</v>
      </c>
      <c r="T70" s="42">
        <f>N70*(1+Q70*(R70-1))*S70*战斗公式!$E$39+(P70*战斗公式!$E$40+1)*O70*战斗公式!$E$41</f>
        <v>214341.81427230794</v>
      </c>
      <c r="U70" s="42">
        <f t="shared" ref="U70:U104" si="13">T71-T70</f>
        <v>10717.090713615442</v>
      </c>
      <c r="V70" s="6">
        <f>VLOOKUP($N$1,$D$4:$J$15,MATCH(F$4,$D$4:$J$4,0),0)*角色成长!E83*角色成长!$L$15*AB70/AA70/(1+$Y$2*($Z$2-1))</f>
        <v>4469.9813548461034</v>
      </c>
      <c r="W70" s="6">
        <f>VLOOKUP($N$1,$D$4:$J$15,MATCH(G$4,$D$4:$J$4,0),0)*角色成长!F83*角色成长!$L$15/(1+X70/角色成长!$N$16)</f>
        <v>58739.750960142032</v>
      </c>
      <c r="X70" s="6">
        <f>VLOOKUP($N$1,$D$4:$J$15,MATCH(H$4,$D$4:$J$4,0),0)*角色成长!G83*角色成长!$L$15</f>
        <v>89399.62709692205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0.64189764160690699</v>
      </c>
      <c r="M71" s="1">
        <v>67</v>
      </c>
      <c r="N71" s="6">
        <f>VLOOKUP($N$2,角色品星!$C$16:$D$20,2,0)*VLOOKUP($N$3,角色品星!$C$3:$E$14,3,0)*V71</f>
        <v>4693.4804225884081</v>
      </c>
      <c r="O71" s="6">
        <f>VLOOKUP($N$2,角色品星!$C$16:$D$20,2,0)*VLOOKUP($N$3,角色品星!$C$3:$E$14,3,0)*W71</f>
        <v>60254.680283753769</v>
      </c>
      <c r="P71" s="6">
        <f>VLOOKUP($N$2,角色品星!$C$16:$D$20,2,0)*VLOOKUP($N$3,角色品星!$C$3:$E$14,3,0)*X71</f>
        <v>93869.608451768159</v>
      </c>
      <c r="Q71" s="24">
        <f t="shared" si="10"/>
        <v>0.05</v>
      </c>
      <c r="R71" s="24">
        <f t="shared" si="11"/>
        <v>1.5</v>
      </c>
      <c r="S71" s="24">
        <f t="shared" si="12"/>
        <v>0.9</v>
      </c>
      <c r="T71" s="42">
        <f>N71*(1+Q71*(R71-1))*S71*战斗公式!$E$39+(P71*战斗公式!$E$40+1)*O71*战斗公式!$E$41</f>
        <v>225058.90498592338</v>
      </c>
      <c r="U71" s="42">
        <f t="shared" si="13"/>
        <v>11252.945249296143</v>
      </c>
      <c r="V71" s="6">
        <f>VLOOKUP($N$1,$D$4:$J$15,MATCH(F$4,$D$4:$J$4,0),0)*角色成长!E84*角色成长!$L$15*AB71/AA71/(1+$Y$2*($Z$2-1))</f>
        <v>4693.4804225884081</v>
      </c>
      <c r="W71" s="6">
        <f>VLOOKUP($N$1,$D$4:$J$15,MATCH(G$4,$D$4:$J$4,0),0)*角色成长!F84*角色成长!$L$15/(1+X71/角色成长!$N$16)</f>
        <v>60254.680283753769</v>
      </c>
      <c r="X71" s="6">
        <f>VLOOKUP($N$1,$D$4:$J$15,MATCH(H$4,$D$4:$J$4,0),0)*角色成长!G84*角色成长!$L$15</f>
        <v>93869.608451768159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0.62672496257946697</v>
      </c>
      <c r="M72" s="1">
        <v>68</v>
      </c>
      <c r="N72" s="6">
        <f>VLOOKUP($N$2,角色品星!$C$16:$D$20,2,0)*VLOOKUP($N$3,角色品星!$C$3:$E$14,3,0)*V72</f>
        <v>4928.15444371783</v>
      </c>
      <c r="O72" s="6">
        <f>VLOOKUP($N$2,角色品星!$C$16:$D$20,2,0)*VLOOKUP($N$3,角色品星!$C$3:$E$14,3,0)*W72</f>
        <v>61771.948186497793</v>
      </c>
      <c r="P72" s="6">
        <f>VLOOKUP($N$2,角色品星!$C$16:$D$20,2,0)*VLOOKUP($N$3,角色品星!$C$3:$E$14,3,0)*X72</f>
        <v>98563.088874356559</v>
      </c>
      <c r="Q72" s="24">
        <f t="shared" si="10"/>
        <v>0.05</v>
      </c>
      <c r="R72" s="24">
        <f t="shared" si="11"/>
        <v>1.5</v>
      </c>
      <c r="S72" s="24">
        <f t="shared" si="12"/>
        <v>0.9</v>
      </c>
      <c r="T72" s="42">
        <f>N72*(1+Q72*(R72-1))*S72*战斗公式!$E$39+(P72*战斗公式!$E$40+1)*O72*战斗公式!$E$41</f>
        <v>236311.85023521952</v>
      </c>
      <c r="U72" s="42">
        <f t="shared" si="13"/>
        <v>11815.592511760944</v>
      </c>
      <c r="V72" s="6">
        <f>VLOOKUP($N$1,$D$4:$J$15,MATCH(F$4,$D$4:$J$4,0),0)*角色成长!E85*角色成长!$L$15*AB72/AA72/(1+$Y$2*($Z$2-1))</f>
        <v>4928.15444371783</v>
      </c>
      <c r="W72" s="6">
        <f>VLOOKUP($N$1,$D$4:$J$15,MATCH(G$4,$D$4:$J$4,0),0)*角色成长!F85*角色成长!$L$15/(1+X72/角色成长!$N$16)</f>
        <v>61771.948186497793</v>
      </c>
      <c r="X72" s="6">
        <f>VLOOKUP($N$1,$D$4:$J$15,MATCH(H$4,$D$4:$J$4,0),0)*角色成长!G85*角色成长!$L$15</f>
        <v>98563.088874356559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5174.5621659037206</v>
      </c>
      <c r="O73" s="6">
        <f>VLOOKUP($N$2,角色品星!$C$16:$D$20,2,0)*VLOOKUP($N$3,角色品星!$C$3:$E$14,3,0)*W73</f>
        <v>63289.751782840802</v>
      </c>
      <c r="P73" s="6">
        <f>VLOOKUP($N$2,角色品星!$C$16:$D$20,2,0)*VLOOKUP($N$3,角色品星!$C$3:$E$14,3,0)*X73</f>
        <v>103491.2433180744</v>
      </c>
      <c r="Q73" s="24">
        <f t="shared" si="10"/>
        <v>0.05</v>
      </c>
      <c r="R73" s="24">
        <f t="shared" si="11"/>
        <v>1.5</v>
      </c>
      <c r="S73" s="24">
        <f t="shared" si="12"/>
        <v>0.9</v>
      </c>
      <c r="T73" s="42">
        <f>N73*(1+Q73*(R73-1))*S73*战斗公式!$E$39+(P73*战斗公式!$E$40+1)*O73*战斗公式!$E$41</f>
        <v>248127.44274698047</v>
      </c>
      <c r="U73" s="42">
        <f t="shared" si="13"/>
        <v>12406.372137349012</v>
      </c>
      <c r="V73" s="6">
        <f>VLOOKUP($N$1,$D$4:$J$15,MATCH(F$4,$D$4:$J$4,0),0)*角色成长!E86*角色成长!$L$15*AB73/AA73/(1+$Y$2*($Z$2-1))</f>
        <v>5174.5621659037206</v>
      </c>
      <c r="W73" s="6">
        <f>VLOOKUP($N$1,$D$4:$J$15,MATCH(G$4,$D$4:$J$4,0),0)*角色成长!F86*角色成长!$L$15/(1+X73/角色成长!$N$16)</f>
        <v>63289.751782840802</v>
      </c>
      <c r="X73" s="6">
        <f>VLOOKUP($N$1,$D$4:$J$15,MATCH(H$4,$D$4:$J$4,0),0)*角色成长!G86*角色成长!$L$15</f>
        <v>103491.2433180744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0.59638158804126429</v>
      </c>
      <c r="M74" s="1">
        <v>70</v>
      </c>
      <c r="N74" s="6">
        <f>VLOOKUP($N$2,角色品星!$C$16:$D$20,2,0)*VLOOKUP($N$3,角色品星!$C$3:$E$14,3,0)*V74</f>
        <v>5433.2902741989064</v>
      </c>
      <c r="O74" s="6">
        <f>VLOOKUP($N$2,角色品星!$C$16:$D$20,2,0)*VLOOKUP($N$3,角色品星!$C$3:$E$14,3,0)*W74</f>
        <v>64806.285640317998</v>
      </c>
      <c r="P74" s="6">
        <f>VLOOKUP($N$2,角色品星!$C$16:$D$20,2,0)*VLOOKUP($N$3,角色品星!$C$3:$E$14,3,0)*X74</f>
        <v>108665.80548397813</v>
      </c>
      <c r="Q74" s="24">
        <f t="shared" si="10"/>
        <v>0.05</v>
      </c>
      <c r="R74" s="24">
        <f t="shared" si="11"/>
        <v>1.5</v>
      </c>
      <c r="S74" s="24">
        <f t="shared" si="12"/>
        <v>0.9</v>
      </c>
      <c r="T74" s="42">
        <f>N74*(1+Q74*(R74-1))*S74*战斗公式!$E$39+(P74*战斗公式!$E$40+1)*O74*战斗公式!$E$41</f>
        <v>260533.81488432948</v>
      </c>
      <c r="U74" s="42">
        <f t="shared" si="13"/>
        <v>13026.690744216467</v>
      </c>
      <c r="V74" s="6">
        <f>VLOOKUP($N$1,$D$4:$J$15,MATCH(F$4,$D$4:$J$4,0),0)*角色成长!E87*角色成长!$L$15*AB74/AA74/(1+$Y$2*($Z$2-1))</f>
        <v>5433.2902741989064</v>
      </c>
      <c r="W74" s="6">
        <f>VLOOKUP($N$1,$D$4:$J$15,MATCH(G$4,$D$4:$J$4,0),0)*角色成长!F87*角色成长!$L$15/(1+X74/角色成长!$N$16)</f>
        <v>64806.285640317998</v>
      </c>
      <c r="X74" s="6">
        <f>VLOOKUP($N$1,$D$4:$J$15,MATCH(H$4,$D$4:$J$4,0),0)*角色成长!G87*角色成长!$L$15</f>
        <v>108665.80548397813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0.58124694083249828</v>
      </c>
      <c r="M75" s="1">
        <v>71</v>
      </c>
      <c r="N75" s="6">
        <f>VLOOKUP($N$2,角色品星!$C$16:$D$20,2,0)*VLOOKUP($N$3,角色品星!$C$3:$E$14,3,0)*V75</f>
        <v>5704.9547879088514</v>
      </c>
      <c r="O75" s="6">
        <f>VLOOKUP($N$2,角色品星!$C$16:$D$20,2,0)*VLOOKUP($N$3,角色品星!$C$3:$E$14,3,0)*W75</f>
        <v>66319.750361194659</v>
      </c>
      <c r="P75" s="6">
        <f>VLOOKUP($N$2,角色品星!$C$16:$D$20,2,0)*VLOOKUP($N$3,角色品星!$C$3:$E$14,3,0)*X75</f>
        <v>114099.09575817701</v>
      </c>
      <c r="Q75" s="24">
        <f t="shared" si="10"/>
        <v>0.05</v>
      </c>
      <c r="R75" s="24">
        <f t="shared" si="11"/>
        <v>1.5</v>
      </c>
      <c r="S75" s="24">
        <f t="shared" si="12"/>
        <v>0.9</v>
      </c>
      <c r="T75" s="42">
        <f>N75*(1+Q75*(R75-1))*S75*战斗公式!$E$39+(P75*战斗公式!$E$40+1)*O75*战斗公式!$E$41</f>
        <v>273560.50562854594</v>
      </c>
      <c r="U75" s="42">
        <f t="shared" si="13"/>
        <v>13678.02528142737</v>
      </c>
      <c r="V75" s="6">
        <f>VLOOKUP($N$1,$D$4:$J$15,MATCH(F$4,$D$4:$J$4,0),0)*角色成长!E88*角色成长!$L$15*AB75/AA75/(1+$Y$2*($Z$2-1))</f>
        <v>5704.9547879088514</v>
      </c>
      <c r="W75" s="6">
        <f>VLOOKUP($N$1,$D$4:$J$15,MATCH(G$4,$D$4:$J$4,0),0)*角色成长!F88*角色成长!$L$15/(1+X75/角色成长!$N$16)</f>
        <v>66319.750361194659</v>
      </c>
      <c r="X75" s="6">
        <f>VLOOKUP($N$1,$D$4:$J$15,MATCH(H$4,$D$4:$J$4,0),0)*角色成长!G88*角色成长!$L$15</f>
        <v>114099.09575817701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0.56616083341172307</v>
      </c>
      <c r="M76" s="1">
        <v>72</v>
      </c>
      <c r="N76" s="6">
        <f>VLOOKUP($N$2,角色品星!$C$16:$D$20,2,0)*VLOOKUP($N$3,角色品星!$C$3:$E$14,3,0)*V76</f>
        <v>5990.2025273042946</v>
      </c>
      <c r="O76" s="6">
        <f>VLOOKUP($N$2,角色品星!$C$16:$D$20,2,0)*VLOOKUP($N$3,角色品星!$C$3:$E$14,3,0)*W76</f>
        <v>67828.361103272167</v>
      </c>
      <c r="P76" s="6">
        <f>VLOOKUP($N$2,角色品星!$C$16:$D$20,2,0)*VLOOKUP($N$3,角色品星!$C$3:$E$14,3,0)*X76</f>
        <v>119804.05054608587</v>
      </c>
      <c r="Q76" s="24">
        <f t="shared" si="10"/>
        <v>0.05</v>
      </c>
      <c r="R76" s="24">
        <f t="shared" si="11"/>
        <v>1.5</v>
      </c>
      <c r="S76" s="24">
        <f t="shared" si="12"/>
        <v>0.9</v>
      </c>
      <c r="T76" s="42">
        <f>N76*(1+Q76*(R76-1))*S76*战斗公式!$E$39+(P76*战斗公式!$E$40+1)*O76*战斗公式!$E$41</f>
        <v>287238.53090997331</v>
      </c>
      <c r="U76" s="42">
        <f t="shared" si="13"/>
        <v>14361.92654549866</v>
      </c>
      <c r="V76" s="6">
        <f>VLOOKUP($N$1,$D$4:$J$15,MATCH(F$4,$D$4:$J$4,0),0)*角色成长!E89*角色成长!$L$15*AB76/AA76/(1+$Y$2*($Z$2-1))</f>
        <v>5990.2025273042946</v>
      </c>
      <c r="W76" s="6">
        <f>VLOOKUP($N$1,$D$4:$J$15,MATCH(G$4,$D$4:$J$4,0),0)*角色成长!F89*角色成长!$L$15/(1+X76/角色成长!$N$16)</f>
        <v>67828.361103272167</v>
      </c>
      <c r="X76" s="6">
        <f>VLOOKUP($N$1,$D$4:$J$15,MATCH(H$4,$D$4:$J$4,0),0)*角色成长!G89*角色成长!$L$15</f>
        <v>119804.05054608587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0.55114088490107027</v>
      </c>
      <c r="M77" s="1">
        <v>73</v>
      </c>
      <c r="N77" s="6">
        <f>VLOOKUP($N$2,角色品星!$C$16:$D$20,2,0)*VLOOKUP($N$3,角色品星!$C$3:$E$14,3,0)*V77</f>
        <v>6289.7126536695096</v>
      </c>
      <c r="O77" s="6">
        <f>VLOOKUP($N$2,角色品星!$C$16:$D$20,2,0)*VLOOKUP($N$3,角色品星!$C$3:$E$14,3,0)*W77</f>
        <v>69330.355954337429</v>
      </c>
      <c r="P77" s="6">
        <f>VLOOKUP($N$2,角色品星!$C$16:$D$20,2,0)*VLOOKUP($N$3,角色品星!$C$3:$E$14,3,0)*X77</f>
        <v>125794.25307339017</v>
      </c>
      <c r="Q77" s="24">
        <f t="shared" si="10"/>
        <v>0.05</v>
      </c>
      <c r="R77" s="24">
        <f t="shared" si="11"/>
        <v>1.5</v>
      </c>
      <c r="S77" s="24">
        <f t="shared" si="12"/>
        <v>0.9</v>
      </c>
      <c r="T77" s="42">
        <f>N77*(1+Q77*(R77-1))*S77*战斗公式!$E$39+(P77*战斗公式!$E$40+1)*O77*战斗公式!$E$41</f>
        <v>301600.45745547197</v>
      </c>
      <c r="U77" s="42">
        <f t="shared" si="13"/>
        <v>15080.022872773523</v>
      </c>
      <c r="V77" s="6">
        <f>VLOOKUP($N$1,$D$4:$J$15,MATCH(F$4,$D$4:$J$4,0),0)*角色成长!E90*角色成长!$L$15*AB77/AA77/(1+$Y$2*($Z$2-1))</f>
        <v>6289.7126536695096</v>
      </c>
      <c r="W77" s="6">
        <f>VLOOKUP($N$1,$D$4:$J$15,MATCH(G$4,$D$4:$J$4,0),0)*角色成长!F90*角色成长!$L$15/(1+X77/角色成长!$N$16)</f>
        <v>69330.355954337429</v>
      </c>
      <c r="X77" s="6">
        <f>VLOOKUP($N$1,$D$4:$J$15,MATCH(H$4,$D$4:$J$4,0),0)*角色成长!G90*角色成长!$L$15</f>
        <v>125794.25307339017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0.53620440367171374</v>
      </c>
      <c r="M78" s="1">
        <v>74</v>
      </c>
      <c r="N78" s="6">
        <f>VLOOKUP($N$2,角色品星!$C$16:$D$20,2,0)*VLOOKUP($N$3,角色品星!$C$3:$E$14,3,0)*V78</f>
        <v>6604.1982863529838</v>
      </c>
      <c r="O78" s="6">
        <f>VLOOKUP($N$2,角色品星!$C$16:$D$20,2,0)*VLOOKUP($N$3,角色品星!$C$3:$E$14,3,0)*W78</f>
        <v>70824.004077273101</v>
      </c>
      <c r="P78" s="6">
        <f>VLOOKUP($N$2,角色品星!$C$16:$D$20,2,0)*VLOOKUP($N$3,角色品星!$C$3:$E$14,3,0)*X78</f>
        <v>132083.96572705967</v>
      </c>
      <c r="Q78" s="24">
        <f t="shared" si="10"/>
        <v>0.05</v>
      </c>
      <c r="R78" s="24">
        <f t="shared" si="11"/>
        <v>1.5</v>
      </c>
      <c r="S78" s="24">
        <f t="shared" si="12"/>
        <v>0.9</v>
      </c>
      <c r="T78" s="42">
        <f>N78*(1+Q78*(R78-1))*S78*战斗公式!$E$39+(P78*战斗公式!$E$40+1)*O78*战斗公式!$E$41</f>
        <v>316680.4803282455</v>
      </c>
      <c r="U78" s="42">
        <f t="shared" si="13"/>
        <v>15834.024016412382</v>
      </c>
      <c r="V78" s="6">
        <f>VLOOKUP($N$1,$D$4:$J$15,MATCH(F$4,$D$4:$J$4,0),0)*角色成长!E91*角色成长!$L$15*AB78/AA78/(1+$Y$2*($Z$2-1))</f>
        <v>6604.1982863529838</v>
      </c>
      <c r="W78" s="6">
        <f>VLOOKUP($N$1,$D$4:$J$15,MATCH(G$4,$D$4:$J$4,0),0)*角色成长!F91*角色成长!$L$15/(1+X78/角色成长!$N$16)</f>
        <v>70824.004077273101</v>
      </c>
      <c r="X78" s="6">
        <f>VLOOKUP($N$1,$D$4:$J$15,MATCH(H$4,$D$4:$J$4,0),0)*角色成长!G91*角色成长!$L$15</f>
        <v>132083.96572705967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0.52136830897677677</v>
      </c>
      <c r="M79" s="1">
        <v>75</v>
      </c>
      <c r="N79" s="6">
        <f>VLOOKUP($N$2,角色品星!$C$16:$D$20,2,0)*VLOOKUP($N$3,角色品星!$C$3:$E$14,3,0)*V79</f>
        <v>6934.4082006706358</v>
      </c>
      <c r="O79" s="6">
        <f>VLOOKUP($N$2,角色品星!$C$16:$D$20,2,0)*VLOOKUP($N$3,角色品星!$C$3:$E$14,3,0)*W79</f>
        <v>72307.613546766806</v>
      </c>
      <c r="P79" s="6">
        <f>VLOOKUP($N$2,角色品星!$C$16:$D$20,2,0)*VLOOKUP($N$3,角色品星!$C$3:$E$14,3,0)*X79</f>
        <v>138688.16401341264</v>
      </c>
      <c r="Q79" s="24">
        <f t="shared" si="10"/>
        <v>0.05</v>
      </c>
      <c r="R79" s="24">
        <f t="shared" si="11"/>
        <v>1.5</v>
      </c>
      <c r="S79" s="24">
        <f t="shared" si="12"/>
        <v>0.9</v>
      </c>
      <c r="T79" s="42">
        <f>N79*(1+Q79*(R79-1))*S79*战斗公式!$E$39+(P79*战斗公式!$E$40+1)*O79*战斗公式!$E$41</f>
        <v>332514.50434465788</v>
      </c>
      <c r="U79" s="42">
        <f t="shared" si="13"/>
        <v>16625.72521723283</v>
      </c>
      <c r="V79" s="6">
        <f>VLOOKUP($N$1,$D$4:$J$15,MATCH(F$4,$D$4:$J$4,0),0)*角色成长!E92*角色成长!$L$15*AB79/AA79/(1+$Y$2*($Z$2-1))</f>
        <v>6934.4082006706358</v>
      </c>
      <c r="W79" s="6">
        <f>VLOOKUP($N$1,$D$4:$J$15,MATCH(G$4,$D$4:$J$4,0),0)*角色成长!F92*角色成长!$L$15/(1+X79/角色成长!$N$16)</f>
        <v>72307.613546766806</v>
      </c>
      <c r="X79" s="6">
        <f>VLOOKUP($N$1,$D$4:$J$15,MATCH(H$4,$D$4:$J$4,0),0)*角色成长!G92*角色成长!$L$15</f>
        <v>138688.16401341264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0.50664905640667013</v>
      </c>
      <c r="M80" s="1">
        <v>76</v>
      </c>
      <c r="N80" s="6">
        <f>VLOOKUP($N$2,角色品星!$C$16:$D$20,2,0)*VLOOKUP($N$3,角色品星!$C$3:$E$14,3,0)*V80</f>
        <v>7281.1286107041651</v>
      </c>
      <c r="O80" s="6">
        <f>VLOOKUP($N$2,角色品星!$C$16:$D$20,2,0)*VLOOKUP($N$3,角色品星!$C$3:$E$14,3,0)*W80</f>
        <v>73779.538803777468</v>
      </c>
      <c r="P80" s="6">
        <f>VLOOKUP($N$2,角色品星!$C$16:$D$20,2,0)*VLOOKUP($N$3,角色品星!$C$3:$E$14,3,0)*X80</f>
        <v>145622.57221408328</v>
      </c>
      <c r="Q80" s="24">
        <f t="shared" si="10"/>
        <v>0.05</v>
      </c>
      <c r="R80" s="24">
        <f t="shared" si="11"/>
        <v>1.5</v>
      </c>
      <c r="S80" s="24">
        <f t="shared" si="12"/>
        <v>0.9</v>
      </c>
      <c r="T80" s="42">
        <f>N80*(1+Q80*(R80-1))*S80*战斗公式!$E$39+(P80*战斗公式!$E$40+1)*O80*战斗公式!$E$41</f>
        <v>349140.22956189071</v>
      </c>
      <c r="U80" s="42">
        <f t="shared" si="13"/>
        <v>17457.0114780945</v>
      </c>
      <c r="V80" s="6">
        <f>VLOOKUP($N$1,$D$4:$J$15,MATCH(F$4,$D$4:$J$4,0),0)*角色成长!E93*角色成长!$L$15*AB80/AA80/(1+$Y$2*($Z$2-1))</f>
        <v>7281.1286107041651</v>
      </c>
      <c r="W80" s="6">
        <f>VLOOKUP($N$1,$D$4:$J$15,MATCH(G$4,$D$4:$J$4,0),0)*角色成长!F93*角色成长!$L$15/(1+X80/角色成长!$N$16)</f>
        <v>73779.538803777468</v>
      </c>
      <c r="X80" s="6">
        <f>VLOOKUP($N$1,$D$4:$J$15,MATCH(H$4,$D$4:$J$4,0),0)*角色成长!G93*角色成长!$L$15</f>
        <v>145622.57221408328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0.49206256784142521</v>
      </c>
      <c r="M81" s="1">
        <v>77</v>
      </c>
      <c r="N81" s="6">
        <f>VLOOKUP($N$2,角色品星!$C$16:$D$20,2,0)*VLOOKUP($N$3,角色品星!$C$3:$E$14,3,0)*V81</f>
        <v>7645.1850412393733</v>
      </c>
      <c r="O81" s="6">
        <f>VLOOKUP($N$2,角色品星!$C$16:$D$20,2,0)*VLOOKUP($N$3,角色品星!$C$3:$E$14,3,0)*W81</f>
        <v>75238.187660301948</v>
      </c>
      <c r="P81" s="6">
        <f>VLOOKUP($N$2,角色品星!$C$16:$D$20,2,0)*VLOOKUP($N$3,角色品星!$C$3:$E$14,3,0)*X81</f>
        <v>152903.70082478743</v>
      </c>
      <c r="Q81" s="24">
        <f t="shared" si="10"/>
        <v>0.05</v>
      </c>
      <c r="R81" s="24">
        <f t="shared" si="11"/>
        <v>1.5</v>
      </c>
      <c r="S81" s="24">
        <f t="shared" si="12"/>
        <v>0.9</v>
      </c>
      <c r="T81" s="42">
        <f>N81*(1+Q81*(R81-1))*S81*战斗公式!$E$39+(P81*战斗公式!$E$40+1)*O81*战斗公式!$E$41</f>
        <v>366597.24103998521</v>
      </c>
      <c r="U81" s="42">
        <f t="shared" si="13"/>
        <v>18329.862051999313</v>
      </c>
      <c r="V81" s="6">
        <f>VLOOKUP($N$1,$D$4:$J$15,MATCH(F$4,$D$4:$J$4,0),0)*角色成长!E94*角色成长!$L$15*AB81/AA81/(1+$Y$2*($Z$2-1))</f>
        <v>7645.1850412393733</v>
      </c>
      <c r="W81" s="6">
        <f>VLOOKUP($N$1,$D$4:$J$15,MATCH(G$4,$D$4:$J$4,0),0)*角色成长!F94*角色成长!$L$15/(1+X81/角色成长!$N$16)</f>
        <v>75238.187660301948</v>
      </c>
      <c r="X81" s="6">
        <f>VLOOKUP($N$1,$D$4:$J$15,MATCH(H$4,$D$4:$J$4,0),0)*角色成长!G94*角色成长!$L$15</f>
        <v>152903.70082478743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0.47762416650068984</v>
      </c>
      <c r="M82" s="1">
        <v>78</v>
      </c>
      <c r="N82" s="6">
        <f>VLOOKUP($N$2,角色品星!$C$16:$D$20,2,0)*VLOOKUP($N$3,角色品星!$C$3:$E$14,3,0)*V82</f>
        <v>8027.4442933013434</v>
      </c>
      <c r="O82" s="6">
        <f>VLOOKUP($N$2,角色品星!$C$16:$D$20,2,0)*VLOOKUP($N$3,角色品星!$C$3:$E$14,3,0)*W82</f>
        <v>76682.027794375463</v>
      </c>
      <c r="P82" s="6">
        <f>VLOOKUP($N$2,角色品星!$C$16:$D$20,2,0)*VLOOKUP($N$3,角色品星!$C$3:$E$14,3,0)*X82</f>
        <v>160548.88586602686</v>
      </c>
      <c r="Q82" s="24">
        <f t="shared" si="10"/>
        <v>0.05</v>
      </c>
      <c r="R82" s="24">
        <f t="shared" si="11"/>
        <v>1.5</v>
      </c>
      <c r="S82" s="24">
        <f t="shared" si="12"/>
        <v>0.9</v>
      </c>
      <c r="T82" s="42">
        <f>N82*(1+Q82*(R82-1))*S82*战斗公式!$E$39+(P82*战斗公式!$E$40+1)*O82*战斗公式!$E$41</f>
        <v>384927.10309198452</v>
      </c>
      <c r="U82" s="42">
        <f t="shared" si="13"/>
        <v>19246.35515459918</v>
      </c>
      <c r="V82" s="6">
        <f>VLOOKUP($N$1,$D$4:$J$15,MATCH(F$4,$D$4:$J$4,0),0)*角色成长!E95*角色成长!$L$15*AB82/AA82/(1+$Y$2*($Z$2-1))</f>
        <v>8027.4442933013434</v>
      </c>
      <c r="W82" s="6">
        <f>VLOOKUP($N$1,$D$4:$J$15,MATCH(G$4,$D$4:$J$4,0),0)*角色成长!F95*角色成长!$L$15/(1+X82/角色成长!$N$16)</f>
        <v>76682.027794375463</v>
      </c>
      <c r="X82" s="6">
        <f>VLOOKUP($N$1,$D$4:$J$15,MATCH(H$4,$D$4:$J$4,0),0)*角色成长!G95*角色成长!$L$15</f>
        <v>160548.88586602686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0.46334851760994739</v>
      </c>
      <c r="M83" s="1">
        <v>79</v>
      </c>
      <c r="N83" s="6">
        <f>VLOOKUP($N$2,角色品星!$C$16:$D$20,2,0)*VLOOKUP($N$3,角色品星!$C$3:$E$14,3,0)*V83</f>
        <v>8428.8165079664086</v>
      </c>
      <c r="O83" s="6">
        <f>VLOOKUP($N$2,角色品星!$C$16:$D$20,2,0)*VLOOKUP($N$3,角色品星!$C$3:$E$14,3,0)*W83</f>
        <v>78109.592683449751</v>
      </c>
      <c r="P83" s="6">
        <f>VLOOKUP($N$2,角色品星!$C$16:$D$20,2,0)*VLOOKUP($N$3,角色品星!$C$3:$E$14,3,0)*X83</f>
        <v>168576.33015932812</v>
      </c>
      <c r="Q83" s="24">
        <f t="shared" si="10"/>
        <v>0.05</v>
      </c>
      <c r="R83" s="24">
        <f t="shared" si="11"/>
        <v>1.5</v>
      </c>
      <c r="S83" s="24">
        <f t="shared" si="12"/>
        <v>0.9</v>
      </c>
      <c r="T83" s="42">
        <f>N83*(1+Q83*(R83-1))*S83*战斗公式!$E$39+(P83*战斗公式!$E$40+1)*O83*战斗公式!$E$41</f>
        <v>404173.4582465837</v>
      </c>
      <c r="U83" s="42">
        <f t="shared" si="13"/>
        <v>20208.672912329319</v>
      </c>
      <c r="V83" s="6">
        <f>VLOOKUP($N$1,$D$4:$J$15,MATCH(F$4,$D$4:$J$4,0),0)*角色成长!E96*角色成长!$L$15*AB83/AA83/(1+$Y$2*($Z$2-1))</f>
        <v>8428.8165079664086</v>
      </c>
      <c r="W83" s="6">
        <f>VLOOKUP($N$1,$D$4:$J$15,MATCH(G$4,$D$4:$J$4,0),0)*角色成长!F96*角色成长!$L$15/(1+X83/角色成长!$N$16)</f>
        <v>78109.592683449751</v>
      </c>
      <c r="X83" s="6">
        <f>VLOOKUP($N$1,$D$4:$J$15,MATCH(H$4,$D$4:$J$4,0),0)*角色成长!G96*角色成长!$L$15</f>
        <v>168576.33015932812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0.44924957511317376</v>
      </c>
      <c r="M84" s="1">
        <v>80</v>
      </c>
      <c r="N84" s="6">
        <f>VLOOKUP($N$2,角色品星!$C$16:$D$20,2,0)*VLOOKUP($N$3,角色品星!$C$3:$E$14,3,0)*V84</f>
        <v>8850.2573333647324</v>
      </c>
      <c r="O84" s="6">
        <f>VLOOKUP($N$2,角色品星!$C$16:$D$20,2,0)*VLOOKUP($N$3,角色品星!$C$3:$E$14,3,0)*W84</f>
        <v>79519.486933127104</v>
      </c>
      <c r="P84" s="6">
        <f>VLOOKUP($N$2,角色品星!$C$16:$D$20,2,0)*VLOOKUP($N$3,角色品星!$C$3:$E$14,3,0)*X84</f>
        <v>177005.14666729461</v>
      </c>
      <c r="Q84" s="24">
        <f t="shared" si="10"/>
        <v>0.05</v>
      </c>
      <c r="R84" s="24">
        <f t="shared" si="11"/>
        <v>1.5</v>
      </c>
      <c r="S84" s="24">
        <f t="shared" si="12"/>
        <v>0.9</v>
      </c>
      <c r="T84" s="42">
        <f>N84*(1+Q84*(R84-1))*S84*战斗公式!$E$39+(P84*战斗公式!$E$40+1)*O84*战斗公式!$E$41</f>
        <v>424382.13115891302</v>
      </c>
      <c r="U84" s="42">
        <f t="shared" si="13"/>
        <v>21219.106557945488</v>
      </c>
      <c r="V84" s="6">
        <f>VLOOKUP($N$1,$D$4:$J$15,MATCH(F$4,$D$4:$J$4,0),0)*角色成长!E97*角色成长!$L$15*AB84/AA84/(1+$Y$2*($Z$2-1))</f>
        <v>8850.2573333647324</v>
      </c>
      <c r="W84" s="6">
        <f>VLOOKUP($N$1,$D$4:$J$15,MATCH(G$4,$D$4:$J$4,0),0)*角色成长!F97*角色成长!$L$15/(1+X84/角色成长!$N$16)</f>
        <v>79519.486933127104</v>
      </c>
      <c r="X84" s="6">
        <f>VLOOKUP($N$1,$D$4:$J$15,MATCH(H$4,$D$4:$J$4,0),0)*角色成长!G97*角色成长!$L$15</f>
        <v>177005.14666729461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0.43534053476966078</v>
      </c>
      <c r="M85" s="1">
        <v>81</v>
      </c>
      <c r="N85" s="6">
        <f>VLOOKUP($N$2,角色品星!$C$16:$D$20,2,0)*VLOOKUP($N$3,角色品星!$C$3:$E$14,3,0)*V85</f>
        <v>9292.7702000329664</v>
      </c>
      <c r="O85" s="6">
        <f>VLOOKUP($N$2,角色品星!$C$16:$D$20,2,0)*VLOOKUP($N$3,角色品星!$C$3:$E$14,3,0)*W85</f>
        <v>80910.390967478379</v>
      </c>
      <c r="P85" s="6">
        <f>VLOOKUP($N$2,角色品星!$C$16:$D$20,2,0)*VLOOKUP($N$3,角色品星!$C$3:$E$14,3,0)*X85</f>
        <v>185855.40400065933</v>
      </c>
      <c r="Q85" s="24">
        <f t="shared" si="10"/>
        <v>0.05</v>
      </c>
      <c r="R85" s="24">
        <f t="shared" si="11"/>
        <v>1.5</v>
      </c>
      <c r="S85" s="24">
        <f t="shared" si="12"/>
        <v>0.9</v>
      </c>
      <c r="T85" s="42">
        <f>N85*(1+Q85*(R85-1))*S85*战斗公式!$E$39+(P85*战斗公式!$E$40+1)*O85*战斗公式!$E$41</f>
        <v>445601.23771685851</v>
      </c>
      <c r="U85" s="42">
        <f t="shared" si="13"/>
        <v>22280.06188584317</v>
      </c>
      <c r="V85" s="6">
        <f>VLOOKUP($N$1,$D$4:$J$15,MATCH(F$4,$D$4:$J$4,0),0)*角色成长!E98*角色成长!$L$15*AB85/AA85/(1+$Y$2*($Z$2-1))</f>
        <v>9292.7702000329664</v>
      </c>
      <c r="W85" s="6">
        <f>VLOOKUP($N$1,$D$4:$J$15,MATCH(G$4,$D$4:$J$4,0),0)*角色成长!F98*角色成长!$L$15/(1+X85/角色成长!$N$16)</f>
        <v>80910.390967478379</v>
      </c>
      <c r="X85" s="6">
        <f>VLOOKUP($N$1,$D$4:$J$15,MATCH(H$4,$D$4:$J$4,0),0)*角色成长!G98*角色成长!$L$15</f>
        <v>185855.40400065933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0.42163379387814143</v>
      </c>
      <c r="M86" s="1">
        <v>82</v>
      </c>
      <c r="N86" s="6">
        <f>VLOOKUP($N$2,角色品星!$C$16:$D$20,2,0)*VLOOKUP($N$3,角色品星!$C$3:$E$14,3,0)*V86</f>
        <v>9757.4087100346169</v>
      </c>
      <c r="O86" s="6">
        <f>VLOOKUP($N$2,角色品星!$C$16:$D$20,2,0)*VLOOKUP($N$3,角色品星!$C$3:$E$14,3,0)*W86</f>
        <v>82281.065056630337</v>
      </c>
      <c r="P86" s="6">
        <f>VLOOKUP($N$2,角色品星!$C$16:$D$20,2,0)*VLOOKUP($N$3,角色品星!$C$3:$E$14,3,0)*X86</f>
        <v>195148.1742006923</v>
      </c>
      <c r="Q86" s="24">
        <f t="shared" si="10"/>
        <v>0.05</v>
      </c>
      <c r="R86" s="24">
        <f t="shared" si="11"/>
        <v>1.5</v>
      </c>
      <c r="S86" s="24">
        <f t="shared" si="12"/>
        <v>0.9</v>
      </c>
      <c r="T86" s="42">
        <f>N86*(1+Q86*(R86-1))*S86*战斗公式!$E$39+(P86*战斗公式!$E$40+1)*O86*战斗公式!$E$41</f>
        <v>467881.29960270168</v>
      </c>
      <c r="U86" s="42">
        <f t="shared" si="13"/>
        <v>23394.064980135066</v>
      </c>
      <c r="V86" s="6">
        <f>VLOOKUP($N$1,$D$4:$J$15,MATCH(F$4,$D$4:$J$4,0),0)*角色成长!E99*角色成长!$L$15*AB86/AA86/(1+$Y$2*($Z$2-1))</f>
        <v>9757.4087100346169</v>
      </c>
      <c r="W86" s="6">
        <f>VLOOKUP($N$1,$D$4:$J$15,MATCH(G$4,$D$4:$J$4,0),0)*角色成长!F99*角色成长!$L$15/(1+X86/角色成长!$N$16)</f>
        <v>82281.065056630337</v>
      </c>
      <c r="X86" s="6">
        <f>VLOOKUP($N$1,$D$4:$J$15,MATCH(H$4,$D$4:$J$4,0),0)*角色成长!G99*角色成长!$L$15</f>
        <v>195148.1742006923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0.40814091777676786</v>
      </c>
      <c r="M87" s="1">
        <v>83</v>
      </c>
      <c r="N87" s="6">
        <f>VLOOKUP($N$2,角色品星!$C$16:$D$20,2,0)*VLOOKUP($N$3,角色品星!$C$3:$E$14,3,0)*V87</f>
        <v>10245.279145536349</v>
      </c>
      <c r="O87" s="6">
        <f>VLOOKUP($N$2,角色品星!$C$16:$D$20,2,0)*VLOOKUP($N$3,角色品星!$C$3:$E$14,3,0)*W87</f>
        <v>83630.352666767692</v>
      </c>
      <c r="P87" s="6">
        <f>VLOOKUP($N$2,角色品星!$C$16:$D$20,2,0)*VLOOKUP($N$3,角色品星!$C$3:$E$14,3,0)*X87</f>
        <v>204905.58291072692</v>
      </c>
      <c r="Q87" s="24">
        <f t="shared" si="10"/>
        <v>0.05</v>
      </c>
      <c r="R87" s="24">
        <f t="shared" si="11"/>
        <v>1.5</v>
      </c>
      <c r="S87" s="24">
        <f t="shared" si="12"/>
        <v>0.9</v>
      </c>
      <c r="T87" s="42">
        <f>N87*(1+Q87*(R87-1))*S87*战斗公式!$E$39+(P87*战斗公式!$E$40+1)*O87*战斗公式!$E$41</f>
        <v>491275.36458283674</v>
      </c>
      <c r="U87" s="42">
        <f t="shared" si="13"/>
        <v>24563.768229141773</v>
      </c>
      <c r="V87" s="6">
        <f>VLOOKUP($N$1,$D$4:$J$15,MATCH(F$4,$D$4:$J$4,0),0)*角色成长!E100*角色成长!$L$15*AB87/AA87/(1+$Y$2*($Z$2-1))</f>
        <v>10245.279145536349</v>
      </c>
      <c r="W87" s="6">
        <f>VLOOKUP($N$1,$D$4:$J$15,MATCH(G$4,$D$4:$J$4,0),0)*角色成长!F100*角色成长!$L$15/(1+X87/角色成长!$N$16)</f>
        <v>83630.352666767692</v>
      </c>
      <c r="X87" s="6">
        <f>VLOOKUP($N$1,$D$4:$J$15,MATCH(H$4,$D$4:$J$4,0),0)*角色成长!G100*角色成长!$L$15</f>
        <v>204905.58291072692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0.39487261317479011</v>
      </c>
      <c r="M88" s="1">
        <v>84</v>
      </c>
      <c r="N88" s="6">
        <f>VLOOKUP($N$2,角色品星!$C$16:$D$20,2,0)*VLOOKUP($N$3,角色品星!$C$3:$E$14,3,0)*V88</f>
        <v>10757.543102813166</v>
      </c>
      <c r="O88" s="6">
        <f>VLOOKUP($N$2,角色品星!$C$16:$D$20,2,0)*VLOOKUP($N$3,角色品星!$C$3:$E$14,3,0)*W88</f>
        <v>84957.183126965465</v>
      </c>
      <c r="P88" s="6">
        <f>VLOOKUP($N$2,角色品星!$C$16:$D$20,2,0)*VLOOKUP($N$3,角色品星!$C$3:$E$14,3,0)*X88</f>
        <v>215150.86205626326</v>
      </c>
      <c r="Q88" s="24">
        <f t="shared" si="10"/>
        <v>0.05</v>
      </c>
      <c r="R88" s="24">
        <f t="shared" si="11"/>
        <v>1.5</v>
      </c>
      <c r="S88" s="24">
        <f t="shared" si="12"/>
        <v>0.9</v>
      </c>
      <c r="T88" s="42">
        <f>N88*(1+Q88*(R88-1))*S88*战斗公式!$E$39+(P88*战斗公式!$E$40+1)*O88*战斗公式!$E$41</f>
        <v>515839.13281197852</v>
      </c>
      <c r="U88" s="42">
        <f t="shared" si="13"/>
        <v>25791.956640599004</v>
      </c>
      <c r="V88" s="6">
        <f>VLOOKUP($N$1,$D$4:$J$15,MATCH(F$4,$D$4:$J$4,0),0)*角色成长!E101*角色成长!$L$15*AB88/AA88/(1+$Y$2*($Z$2-1))</f>
        <v>10757.543102813166</v>
      </c>
      <c r="W88" s="6">
        <f>VLOOKUP($N$1,$D$4:$J$15,MATCH(G$4,$D$4:$J$4,0),0)*角色成长!F101*角色成长!$L$15/(1+X88/角色成长!$N$16)</f>
        <v>84957.183126965465</v>
      </c>
      <c r="X88" s="6">
        <f>VLOOKUP($N$1,$D$4:$J$15,MATCH(H$4,$D$4:$J$4,0),0)*角色成长!G101*角色成长!$L$15</f>
        <v>215150.86205626326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0.3818387082827856</v>
      </c>
      <c r="M89" s="1">
        <v>85</v>
      </c>
      <c r="N89" s="6">
        <f>VLOOKUP($N$2,角色品星!$C$16:$D$20,2,0)*VLOOKUP($N$3,角色品星!$C$3:$E$14,3,0)*V89</f>
        <v>11295.420257953825</v>
      </c>
      <c r="O89" s="6">
        <f>VLOOKUP($N$2,角色品星!$C$16:$D$20,2,0)*VLOOKUP($N$3,角色品星!$C$3:$E$14,3,0)*W89</f>
        <v>86260.573616165915</v>
      </c>
      <c r="P89" s="6">
        <f>VLOOKUP($N$2,角色品星!$C$16:$D$20,2,0)*VLOOKUP($N$3,角色品星!$C$3:$E$14,3,0)*X89</f>
        <v>225908.40515907641</v>
      </c>
      <c r="Q89" s="24">
        <f t="shared" si="10"/>
        <v>0.05</v>
      </c>
      <c r="R89" s="24">
        <f t="shared" si="11"/>
        <v>1.5</v>
      </c>
      <c r="S89" s="24">
        <f t="shared" si="12"/>
        <v>0.9</v>
      </c>
      <c r="T89" s="42">
        <f>N89*(1+Q89*(R89-1))*S89*战斗公式!$E$39+(P89*战斗公式!$E$40+1)*O89*战斗公式!$E$41</f>
        <v>541631.08945257752</v>
      </c>
      <c r="U89" s="42">
        <f t="shared" si="13"/>
        <v>27081.554472628748</v>
      </c>
      <c r="V89" s="6">
        <f>VLOOKUP($N$1,$D$4:$J$15,MATCH(F$4,$D$4:$J$4,0),0)*角色成长!E102*角色成长!$L$15*AB89/AA89/(1+$Y$2*($Z$2-1))</f>
        <v>11295.420257953825</v>
      </c>
      <c r="W89" s="6">
        <f>VLOOKUP($N$1,$D$4:$J$15,MATCH(G$4,$D$4:$J$4,0),0)*角色成长!F102*角色成长!$L$15/(1+X89/角色成长!$N$16)</f>
        <v>86260.573616165915</v>
      </c>
      <c r="X89" s="6">
        <f>VLOOKUP($N$1,$D$4:$J$15,MATCH(H$4,$D$4:$J$4,0),0)*角色成长!G102*角色成长!$L$15</f>
        <v>225908.40515907641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0.36904813962457345</v>
      </c>
      <c r="M90" s="1">
        <v>86</v>
      </c>
      <c r="N90" s="6">
        <f>VLOOKUP($N$2,角色品星!$C$16:$D$20,2,0)*VLOOKUP($N$3,角色品星!$C$3:$E$14,3,0)*V90</f>
        <v>11860.191270851512</v>
      </c>
      <c r="O90" s="6">
        <f>VLOOKUP($N$2,角色品星!$C$16:$D$20,2,0)*VLOOKUP($N$3,角色品星!$C$3:$E$14,3,0)*W90</f>
        <v>87539.630481987115</v>
      </c>
      <c r="P90" s="6">
        <f>VLOOKUP($N$2,角色品星!$C$16:$D$20,2,0)*VLOOKUP($N$3,角色品星!$C$3:$E$14,3,0)*X90</f>
        <v>237203.82541703022</v>
      </c>
      <c r="Q90" s="24">
        <f t="shared" si="10"/>
        <v>0.05</v>
      </c>
      <c r="R90" s="24">
        <f t="shared" si="11"/>
        <v>1.5</v>
      </c>
      <c r="S90" s="24">
        <f t="shared" si="12"/>
        <v>0.9</v>
      </c>
      <c r="T90" s="42">
        <f>N90*(1+Q90*(R90-1))*S90*战斗公式!$E$39+(P90*战斗公式!$E$40+1)*O90*战斗公式!$E$41</f>
        <v>568712.64392520627</v>
      </c>
      <c r="U90" s="42">
        <f t="shared" si="13"/>
        <v>28435.632196260267</v>
      </c>
      <c r="V90" s="6">
        <f>VLOOKUP($N$1,$D$4:$J$15,MATCH(F$4,$D$4:$J$4,0),0)*角色成长!E103*角色成长!$L$15*AB90/AA90/(1+$Y$2*($Z$2-1))</f>
        <v>11860.191270851512</v>
      </c>
      <c r="W90" s="6">
        <f>VLOOKUP($N$1,$D$4:$J$15,MATCH(G$4,$D$4:$J$4,0),0)*角色成长!F103*角色成长!$L$15/(1+X90/角色成长!$N$16)</f>
        <v>87539.630481987115</v>
      </c>
      <c r="X90" s="6">
        <f>VLOOKUP($N$1,$D$4:$J$15,MATCH(H$4,$D$4:$J$4,0),0)*角色成长!G103*角色成长!$L$15</f>
        <v>237203.82541703022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0.35650894533685906</v>
      </c>
      <c r="M91" s="1">
        <v>87</v>
      </c>
      <c r="N91" s="6">
        <f>VLOOKUP($N$2,角色品星!$C$16:$D$20,2,0)*VLOOKUP($N$3,角色品星!$C$3:$E$14,3,0)*V91</f>
        <v>12453.200834394089</v>
      </c>
      <c r="O91" s="6">
        <f>VLOOKUP($N$2,角色品星!$C$16:$D$20,2,0)*VLOOKUP($N$3,角色品星!$C$3:$E$14,3,0)*W91</f>
        <v>88793.549910758578</v>
      </c>
      <c r="P91" s="6">
        <f>VLOOKUP($N$2,角色品星!$C$16:$D$20,2,0)*VLOOKUP($N$3,角色品星!$C$3:$E$14,3,0)*X91</f>
        <v>249064.01668788173</v>
      </c>
      <c r="Q91" s="24">
        <f t="shared" si="10"/>
        <v>0.05</v>
      </c>
      <c r="R91" s="24">
        <f t="shared" si="11"/>
        <v>1.5</v>
      </c>
      <c r="S91" s="24">
        <f t="shared" si="12"/>
        <v>0.9</v>
      </c>
      <c r="T91" s="42">
        <f>N91*(1+Q91*(R91-1))*S91*战斗公式!$E$39+(P91*战斗公式!$E$40+1)*O91*战斗公式!$E$41</f>
        <v>597148.27612146654</v>
      </c>
      <c r="U91" s="42">
        <f t="shared" si="13"/>
        <v>29857.413806073484</v>
      </c>
      <c r="V91" s="6">
        <f>VLOOKUP($N$1,$D$4:$J$15,MATCH(F$4,$D$4:$J$4,0),0)*角色成长!E104*角色成长!$L$15*AB91/AA91/(1+$Y$2*($Z$2-1))</f>
        <v>12453.200834394089</v>
      </c>
      <c r="W91" s="6">
        <f>VLOOKUP($N$1,$D$4:$J$15,MATCH(G$4,$D$4:$J$4,0),0)*角色成长!F104*角色成长!$L$15/(1+X91/角色成长!$N$16)</f>
        <v>88793.549910758578</v>
      </c>
      <c r="X91" s="6">
        <f>VLOOKUP($N$1,$D$4:$J$15,MATCH(H$4,$D$4:$J$4,0),0)*角色成长!G104*角色成长!$L$15</f>
        <v>249064.01668788173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0.3442282646933032</v>
      </c>
      <c r="M92" s="1">
        <v>88</v>
      </c>
      <c r="N92" s="6">
        <f>VLOOKUP($N$2,角色品星!$C$16:$D$20,2,0)*VLOOKUP($N$3,角色品星!$C$3:$E$14,3,0)*V92</f>
        <v>13075.860876113797</v>
      </c>
      <c r="O92" s="6">
        <f>VLOOKUP($N$2,角色品星!$C$16:$D$20,2,0)*VLOOKUP($N$3,角色品星!$C$3:$E$14,3,0)*W92</f>
        <v>90021.617975114132</v>
      </c>
      <c r="P92" s="6">
        <f>VLOOKUP($N$2,角色品星!$C$16:$D$20,2,0)*VLOOKUP($N$3,角色品星!$C$3:$E$14,3,0)*X92</f>
        <v>261517.2175222759</v>
      </c>
      <c r="Q92" s="24">
        <f t="shared" si="10"/>
        <v>0.05</v>
      </c>
      <c r="R92" s="24">
        <f t="shared" si="11"/>
        <v>1.5</v>
      </c>
      <c r="S92" s="24">
        <f t="shared" si="12"/>
        <v>0.9</v>
      </c>
      <c r="T92" s="42">
        <f>N92*(1+Q92*(R92-1))*S92*战斗公式!$E$39+(P92*战斗公式!$E$40+1)*O92*战斗公式!$E$41</f>
        <v>627005.68992754002</v>
      </c>
      <c r="U92" s="42">
        <f t="shared" si="13"/>
        <v>31350.284496376989</v>
      </c>
      <c r="V92" s="6">
        <f>VLOOKUP($N$1,$D$4:$J$15,MATCH(F$4,$D$4:$J$4,0),0)*角色成长!E105*角色成长!$L$15*AB92/AA92/(1+$Y$2*($Z$2-1))</f>
        <v>13075.860876113797</v>
      </c>
      <c r="W92" s="6">
        <f>VLOOKUP($N$1,$D$4:$J$15,MATCH(G$4,$D$4:$J$4,0),0)*角色成长!F105*角色成长!$L$15/(1+X92/角色成长!$N$16)</f>
        <v>90021.617975114132</v>
      </c>
      <c r="X92" s="6">
        <f>VLOOKUP($N$1,$D$4:$J$15,MATCH(H$4,$D$4:$J$4,0),0)*角色成长!G105*角色成长!$L$15</f>
        <v>261517.2175222759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0.33221234352892803</v>
      </c>
      <c r="M93" s="1">
        <v>89</v>
      </c>
      <c r="N93" s="6">
        <f>VLOOKUP($N$2,角色品星!$C$16:$D$20,2,0)*VLOOKUP($N$3,角色品星!$C$3:$E$14,3,0)*V93</f>
        <v>13729.653919919487</v>
      </c>
      <c r="O93" s="6">
        <f>VLOOKUP($N$2,角色品星!$C$16:$D$20,2,0)*VLOOKUP($N$3,角色品星!$C$3:$E$14,3,0)*W93</f>
        <v>91223.210091551678</v>
      </c>
      <c r="P93" s="6">
        <f>VLOOKUP($N$2,角色品星!$C$16:$D$20,2,0)*VLOOKUP($N$3,角色品星!$C$3:$E$14,3,0)*X93</f>
        <v>274593.07839838963</v>
      </c>
      <c r="Q93" s="24">
        <f t="shared" si="10"/>
        <v>0.05</v>
      </c>
      <c r="R93" s="24">
        <f t="shared" si="11"/>
        <v>1.5</v>
      </c>
      <c r="S93" s="24">
        <f t="shared" si="12"/>
        <v>0.9</v>
      </c>
      <c r="T93" s="42">
        <f>N93*(1+Q93*(R93-1))*S93*战斗公式!$E$39+(P93*战斗公式!$E$40+1)*O93*战斗公式!$E$41</f>
        <v>658355.97442391701</v>
      </c>
      <c r="U93" s="42">
        <f t="shared" si="13"/>
        <v>32917.798721195781</v>
      </c>
      <c r="V93" s="6">
        <f>VLOOKUP($N$1,$D$4:$J$15,MATCH(F$4,$D$4:$J$4,0),0)*角色成长!E106*角色成长!$L$15*AB93/AA93/(1+$Y$2*($Z$2-1))</f>
        <v>13729.653919919487</v>
      </c>
      <c r="W93" s="6">
        <f>VLOOKUP($N$1,$D$4:$J$15,MATCH(G$4,$D$4:$J$4,0),0)*角色成长!F106*角色成长!$L$15/(1+X93/角色成长!$N$16)</f>
        <v>91223.210091551678</v>
      </c>
      <c r="X93" s="6">
        <f>VLOOKUP($N$1,$D$4:$J$15,MATCH(H$4,$D$4:$J$4,0),0)*角色成长!G106*角色成长!$L$15</f>
        <v>274593.07839838963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0.320466545189111</v>
      </c>
      <c r="M94" s="1">
        <v>90</v>
      </c>
      <c r="N94" s="6">
        <f>VLOOKUP($N$2,角色品星!$C$16:$D$20,2,0)*VLOOKUP($N$3,角色品星!$C$3:$E$14,3,0)*V94</f>
        <v>14416.13661591546</v>
      </c>
      <c r="O94" s="6">
        <f>VLOOKUP($N$2,角色品星!$C$16:$D$20,2,0)*VLOOKUP($N$3,角色品星!$C$3:$E$14,3,0)*W94</f>
        <v>92397.789925533361</v>
      </c>
      <c r="P94" s="6">
        <f>VLOOKUP($N$2,角色品星!$C$16:$D$20,2,0)*VLOOKUP($N$3,角色品星!$C$3:$E$14,3,0)*X94</f>
        <v>288322.73231830914</v>
      </c>
      <c r="Q94" s="24">
        <f t="shared" si="10"/>
        <v>0.05</v>
      </c>
      <c r="R94" s="24">
        <f t="shared" si="11"/>
        <v>1.5</v>
      </c>
      <c r="S94" s="24">
        <f t="shared" si="12"/>
        <v>0.9</v>
      </c>
      <c r="T94" s="42">
        <f>N94*(1+Q94*(R94-1))*S94*战斗公式!$E$39+(P94*战斗公式!$E$40+1)*O94*战斗公式!$E$41</f>
        <v>691273.77314511279</v>
      </c>
      <c r="U94" s="42">
        <f t="shared" si="13"/>
        <v>34563.688657255727</v>
      </c>
      <c r="V94" s="6">
        <f>VLOOKUP($N$1,$D$4:$J$15,MATCH(F$4,$D$4:$J$4,0),0)*角色成长!E107*角色成长!$L$15*AB94/AA94/(1+$Y$2*($Z$2-1))</f>
        <v>14416.13661591546</v>
      </c>
      <c r="W94" s="6">
        <f>VLOOKUP($N$1,$D$4:$J$15,MATCH(G$4,$D$4:$J$4,0),0)*角色成长!F107*角色成长!$L$15/(1+X94/角色成长!$N$16)</f>
        <v>92397.789925533361</v>
      </c>
      <c r="X94" s="6">
        <f>VLOOKUP($N$1,$D$4:$J$15,MATCH(H$4,$D$4:$J$4,0),0)*角色成长!G107*角色成长!$L$15</f>
        <v>288322.73231830914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0.30899536658521232</v>
      </c>
      <c r="M95" s="1">
        <v>91</v>
      </c>
      <c r="N95" s="6">
        <f>VLOOKUP($N$2,角色品星!$C$16:$D$20,2,0)*VLOOKUP($N$3,角色品星!$C$3:$E$14,3,0)*V95</f>
        <v>15136.943446711233</v>
      </c>
      <c r="O95" s="6">
        <f>VLOOKUP($N$2,角色品星!$C$16:$D$20,2,0)*VLOOKUP($N$3,角色品星!$C$3:$E$14,3,0)*W95</f>
        <v>93544.907785923249</v>
      </c>
      <c r="P95" s="6">
        <f>VLOOKUP($N$2,角色品星!$C$16:$D$20,2,0)*VLOOKUP($N$3,角色品星!$C$3:$E$14,3,0)*X95</f>
        <v>302738.86893422453</v>
      </c>
      <c r="Q95" s="24">
        <f t="shared" si="10"/>
        <v>0.05</v>
      </c>
      <c r="R95" s="24">
        <f t="shared" si="11"/>
        <v>1.5</v>
      </c>
      <c r="S95" s="24">
        <f t="shared" si="12"/>
        <v>0.9</v>
      </c>
      <c r="T95" s="42">
        <f>N95*(1+Q95*(R95-1))*S95*战斗公式!$E$39+(P95*战斗公式!$E$40+1)*O95*战斗公式!$E$41</f>
        <v>725837.46180236852</v>
      </c>
      <c r="U95" s="42">
        <f t="shared" si="13"/>
        <v>36291.873090118403</v>
      </c>
      <c r="V95" s="6">
        <f>VLOOKUP($N$1,$D$4:$J$15,MATCH(F$4,$D$4:$J$4,0),0)*角色成长!E108*角色成长!$L$15*AB95/AA95/(1+$Y$2*($Z$2-1))</f>
        <v>15136.943446711233</v>
      </c>
      <c r="W95" s="6">
        <f>VLOOKUP($N$1,$D$4:$J$15,MATCH(G$4,$D$4:$J$4,0),0)*角色成长!F108*角色成长!$L$15/(1+X95/角色成长!$N$16)</f>
        <v>93544.907785923249</v>
      </c>
      <c r="X95" s="6">
        <f>VLOOKUP($N$1,$D$4:$J$15,MATCH(H$4,$D$4:$J$4,0),0)*角色成长!G108*角色成长!$L$15</f>
        <v>302738.86893422453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0.29780245890614221</v>
      </c>
      <c r="M96" s="1">
        <v>92</v>
      </c>
      <c r="N96" s="6">
        <f>VLOOKUP($N$2,角色品星!$C$16:$D$20,2,0)*VLOOKUP($N$3,角色品星!$C$3:$E$14,3,0)*V96</f>
        <v>15893.790619046795</v>
      </c>
      <c r="O96" s="6">
        <f>VLOOKUP($N$2,角色品星!$C$16:$D$20,2,0)*VLOOKUP($N$3,角色品星!$C$3:$E$14,3,0)*W96</f>
        <v>94664.19855383024</v>
      </c>
      <c r="P96" s="6">
        <f>VLOOKUP($N$2,角色品星!$C$16:$D$20,2,0)*VLOOKUP($N$3,角色品星!$C$3:$E$14,3,0)*X96</f>
        <v>317875.81238093594</v>
      </c>
      <c r="Q96" s="24">
        <f t="shared" si="10"/>
        <v>0.05</v>
      </c>
      <c r="R96" s="24">
        <f t="shared" si="11"/>
        <v>1.5</v>
      </c>
      <c r="S96" s="24">
        <f t="shared" si="12"/>
        <v>0.9</v>
      </c>
      <c r="T96" s="42">
        <f>N96*(1+Q96*(R96-1))*S96*战斗公式!$E$39+(P96*战斗公式!$E$40+1)*O96*战斗公式!$E$41</f>
        <v>762129.33489248692</v>
      </c>
      <c r="U96" s="42">
        <f t="shared" si="13"/>
        <v>38106.466744624311</v>
      </c>
      <c r="V96" s="6">
        <f>VLOOKUP($N$1,$D$4:$J$15,MATCH(F$4,$D$4:$J$4,0),0)*角色成长!E109*角色成长!$L$15*AB96/AA96/(1+$Y$2*($Z$2-1))</f>
        <v>15893.790619046795</v>
      </c>
      <c r="W96" s="6">
        <f>VLOOKUP($N$1,$D$4:$J$15,MATCH(G$4,$D$4:$J$4,0),0)*角色成长!F109*角色成长!$L$15/(1+X96/角色成长!$N$16)</f>
        <v>94664.19855383024</v>
      </c>
      <c r="X96" s="6">
        <f>VLOOKUP($N$1,$D$4:$J$15,MATCH(H$4,$D$4:$J$4,0),0)*角色成长!G109*角色成长!$L$15</f>
        <v>317875.81238093594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0.28689065251178864</v>
      </c>
      <c r="M97" s="1">
        <v>93</v>
      </c>
      <c r="N97" s="6">
        <f>VLOOKUP($N$2,角色品星!$C$16:$D$20,2,0)*VLOOKUP($N$3,角色品星!$C$3:$E$14,3,0)*V97</f>
        <v>16688.480149999134</v>
      </c>
      <c r="O97" s="6">
        <f>VLOOKUP($N$2,角色品星!$C$16:$D$20,2,0)*VLOOKUP($N$3,角色品星!$C$3:$E$14,3,0)*W97</f>
        <v>95755.379193265631</v>
      </c>
      <c r="P97" s="6">
        <f>VLOOKUP($N$2,角色品星!$C$16:$D$20,2,0)*VLOOKUP($N$3,角色品星!$C$3:$E$14,3,0)*X97</f>
        <v>333769.60299998254</v>
      </c>
      <c r="Q97" s="24">
        <f t="shared" si="10"/>
        <v>0.05</v>
      </c>
      <c r="R97" s="24">
        <f t="shared" si="11"/>
        <v>1.5</v>
      </c>
      <c r="S97" s="24">
        <f t="shared" si="12"/>
        <v>0.9</v>
      </c>
      <c r="T97" s="42">
        <f>N97*(1+Q97*(R97-1))*S97*战斗公式!$E$39+(P97*战斗公式!$E$40+1)*O97*战斗公式!$E$41</f>
        <v>800235.80163711123</v>
      </c>
      <c r="U97" s="42">
        <f t="shared" si="13"/>
        <v>40011.790081855608</v>
      </c>
      <c r="V97" s="6">
        <f>VLOOKUP($N$1,$D$4:$J$15,MATCH(F$4,$D$4:$J$4,0),0)*角色成长!E110*角色成长!$L$15*AB97/AA97/(1+$Y$2*($Z$2-1))</f>
        <v>16688.480149999134</v>
      </c>
      <c r="W97" s="6">
        <f>VLOOKUP($N$1,$D$4:$J$15,MATCH(G$4,$D$4:$J$4,0),0)*角色成长!F110*角色成长!$L$15/(1+X97/角色成长!$N$16)</f>
        <v>95755.379193265631</v>
      </c>
      <c r="X97" s="6">
        <f>VLOOKUP($N$1,$D$4:$J$15,MATCH(H$4,$D$4:$J$4,0),0)*角色成长!G110*角色成长!$L$15</f>
        <v>333769.60299998254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0.27626198551977177</v>
      </c>
      <c r="M98" s="1">
        <v>94</v>
      </c>
      <c r="N98" s="6">
        <f>VLOOKUP($N$2,角色品星!$C$16:$D$20,2,0)*VLOOKUP($N$3,角色品星!$C$3:$E$14,3,0)*V98</f>
        <v>17522.904157499092</v>
      </c>
      <c r="O98" s="6">
        <f>VLOOKUP($N$2,角色品星!$C$16:$D$20,2,0)*VLOOKUP($N$3,角色品星!$C$3:$E$14,3,0)*W98</f>
        <v>96818.245892467254</v>
      </c>
      <c r="P98" s="6">
        <f>VLOOKUP($N$2,角色品星!$C$16:$D$20,2,0)*VLOOKUP($N$3,角色品星!$C$3:$E$14,3,0)*X98</f>
        <v>350458.08314998186</v>
      </c>
      <c r="Q98" s="24">
        <f t="shared" si="10"/>
        <v>0.05</v>
      </c>
      <c r="R98" s="24">
        <f t="shared" si="11"/>
        <v>1.5</v>
      </c>
      <c r="S98" s="24">
        <f t="shared" si="12"/>
        <v>0.9</v>
      </c>
      <c r="T98" s="42">
        <f>N98*(1+Q98*(R98-1))*S98*战斗公式!$E$39+(P98*战斗公式!$E$40+1)*O98*战斗公式!$E$41</f>
        <v>840247.59171896684</v>
      </c>
      <c r="U98" s="42">
        <f t="shared" si="13"/>
        <v>42012.379585948074</v>
      </c>
      <c r="V98" s="6">
        <f>VLOOKUP($N$1,$D$4:$J$15,MATCH(F$4,$D$4:$J$4,0),0)*角色成长!E111*角色成长!$L$15*AB98/AA98/(1+$Y$2*($Z$2-1))</f>
        <v>17522.904157499092</v>
      </c>
      <c r="W98" s="6">
        <f>VLOOKUP($N$1,$D$4:$J$15,MATCH(G$4,$D$4:$J$4,0),0)*角色成长!F111*角色成长!$L$15/(1+X98/角色成长!$N$16)</f>
        <v>96818.245892467254</v>
      </c>
      <c r="X98" s="6">
        <f>VLOOKUP($N$1,$D$4:$J$15,MATCH(H$4,$D$4:$J$4,0),0)*角色成长!G111*角色成长!$L$15</f>
        <v>350458.08314998186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0.26591773559099718</v>
      </c>
      <c r="M99" s="1">
        <v>95</v>
      </c>
      <c r="N99" s="6">
        <f>VLOOKUP($N$2,角色品星!$C$16:$D$20,2,0)*VLOOKUP($N$3,角色品星!$C$3:$E$14,3,0)*V99</f>
        <v>18399.049365374045</v>
      </c>
      <c r="O99" s="6">
        <f>VLOOKUP($N$2,角色品星!$C$16:$D$20,2,0)*VLOOKUP($N$3,角色品星!$C$3:$E$14,3,0)*W99</f>
        <v>97852.670885344749</v>
      </c>
      <c r="P99" s="6">
        <f>VLOOKUP($N$2,角色品星!$C$16:$D$20,2,0)*VLOOKUP($N$3,角色品星!$C$3:$E$14,3,0)*X99</f>
        <v>367980.98730748071</v>
      </c>
      <c r="Q99" s="24">
        <f t="shared" si="10"/>
        <v>0.05</v>
      </c>
      <c r="R99" s="24">
        <f t="shared" si="11"/>
        <v>1.5</v>
      </c>
      <c r="S99" s="24">
        <f t="shared" si="12"/>
        <v>0.9</v>
      </c>
      <c r="T99" s="42">
        <f>N99*(1+Q99*(R99-1))*S99*战斗公式!$E$39+(P99*战斗公式!$E$40+1)*O99*战斗公式!$E$41</f>
        <v>882259.97130491491</v>
      </c>
      <c r="U99" s="42">
        <f t="shared" si="13"/>
        <v>44112.998565246235</v>
      </c>
      <c r="V99" s="6">
        <f>VLOOKUP($N$1,$D$4:$J$15,MATCH(F$4,$D$4:$J$4,0),0)*角色成长!E112*角色成长!$L$15*AB99/AA99/(1+$Y$2*($Z$2-1))</f>
        <v>18399.049365374045</v>
      </c>
      <c r="W99" s="6">
        <f>VLOOKUP($N$1,$D$4:$J$15,MATCH(G$4,$D$4:$J$4,0),0)*角色成长!F112*角色成长!$L$15/(1+X99/角色成长!$N$16)</f>
        <v>97852.670885344749</v>
      </c>
      <c r="X99" s="6">
        <f>VLOOKUP($N$1,$D$4:$J$15,MATCH(H$4,$D$4:$J$4,0),0)*角色成长!G112*角色成长!$L$15</f>
        <v>367980.98730748071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0.25585845442120253</v>
      </c>
      <c r="M100" s="1">
        <v>96</v>
      </c>
      <c r="N100" s="6">
        <f>VLOOKUP($N$2,角色品星!$C$16:$D$20,2,0)*VLOOKUP($N$3,角色品星!$C$3:$E$14,3,0)*V100</f>
        <v>19319.001833642749</v>
      </c>
      <c r="O100" s="6">
        <f>VLOOKUP($N$2,角色品星!$C$16:$D$20,2,0)*VLOOKUP($N$3,角色品星!$C$3:$E$14,3,0)*W100</f>
        <v>98858.599002324219</v>
      </c>
      <c r="P100" s="6">
        <f>VLOOKUP($N$2,角色品星!$C$16:$D$20,2,0)*VLOOKUP($N$3,角色品星!$C$3:$E$14,3,0)*X100</f>
        <v>386380.03667285497</v>
      </c>
      <c r="Q100" s="24">
        <f t="shared" si="10"/>
        <v>0.05</v>
      </c>
      <c r="R100" s="24">
        <f t="shared" si="11"/>
        <v>1.5</v>
      </c>
      <c r="S100" s="24">
        <f t="shared" si="12"/>
        <v>0.9</v>
      </c>
      <c r="T100" s="42">
        <f>N100*(1+Q100*(R100-1))*S100*战斗公式!$E$39+(P100*战斗公式!$E$40+1)*O100*战斗公式!$E$41</f>
        <v>926372.96987016115</v>
      </c>
      <c r="U100" s="42">
        <f t="shared" si="13"/>
        <v>46318.648493507877</v>
      </c>
      <c r="V100" s="6">
        <f>VLOOKUP($N$1,$D$4:$J$15,MATCH(F$4,$D$4:$J$4,0),0)*角色成长!E113*角色成长!$L$15*AB100/AA100/(1+$Y$2*($Z$2-1))</f>
        <v>19319.001833642749</v>
      </c>
      <c r="W100" s="6">
        <f>VLOOKUP($N$1,$D$4:$J$15,MATCH(G$4,$D$4:$J$4,0),0)*角色成长!F113*角色成长!$L$15/(1+X100/角色成长!$N$16)</f>
        <v>98858.599002324219</v>
      </c>
      <c r="X100" s="6">
        <f>VLOOKUP($N$1,$D$4:$J$15,MATCH(H$4,$D$4:$J$4,0),0)*角色成长!G113*角色成长!$L$15</f>
        <v>386380.03667285497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0.24608400445445078</v>
      </c>
      <c r="M101" s="1">
        <v>97</v>
      </c>
      <c r="N101" s="6">
        <f>VLOOKUP($N$2,角色品星!$C$16:$D$20,2,0)*VLOOKUP($N$3,角色品星!$C$3:$E$14,3,0)*V101</f>
        <v>20284.951925324887</v>
      </c>
      <c r="O101" s="6">
        <f>VLOOKUP($N$2,角色品星!$C$16:$D$20,2,0)*VLOOKUP($N$3,角色品星!$C$3:$E$14,3,0)*W101</f>
        <v>99836.043998999376</v>
      </c>
      <c r="P101" s="6">
        <f>VLOOKUP($N$2,角色品星!$C$16:$D$20,2,0)*VLOOKUP($N$3,角色品星!$C$3:$E$14,3,0)*X101</f>
        <v>405699.03850649769</v>
      </c>
      <c r="Q101" s="24">
        <f t="shared" si="10"/>
        <v>0.05</v>
      </c>
      <c r="R101" s="24">
        <f t="shared" si="11"/>
        <v>1.5</v>
      </c>
      <c r="S101" s="24">
        <f t="shared" si="12"/>
        <v>0.9</v>
      </c>
      <c r="T101" s="42">
        <f>N101*(1+Q101*(R101-1))*S101*战斗公式!$E$39+(P101*战斗公式!$E$40+1)*O101*战斗公式!$E$41</f>
        <v>972691.61836366903</v>
      </c>
      <c r="U101" s="42">
        <f t="shared" si="13"/>
        <v>48634.580918183667</v>
      </c>
      <c r="V101" s="6">
        <f>VLOOKUP($N$1,$D$4:$J$15,MATCH(F$4,$D$4:$J$4,0),0)*角色成长!E114*角色成长!$L$15*AB101/AA101/(1+$Y$2*($Z$2-1))</f>
        <v>20284.951925324887</v>
      </c>
      <c r="W101" s="6">
        <f>VLOOKUP($N$1,$D$4:$J$15,MATCH(G$4,$D$4:$J$4,0),0)*角色成长!F114*角色成长!$L$15/(1+X101/角色成长!$N$16)</f>
        <v>99836.043998999376</v>
      </c>
      <c r="X101" s="6">
        <f>VLOOKUP($N$1,$D$4:$J$15,MATCH(H$4,$D$4:$J$4,0),0)*角色成长!G114*角色成长!$L$15</f>
        <v>405699.03850649769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0.23659359734937563</v>
      </c>
      <c r="M102" s="1">
        <v>98</v>
      </c>
      <c r="N102" s="6">
        <f>VLOOKUP($N$2,角色品星!$C$16:$D$20,2,0)*VLOOKUP($N$3,角色品星!$C$3:$E$14,3,0)*V102</f>
        <v>21299.199521591134</v>
      </c>
      <c r="O102" s="6">
        <f>VLOOKUP($N$2,角色品星!$C$16:$D$20,2,0)*VLOOKUP($N$3,角色品星!$C$3:$E$14,3,0)*W102</f>
        <v>100785.0847095069</v>
      </c>
      <c r="P102" s="6">
        <f>VLOOKUP($N$2,角色品星!$C$16:$D$20,2,0)*VLOOKUP($N$3,角色品星!$C$3:$E$14,3,0)*X102</f>
        <v>425983.99043182255</v>
      </c>
      <c r="Q102" s="24">
        <f t="shared" si="10"/>
        <v>0.05</v>
      </c>
      <c r="R102" s="24">
        <f t="shared" si="11"/>
        <v>1.5</v>
      </c>
      <c r="S102" s="24">
        <f t="shared" si="12"/>
        <v>0.9</v>
      </c>
      <c r="T102" s="42">
        <f>N102*(1+Q102*(R102-1))*S102*战斗公式!$E$39+(P102*战斗公式!$E$40+1)*O102*战斗公式!$E$41</f>
        <v>1021326.1992818527</v>
      </c>
      <c r="U102" s="42">
        <f t="shared" si="13"/>
        <v>51066.309964092448</v>
      </c>
      <c r="V102" s="6">
        <f>VLOOKUP($N$1,$D$4:$J$15,MATCH(F$4,$D$4:$J$4,0),0)*角色成长!E115*角色成长!$L$15*AB102/AA102/(1+$Y$2*($Z$2-1))</f>
        <v>21299.199521591134</v>
      </c>
      <c r="W102" s="6">
        <f>VLOOKUP($N$1,$D$4:$J$15,MATCH(G$4,$D$4:$J$4,0),0)*角色成长!F115*角色成长!$L$15/(1+X102/角色成长!$N$16)</f>
        <v>100785.0847095069</v>
      </c>
      <c r="X102" s="6">
        <f>VLOOKUP($N$1,$D$4:$J$15,MATCH(H$4,$D$4:$J$4,0),0)*角色成长!G115*角色成长!$L$15</f>
        <v>425983.99043182255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0.22738583374913732</v>
      </c>
      <c r="M103" s="1">
        <v>99</v>
      </c>
      <c r="N103" s="6">
        <f>VLOOKUP($N$2,角色品星!$C$16:$D$20,2,0)*VLOOKUP($N$3,角色品星!$C$3:$E$14,3,0)*V103</f>
        <v>22364.159497670687</v>
      </c>
      <c r="O103" s="6">
        <f>VLOOKUP($N$2,角色品星!$C$16:$D$20,2,0)*VLOOKUP($N$3,角色品星!$C$3:$E$14,3,0)*W103</f>
        <v>101705.86106953073</v>
      </c>
      <c r="P103" s="6">
        <f>VLOOKUP($N$2,角色品星!$C$16:$D$20,2,0)*VLOOKUP($N$3,角色品星!$C$3:$E$14,3,0)*X103</f>
        <v>447283.18995341368</v>
      </c>
      <c r="Q103" s="24">
        <f t="shared" si="10"/>
        <v>0.05</v>
      </c>
      <c r="R103" s="24">
        <f t="shared" si="11"/>
        <v>1.5</v>
      </c>
      <c r="S103" s="24">
        <f t="shared" si="12"/>
        <v>0.9</v>
      </c>
      <c r="T103" s="42">
        <f>N103*(1+Q103*(R103-1))*S103*战斗公式!$E$39+(P103*战斗公式!$E$40+1)*O103*战斗公式!$E$41</f>
        <v>1072392.5092459451</v>
      </c>
      <c r="U103" s="42">
        <f t="shared" si="13"/>
        <v>53619.62546229735</v>
      </c>
      <c r="V103" s="6">
        <f>VLOOKUP($N$1,$D$4:$J$15,MATCH(F$4,$D$4:$J$4,0),0)*角色成长!E116*角色成长!$L$15*AB103/AA103/(1+$Y$2*($Z$2-1))</f>
        <v>22364.159497670687</v>
      </c>
      <c r="W103" s="6">
        <f>VLOOKUP($N$1,$D$4:$J$15,MATCH(G$4,$D$4:$J$4,0),0)*角色成长!F116*角色成长!$L$15/(1+X103/角色成长!$N$16)</f>
        <v>101705.86106953073</v>
      </c>
      <c r="X103" s="6">
        <f>VLOOKUP($N$1,$D$4:$J$15,MATCH(H$4,$D$4:$J$4,0),0)*角色成长!G116*角色成长!$L$15</f>
        <v>447283.18995341368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0.2184587439305386</v>
      </c>
      <c r="M104" s="1">
        <v>100</v>
      </c>
      <c r="N104" s="6">
        <f>VLOOKUP($N$2,角色品星!$C$16:$D$20,2,0)*VLOOKUP($N$3,角色品星!$C$3:$E$14,3,0)*V104</f>
        <v>23482.367472554222</v>
      </c>
      <c r="O104" s="6">
        <f>VLOOKUP($N$2,角色品星!$C$16:$D$20,2,0)*VLOOKUP($N$3,角色品星!$C$3:$E$14,3,0)*W104</f>
        <v>102598.57005139062</v>
      </c>
      <c r="P104" s="6">
        <f>VLOOKUP($N$2,角色品星!$C$16:$D$20,2,0)*VLOOKUP($N$3,角色品星!$C$3:$E$14,3,0)*X104</f>
        <v>469647.34945108439</v>
      </c>
      <c r="Q104" s="24">
        <f t="shared" si="10"/>
        <v>0.05</v>
      </c>
      <c r="R104" s="24">
        <f t="shared" si="11"/>
        <v>1.5</v>
      </c>
      <c r="S104" s="24">
        <f t="shared" si="12"/>
        <v>0.9</v>
      </c>
      <c r="T104" s="42">
        <f>N104*(1+Q104*(R104-1))*S104*战斗公式!$E$39+(P104*战斗公式!$E$40+1)*O104*战斗公式!$E$41</f>
        <v>1126012.1347082425</v>
      </c>
      <c r="U104" s="42">
        <f t="shared" si="13"/>
        <v>-1126012.1347082425</v>
      </c>
      <c r="V104" s="6">
        <f>VLOOKUP($N$1,$D$4:$J$15,MATCH(F$4,$D$4:$J$4,0),0)*角色成长!E117*角色成长!$L$15*AB104/AA104/(1+$Y$2*($Z$2-1))</f>
        <v>23482.367472554222</v>
      </c>
      <c r="W104" s="6">
        <f>VLOOKUP($N$1,$D$4:$J$15,MATCH(G$4,$D$4:$J$4,0),0)*角色成长!F117*角色成长!$L$15/(1+X104/角色成长!$N$16)</f>
        <v>102598.57005139062</v>
      </c>
      <c r="X104" s="6">
        <f>VLOOKUP($N$1,$D$4:$J$15,MATCH(H$4,$D$4:$J$4,0),0)*角色成长!G117*角色成长!$L$15</f>
        <v>469647.34945108439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M21" sqref="M21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79" t="s">
        <v>201</v>
      </c>
      <c r="B1" s="80"/>
    </row>
    <row r="2" spans="1:21" ht="14.25" customHeight="1" x14ac:dyDescent="0.2">
      <c r="A2" s="81"/>
      <c r="B2" s="82"/>
      <c r="Q2" s="36">
        <f>Q5+Q6+Q7+Q8+Q10</f>
        <v>1.0959999999999999</v>
      </c>
      <c r="R2" s="36">
        <f>R5+R6+R7+R8+R10</f>
        <v>1.0960000000000001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13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</row>
    <row r="11" spans="1:21" ht="14.25" customHeight="1" x14ac:dyDescent="0.2"/>
    <row r="12" spans="1:21" ht="14.25" customHeight="1" x14ac:dyDescent="0.2">
      <c r="J12" s="2" t="s">
        <v>321</v>
      </c>
    </row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274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238</v>
      </c>
      <c r="O13" s="3" t="s">
        <v>239</v>
      </c>
      <c r="P13" s="3" t="s">
        <v>240</v>
      </c>
      <c r="Q13" s="3" t="s">
        <v>241</v>
      </c>
      <c r="R13" s="3" t="s">
        <v>246</v>
      </c>
      <c r="S13" s="3" t="s">
        <v>247</v>
      </c>
      <c r="T13" s="3" t="s">
        <v>248</v>
      </c>
      <c r="U13" s="3" t="s">
        <v>249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3.125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>H5*(1-G5)/(1/H14)/(1+K5*(L5-1))/F14</f>
        <v>3</v>
      </c>
      <c r="K14" s="4">
        <f>N5/H5*H14</f>
        <v>11.111111111111111</v>
      </c>
      <c r="L14" s="5">
        <f t="shared" ref="L14:L19" si="4">N5*H14/G14</f>
        <v>0.9</v>
      </c>
      <c r="M14" s="36">
        <f>N5*H14/(G14+G15+G16+G17+G19)</f>
        <v>0.2715985514743921</v>
      </c>
      <c r="N14" s="5">
        <f t="shared" ref="N14:N19" si="5">H5*(1-P5)/(1/H14)/(1+K5*(L5-1))/F14</f>
        <v>4.8</v>
      </c>
      <c r="O14" s="24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1.2107692307692306</v>
      </c>
      <c r="T14" s="6">
        <f t="shared" si="8"/>
        <v>1.2107692307692306</v>
      </c>
      <c r="U14" s="6">
        <f t="shared" si="8"/>
        <v>1.2107692307692308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9">H6*G6/M6/(1+K6*(L6-1))</f>
        <v>3.9526315789473694</v>
      </c>
      <c r="G15" s="6">
        <f t="shared" si="3"/>
        <v>41.666666666666664</v>
      </c>
      <c r="H15" s="1">
        <v>8</v>
      </c>
      <c r="I15" s="1">
        <f t="shared" ref="I15:I19" si="10">H15*0.5</f>
        <v>4</v>
      </c>
      <c r="J15" s="5">
        <f t="shared" ref="J15:J19" si="11">H6*(1-G6)/(1/H15)/(1+K6*(L6-1))/F15</f>
        <v>2.5198402130492674</v>
      </c>
      <c r="K15" s="4">
        <f t="shared" ref="K14:K19" si="12">N6/H6*H15</f>
        <v>6.666666666666667</v>
      </c>
      <c r="L15" s="5">
        <f t="shared" si="4"/>
        <v>0.96000000000000008</v>
      </c>
      <c r="M15" s="36"/>
      <c r="N15" s="5">
        <f t="shared" si="5"/>
        <v>4.0349723187338151</v>
      </c>
      <c r="O15" s="24">
        <f t="shared" si="6"/>
        <v>8.0717948717948715</v>
      </c>
      <c r="P15" s="5">
        <f t="shared" si="7"/>
        <v>1.1623384615384615</v>
      </c>
      <c r="R15" s="6">
        <f t="shared" ref="R15:R19" si="13">N15/J15</f>
        <v>1.6012810248198559</v>
      </c>
      <c r="S15" s="6">
        <f t="shared" ref="S15:S19" si="14">O15/K15</f>
        <v>1.2107692307692306</v>
      </c>
      <c r="T15" s="6">
        <f t="shared" ref="T15:T19" si="15">P15/L15</f>
        <v>1.2107692307692306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9"/>
        <v>7.0000000000000009</v>
      </c>
      <c r="G16" s="6">
        <f t="shared" si="3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4"/>
        <v>0</v>
      </c>
      <c r="M16" s="36"/>
      <c r="N16" s="5">
        <f t="shared" si="5"/>
        <v>8.3333333333333304</v>
      </c>
      <c r="O16" s="24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9"/>
        <v>6.0984848484848486</v>
      </c>
      <c r="G17" s="6">
        <f t="shared" si="3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4"/>
        <v>0</v>
      </c>
      <c r="M17" s="36"/>
      <c r="N17" s="5">
        <f t="shared" si="5"/>
        <v>6.6893630291847472</v>
      </c>
      <c r="O17" s="24">
        <f t="shared" si="6"/>
        <v>0</v>
      </c>
      <c r="P17" s="5">
        <f t="shared" si="7"/>
        <v>0</v>
      </c>
      <c r="R17" s="6">
        <f t="shared" si="13"/>
        <v>1.6736401673640164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9"/>
        <v>5.1062500000000002</v>
      </c>
      <c r="G18" s="6">
        <f t="shared" si="3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4"/>
        <v>0</v>
      </c>
      <c r="M18" s="36"/>
      <c r="N18" s="5">
        <f t="shared" si="5"/>
        <v>5.7159477471325415</v>
      </c>
      <c r="O18" s="24">
        <f t="shared" si="6"/>
        <v>0</v>
      </c>
      <c r="P18" s="5">
        <f t="shared" si="7"/>
        <v>0</v>
      </c>
      <c r="R18" s="6">
        <f t="shared" si="13"/>
        <v>1.6313213703099514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9"/>
        <v>2.66</v>
      </c>
      <c r="G19" s="6">
        <f t="shared" si="3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 t="shared" si="12"/>
        <v>48.888888888888893</v>
      </c>
      <c r="L19" s="5">
        <f t="shared" si="4"/>
        <v>4.8738461538461531</v>
      </c>
      <c r="M19" s="5">
        <f>N10*H19/(G14+G15+G16+G17+G19)</f>
        <v>0.95602690118986033</v>
      </c>
      <c r="N19" s="5">
        <f t="shared" si="5"/>
        <v>4.1697421590582104</v>
      </c>
      <c r="O19" s="24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3"/>
        <v>1.6638935108153079</v>
      </c>
      <c r="S19" s="6">
        <f t="shared" si="14"/>
        <v>1.6744615384615384</v>
      </c>
      <c r="T19" s="6">
        <f t="shared" si="15"/>
        <v>1.6744615384615382</v>
      </c>
      <c r="U19" s="6">
        <f t="shared" ref="U19" si="16">Q19/M19</f>
        <v>1.6744615384615382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288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231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6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sqref="A1:B2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79" t="s">
        <v>219</v>
      </c>
      <c r="B1" s="80"/>
    </row>
    <row r="2" spans="1:14" ht="14.25" customHeight="1" x14ac:dyDescent="0.2">
      <c r="A2" s="81"/>
      <c r="B2" s="82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274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237</v>
      </c>
    </row>
    <row r="5" spans="1:14" ht="14.25" customHeight="1" x14ac:dyDescent="0.2">
      <c r="D5" s="1" t="s">
        <v>258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243</v>
      </c>
    </row>
    <row r="6" spans="1:14" ht="14.25" customHeight="1" x14ac:dyDescent="0.2">
      <c r="D6" s="1" t="s">
        <v>259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260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261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262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263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264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265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266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267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268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269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dimension ref="A1:AF123"/>
  <sheetViews>
    <sheetView tabSelected="1" workbookViewId="0">
      <selection activeCell="M12" sqref="M12"/>
    </sheetView>
  </sheetViews>
  <sheetFormatPr defaultRowHeight="14.25" customHeight="1" x14ac:dyDescent="0.2"/>
  <cols>
    <col min="1" max="16384" width="9" style="1"/>
  </cols>
  <sheetData>
    <row r="1" spans="1:11" ht="14.25" customHeight="1" x14ac:dyDescent="0.2">
      <c r="A1" s="79" t="s">
        <v>305</v>
      </c>
      <c r="B1" s="80"/>
    </row>
    <row r="2" spans="1:11" ht="14.25" customHeight="1" x14ac:dyDescent="0.2">
      <c r="A2" s="81"/>
      <c r="B2" s="82"/>
      <c r="D2" s="2" t="s">
        <v>306</v>
      </c>
    </row>
    <row r="3" spans="1:11" ht="14.25" customHeight="1" x14ac:dyDescent="0.2">
      <c r="D3" s="2" t="s">
        <v>307</v>
      </c>
    </row>
    <row r="4" spans="1:11" ht="14.25" customHeight="1" x14ac:dyDescent="0.2">
      <c r="C4" s="3" t="s">
        <v>312</v>
      </c>
    </row>
    <row r="5" spans="1:11" ht="14.25" customHeight="1" x14ac:dyDescent="0.2">
      <c r="C5" s="3" t="s">
        <v>224</v>
      </c>
      <c r="D5" s="3" t="s">
        <v>225</v>
      </c>
      <c r="E5" s="3" t="s">
        <v>153</v>
      </c>
      <c r="F5" s="3" t="s">
        <v>154</v>
      </c>
      <c r="G5" s="3" t="s">
        <v>129</v>
      </c>
    </row>
    <row r="6" spans="1:11" ht="14.25" customHeight="1" x14ac:dyDescent="0.2">
      <c r="C6" s="1" t="s">
        <v>308</v>
      </c>
      <c r="D6" s="1" t="s">
        <v>127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1" ht="14.25" customHeight="1" x14ac:dyDescent="0.2">
      <c r="C7" s="1" t="s">
        <v>309</v>
      </c>
      <c r="D7" s="1" t="s">
        <v>128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1" ht="14.25" customHeight="1" x14ac:dyDescent="0.2">
      <c r="C8" s="1" t="s">
        <v>310</v>
      </c>
      <c r="D8" s="1" t="s">
        <v>127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1" ht="14.25" customHeight="1" x14ac:dyDescent="0.2">
      <c r="C9" s="1" t="s">
        <v>311</v>
      </c>
      <c r="D9" s="1" t="s">
        <v>128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1" ht="14.25" customHeight="1" x14ac:dyDescent="0.2">
      <c r="C10" s="1">
        <v>0</v>
      </c>
      <c r="D10" s="1" t="s">
        <v>129</v>
      </c>
      <c r="E10" s="1">
        <f>基础模型!E21</f>
        <v>4</v>
      </c>
      <c r="F10" s="1">
        <f>基础模型!F21</f>
        <v>50</v>
      </c>
      <c r="G10" s="1">
        <f>基础模型!G21</f>
        <v>6</v>
      </c>
    </row>
    <row r="12" spans="1:11" ht="14.25" customHeight="1" x14ac:dyDescent="0.2">
      <c r="C12" s="3" t="s">
        <v>314</v>
      </c>
      <c r="I12" s="3" t="s">
        <v>315</v>
      </c>
    </row>
    <row r="13" spans="1:11" ht="14.25" customHeight="1" x14ac:dyDescent="0.2">
      <c r="D13" s="3" t="s">
        <v>313</v>
      </c>
      <c r="E13" s="3" t="s">
        <v>153</v>
      </c>
      <c r="F13" s="3" t="s">
        <v>154</v>
      </c>
      <c r="G13" s="3" t="s">
        <v>129</v>
      </c>
      <c r="H13" s="105" t="s">
        <v>17</v>
      </c>
      <c r="J13" s="25" t="s">
        <v>15</v>
      </c>
      <c r="K13" s="3" t="s">
        <v>154</v>
      </c>
    </row>
    <row r="14" spans="1:11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</v>
      </c>
      <c r="J14" s="1">
        <v>20</v>
      </c>
      <c r="K14" s="6">
        <f>E14*H14</f>
        <v>340</v>
      </c>
    </row>
    <row r="15" spans="1:11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8.3333333333333339</v>
      </c>
      <c r="J15" s="1">
        <v>20</v>
      </c>
      <c r="K15" s="6">
        <f t="shared" ref="K15:K18" si="1">E15*H15</f>
        <v>241.66666666666669</v>
      </c>
    </row>
    <row r="16" spans="1:11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3.3333333333333335</v>
      </c>
      <c r="J16" s="1">
        <v>20</v>
      </c>
      <c r="K16" s="6">
        <f t="shared" si="1"/>
        <v>63.333333333333336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3.3333333333333335</v>
      </c>
      <c r="J17" s="1">
        <v>20</v>
      </c>
      <c r="K17" s="6">
        <f t="shared" si="1"/>
        <v>46.666666666666671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3.5714285714285716</v>
      </c>
      <c r="J18" s="1">
        <v>20</v>
      </c>
      <c r="K18" s="6">
        <f t="shared" si="1"/>
        <v>14.285714285714286</v>
      </c>
    </row>
    <row r="19" spans="3:32" ht="14.25" customHeight="1" x14ac:dyDescent="0.2">
      <c r="H19" s="6">
        <f>SUM(H14:H18)</f>
        <v>28.571428571428573</v>
      </c>
      <c r="I19" s="1" t="s">
        <v>316</v>
      </c>
      <c r="J19" s="1">
        <f>MAX(J14:J18)</f>
        <v>20</v>
      </c>
      <c r="K19" s="6">
        <f>SUM(K14:K18)</f>
        <v>705.95238095238108</v>
      </c>
    </row>
    <row r="21" spans="3:32" ht="14.25" customHeight="1" x14ac:dyDescent="0.2">
      <c r="C21" s="3" t="s">
        <v>170</v>
      </c>
      <c r="E21" s="1">
        <f>J19</f>
        <v>20</v>
      </c>
      <c r="F21" s="6">
        <f>K19</f>
        <v>705.95238095238108</v>
      </c>
      <c r="G21" s="18">
        <v>5</v>
      </c>
      <c r="J21" s="1" t="s">
        <v>318</v>
      </c>
      <c r="K21" s="1">
        <f>角色成长!L15</f>
        <v>150</v>
      </c>
      <c r="L21" s="3" t="s">
        <v>317</v>
      </c>
      <c r="P21" s="6">
        <f>MAX(P24:P123)</f>
        <v>93929.469890216904</v>
      </c>
      <c r="X21" s="1" t="s">
        <v>322</v>
      </c>
    </row>
    <row r="22" spans="3:32" ht="14.25" customHeight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105892.85714285716</v>
      </c>
      <c r="P22" s="1">
        <f>10000</f>
        <v>10000</v>
      </c>
      <c r="X22" s="1">
        <v>9</v>
      </c>
    </row>
    <row r="23" spans="3:32" ht="14.25" customHeight="1" x14ac:dyDescent="0.2">
      <c r="D23" s="1" t="s">
        <v>194</v>
      </c>
      <c r="E23" s="1" t="s">
        <v>153</v>
      </c>
      <c r="F23" s="1" t="s">
        <v>154</v>
      </c>
      <c r="G23" s="1" t="s">
        <v>145</v>
      </c>
      <c r="H23" s="18" t="s">
        <v>146</v>
      </c>
      <c r="I23" s="18" t="s">
        <v>147</v>
      </c>
      <c r="J23" s="18" t="s">
        <v>148</v>
      </c>
      <c r="M23" s="1" t="s">
        <v>172</v>
      </c>
      <c r="N23" s="1" t="s">
        <v>173</v>
      </c>
      <c r="O23" s="1" t="s">
        <v>174</v>
      </c>
      <c r="P23" s="1" t="s">
        <v>145</v>
      </c>
      <c r="Q23" s="18" t="s">
        <v>146</v>
      </c>
      <c r="R23" s="18" t="s">
        <v>147</v>
      </c>
      <c r="S23" s="18" t="s">
        <v>148</v>
      </c>
      <c r="T23" s="18" t="s">
        <v>175</v>
      </c>
      <c r="U23" s="18" t="s">
        <v>206</v>
      </c>
      <c r="V23" s="1" t="s">
        <v>320</v>
      </c>
      <c r="X23" s="1" t="s">
        <v>172</v>
      </c>
      <c r="Y23" s="1" t="s">
        <v>173</v>
      </c>
      <c r="Z23" s="1" t="s">
        <v>174</v>
      </c>
      <c r="AA23" s="1" t="s">
        <v>145</v>
      </c>
      <c r="AB23" s="1" t="s">
        <v>146</v>
      </c>
      <c r="AC23" s="1" t="s">
        <v>147</v>
      </c>
      <c r="AD23" s="1" t="s">
        <v>148</v>
      </c>
      <c r="AE23" s="1" t="s">
        <v>319</v>
      </c>
      <c r="AF23" s="1" t="s">
        <v>207</v>
      </c>
    </row>
    <row r="24" spans="3:32" ht="14.25" customHeight="1" x14ac:dyDescent="0.2">
      <c r="D24" s="1">
        <v>1</v>
      </c>
      <c r="E24" s="6">
        <f>E$21*E$22^($D24-1)</f>
        <v>20</v>
      </c>
      <c r="F24" s="6">
        <f t="shared" ref="F24:G39" si="2">F$21*F$22^($D24-1)</f>
        <v>705.95238095238108</v>
      </c>
      <c r="G24" s="6">
        <f t="shared" si="2"/>
        <v>5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2000</v>
      </c>
      <c r="O24" s="6">
        <f>F24*$K$21/(1+P24/$P$22)</f>
        <v>98504.983388704335</v>
      </c>
      <c r="P24" s="6">
        <f>G24*$K$21</f>
        <v>750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400</v>
      </c>
      <c r="Z24" s="6">
        <f>O24/$X$22</f>
        <v>10944.998154300481</v>
      </c>
      <c r="AA24" s="6">
        <f>P24</f>
        <v>750</v>
      </c>
      <c r="AB24" s="1">
        <f>Q24</f>
        <v>0.4</v>
      </c>
      <c r="AC24" s="1">
        <f t="shared" ref="AC24:AD24" si="3">R24</f>
        <v>1.5</v>
      </c>
      <c r="AD24" s="1">
        <f t="shared" si="3"/>
        <v>1</v>
      </c>
      <c r="AE24" s="1">
        <f>U24</f>
        <v>10</v>
      </c>
      <c r="AF24" s="36">
        <f>V24</f>
        <v>2.4999999999999996</v>
      </c>
    </row>
    <row r="25" spans="3:32" ht="14.25" customHeight="1" x14ac:dyDescent="0.2">
      <c r="D25" s="1">
        <v>2</v>
      </c>
      <c r="E25" s="6">
        <f>E$21*E$22^($D25-1)</f>
        <v>21</v>
      </c>
      <c r="F25" s="6">
        <f t="shared" si="2"/>
        <v>741.25000000000011</v>
      </c>
      <c r="G25" s="6">
        <f t="shared" si="2"/>
        <v>5.25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2100</v>
      </c>
      <c r="O25" s="6">
        <f t="shared" ref="O25:O88" si="4">F25*$K$21/(1+P25/$P$22)</f>
        <v>103070.68366164542</v>
      </c>
      <c r="P25" s="6">
        <f t="shared" ref="P25:P88" si="5">G25*$K$21</f>
        <v>787.5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6">E25*$K$21*(1-T25)/(1/U25)/(1+Q25*(R25-1))/N25</f>
        <v>2.4999999999999996</v>
      </c>
      <c r="X25" s="1">
        <v>2</v>
      </c>
      <c r="Y25" s="6">
        <f>2*N25/(1+$X$22)</f>
        <v>420</v>
      </c>
      <c r="Z25" s="6">
        <f>O25/$X$22</f>
        <v>11452.298184627269</v>
      </c>
      <c r="AA25" s="6">
        <f>P25</f>
        <v>787.5</v>
      </c>
      <c r="AB25" s="1">
        <f>Q25</f>
        <v>0.4</v>
      </c>
      <c r="AC25" s="1">
        <f t="shared" ref="AC25:AC26" si="7">R25</f>
        <v>1.5</v>
      </c>
      <c r="AD25" s="1">
        <f t="shared" ref="AD25:AD26" si="8">S25</f>
        <v>1</v>
      </c>
      <c r="AE25" s="1">
        <f>U25</f>
        <v>10</v>
      </c>
      <c r="AF25" s="36">
        <f>V25</f>
        <v>2.4999999999999996</v>
      </c>
    </row>
    <row r="26" spans="3:32" ht="14.25" customHeight="1" x14ac:dyDescent="0.2">
      <c r="D26" s="1">
        <v>3</v>
      </c>
      <c r="E26" s="6">
        <f t="shared" ref="E26:G57" si="9">E$21*E$22^($D26-1)</f>
        <v>22.05</v>
      </c>
      <c r="F26" s="6">
        <f t="shared" si="2"/>
        <v>778.31250000000011</v>
      </c>
      <c r="G26" s="6">
        <f t="shared" si="2"/>
        <v>5.5125000000000002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5:N88" si="10">E26*T26*$K$21/S26/(1+Q26*(R26-1))</f>
        <v>2205</v>
      </c>
      <c r="O26" s="6">
        <f t="shared" si="4"/>
        <v>107830.62979853376</v>
      </c>
      <c r="P26" s="6">
        <f t="shared" si="5"/>
        <v>826.875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6"/>
        <v>2.4999999999999996</v>
      </c>
      <c r="X26" s="1">
        <v>3</v>
      </c>
      <c r="Y26" s="6">
        <f t="shared" ref="Y26:Y89" si="11">2*N26/(1+$X$22)</f>
        <v>441</v>
      </c>
      <c r="Z26" s="6">
        <f t="shared" ref="Z26:Z89" si="12">O26/$X$22</f>
        <v>11981.181088725973</v>
      </c>
      <c r="AA26" s="6">
        <f t="shared" ref="AA26:AA89" si="13">P26</f>
        <v>826.875</v>
      </c>
      <c r="AB26" s="1">
        <f t="shared" ref="AB26:AB89" si="14">Q26</f>
        <v>0.4</v>
      </c>
      <c r="AC26" s="1">
        <f t="shared" si="7"/>
        <v>1.5</v>
      </c>
      <c r="AD26" s="1">
        <f t="shared" si="8"/>
        <v>1</v>
      </c>
      <c r="AE26" s="1">
        <f t="shared" ref="AE26:AE89" si="15">U26</f>
        <v>10</v>
      </c>
      <c r="AF26" s="36">
        <f t="shared" ref="AF26:AF89" si="16">V26</f>
        <v>2.4999999999999996</v>
      </c>
    </row>
    <row r="27" spans="3:32" ht="14.25" customHeight="1" x14ac:dyDescent="0.2">
      <c r="D27" s="1">
        <v>4</v>
      </c>
      <c r="E27" s="6">
        <f t="shared" si="9"/>
        <v>23.152500000000003</v>
      </c>
      <c r="F27" s="6">
        <f t="shared" si="2"/>
        <v>817.2281250000002</v>
      </c>
      <c r="G27" s="6">
        <f t="shared" si="2"/>
        <v>5.7881250000000009</v>
      </c>
      <c r="H27" s="1">
        <v>0.4</v>
      </c>
      <c r="I27" s="1">
        <v>1.5</v>
      </c>
      <c r="J27" s="1">
        <v>1</v>
      </c>
      <c r="M27" s="1">
        <v>4</v>
      </c>
      <c r="N27" s="6">
        <f t="shared" si="10"/>
        <v>2315.2500000000005</v>
      </c>
      <c r="O27" s="6">
        <f t="shared" si="4"/>
        <v>112791.45329127648</v>
      </c>
      <c r="P27" s="6">
        <f t="shared" si="5"/>
        <v>868.21875000000011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6"/>
        <v>2.4999999999999991</v>
      </c>
      <c r="X27" s="1">
        <v>4</v>
      </c>
      <c r="Y27" s="6">
        <f t="shared" si="11"/>
        <v>463.05000000000007</v>
      </c>
      <c r="Z27" s="6">
        <f t="shared" si="12"/>
        <v>12532.383699030721</v>
      </c>
      <c r="AA27" s="6">
        <f t="shared" si="13"/>
        <v>868.21875000000011</v>
      </c>
      <c r="AB27" s="1">
        <f t="shared" si="14"/>
        <v>0.4</v>
      </c>
      <c r="AC27" s="1">
        <f t="shared" ref="AC27:AC90" si="17">R27</f>
        <v>1.5</v>
      </c>
      <c r="AD27" s="1">
        <f t="shared" ref="AD27:AD90" si="18">S27</f>
        <v>1</v>
      </c>
      <c r="AE27" s="1">
        <f t="shared" si="15"/>
        <v>10</v>
      </c>
      <c r="AF27" s="36">
        <f t="shared" si="16"/>
        <v>2.4999999999999991</v>
      </c>
    </row>
    <row r="28" spans="3:32" ht="14.25" customHeight="1" x14ac:dyDescent="0.2">
      <c r="D28" s="1">
        <v>5</v>
      </c>
      <c r="E28" s="6">
        <f t="shared" si="9"/>
        <v>24.310124999999999</v>
      </c>
      <c r="F28" s="6">
        <f t="shared" si="2"/>
        <v>858.08953125000016</v>
      </c>
      <c r="G28" s="6">
        <f t="shared" si="2"/>
        <v>6.0775312499999998</v>
      </c>
      <c r="H28" s="1">
        <v>0.4</v>
      </c>
      <c r="I28" s="1">
        <v>1.5</v>
      </c>
      <c r="J28" s="1">
        <v>1</v>
      </c>
      <c r="M28" s="1">
        <v>5</v>
      </c>
      <c r="N28" s="6">
        <f t="shared" si="10"/>
        <v>2431.0125000000003</v>
      </c>
      <c r="O28" s="6">
        <f t="shared" si="4"/>
        <v>117959.85876880505</v>
      </c>
      <c r="P28" s="6">
        <f t="shared" si="5"/>
        <v>911.62968749999993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6"/>
        <v>2.4999999999999991</v>
      </c>
      <c r="X28" s="1">
        <v>5</v>
      </c>
      <c r="Y28" s="6">
        <f t="shared" si="11"/>
        <v>486.20250000000004</v>
      </c>
      <c r="Z28" s="6">
        <f t="shared" si="12"/>
        <v>13106.650974311671</v>
      </c>
      <c r="AA28" s="6">
        <f t="shared" si="13"/>
        <v>911.62968749999993</v>
      </c>
      <c r="AB28" s="1">
        <f t="shared" si="14"/>
        <v>0.4</v>
      </c>
      <c r="AC28" s="1">
        <f t="shared" si="17"/>
        <v>1.5</v>
      </c>
      <c r="AD28" s="1">
        <f t="shared" si="18"/>
        <v>1</v>
      </c>
      <c r="AE28" s="1">
        <f t="shared" si="15"/>
        <v>10</v>
      </c>
      <c r="AF28" s="36">
        <f t="shared" si="16"/>
        <v>2.4999999999999991</v>
      </c>
    </row>
    <row r="29" spans="3:32" ht="14.25" customHeight="1" x14ac:dyDescent="0.2">
      <c r="D29" s="1">
        <v>6</v>
      </c>
      <c r="E29" s="6">
        <f t="shared" si="9"/>
        <v>25.525631250000004</v>
      </c>
      <c r="F29" s="6">
        <f t="shared" si="2"/>
        <v>900.99400781250029</v>
      </c>
      <c r="G29" s="6">
        <f t="shared" si="2"/>
        <v>6.3814078125000009</v>
      </c>
      <c r="H29" s="1">
        <v>0.4</v>
      </c>
      <c r="I29" s="1">
        <v>1.5</v>
      </c>
      <c r="J29" s="1">
        <v>1</v>
      </c>
      <c r="M29" s="1">
        <v>6</v>
      </c>
      <c r="N29" s="6">
        <f t="shared" si="10"/>
        <v>2552.563125000001</v>
      </c>
      <c r="O29" s="6">
        <f t="shared" si="4"/>
        <v>123342.60885541399</v>
      </c>
      <c r="P29" s="6">
        <f t="shared" si="5"/>
        <v>957.2111718750001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6"/>
        <v>2.4999999999999987</v>
      </c>
      <c r="X29" s="1">
        <v>6</v>
      </c>
      <c r="Y29" s="6">
        <f t="shared" si="11"/>
        <v>510.51262500000018</v>
      </c>
      <c r="Z29" s="6">
        <f t="shared" si="12"/>
        <v>13704.734317268221</v>
      </c>
      <c r="AA29" s="6">
        <f t="shared" si="13"/>
        <v>957.2111718750001</v>
      </c>
      <c r="AB29" s="1">
        <f t="shared" si="14"/>
        <v>0.4</v>
      </c>
      <c r="AC29" s="1">
        <f t="shared" si="17"/>
        <v>1.5</v>
      </c>
      <c r="AD29" s="1">
        <f t="shared" si="18"/>
        <v>1</v>
      </c>
      <c r="AE29" s="1">
        <f t="shared" si="15"/>
        <v>10</v>
      </c>
      <c r="AF29" s="36">
        <f t="shared" si="16"/>
        <v>2.4999999999999987</v>
      </c>
    </row>
    <row r="30" spans="3:32" ht="14.25" customHeight="1" x14ac:dyDescent="0.2">
      <c r="D30" s="1">
        <v>7</v>
      </c>
      <c r="E30" s="6">
        <f t="shared" si="9"/>
        <v>26.801912812499999</v>
      </c>
      <c r="F30" s="6">
        <f t="shared" si="2"/>
        <v>946.04370820312511</v>
      </c>
      <c r="G30" s="6">
        <f t="shared" si="2"/>
        <v>6.7004782031249999</v>
      </c>
      <c r="H30" s="1">
        <v>0.4</v>
      </c>
      <c r="I30" s="1">
        <v>1.5</v>
      </c>
      <c r="J30" s="1">
        <v>1</v>
      </c>
      <c r="M30" s="1">
        <v>7</v>
      </c>
      <c r="N30" s="6">
        <f t="shared" si="10"/>
        <v>2680.19128125</v>
      </c>
      <c r="O30" s="6">
        <f t="shared" si="4"/>
        <v>128946.50730679464</v>
      </c>
      <c r="P30" s="6">
        <f t="shared" si="5"/>
        <v>1005.0717304687499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6"/>
        <v>2.4999999999999991</v>
      </c>
      <c r="X30" s="1">
        <v>7</v>
      </c>
      <c r="Y30" s="6">
        <f t="shared" si="11"/>
        <v>536.03825625000002</v>
      </c>
      <c r="Z30" s="6">
        <f t="shared" si="12"/>
        <v>14327.38970075496</v>
      </c>
      <c r="AA30" s="6">
        <f t="shared" si="13"/>
        <v>1005.0717304687499</v>
      </c>
      <c r="AB30" s="1">
        <f t="shared" si="14"/>
        <v>0.4</v>
      </c>
      <c r="AC30" s="1">
        <f t="shared" si="17"/>
        <v>1.5</v>
      </c>
      <c r="AD30" s="1">
        <f t="shared" si="18"/>
        <v>1</v>
      </c>
      <c r="AE30" s="1">
        <f t="shared" si="15"/>
        <v>10</v>
      </c>
      <c r="AF30" s="36">
        <f t="shared" si="16"/>
        <v>2.4999999999999991</v>
      </c>
    </row>
    <row r="31" spans="3:32" ht="14.25" customHeight="1" x14ac:dyDescent="0.2">
      <c r="D31" s="1">
        <v>8</v>
      </c>
      <c r="E31" s="6">
        <f t="shared" si="9"/>
        <v>28.142008453125005</v>
      </c>
      <c r="F31" s="6">
        <f t="shared" si="2"/>
        <v>993.34589361328165</v>
      </c>
      <c r="G31" s="6">
        <f t="shared" si="2"/>
        <v>7.0355021132812512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0"/>
        <v>2814.2008453125004</v>
      </c>
      <c r="O31" s="6">
        <f t="shared" si="4"/>
        <v>134778.38034578168</v>
      </c>
      <c r="P31" s="6">
        <f t="shared" si="5"/>
        <v>1055.3253169921877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6"/>
        <v>2.4999999999999996</v>
      </c>
      <c r="X31" s="1">
        <v>8</v>
      </c>
      <c r="Y31" s="6">
        <f t="shared" si="11"/>
        <v>562.84016906250008</v>
      </c>
      <c r="Z31" s="6">
        <f t="shared" si="12"/>
        <v>14975.375593975743</v>
      </c>
      <c r="AA31" s="6">
        <f t="shared" si="13"/>
        <v>1055.3253169921877</v>
      </c>
      <c r="AB31" s="1">
        <f t="shared" si="14"/>
        <v>0.4</v>
      </c>
      <c r="AC31" s="1">
        <f t="shared" si="17"/>
        <v>1.5</v>
      </c>
      <c r="AD31" s="1">
        <f t="shared" si="18"/>
        <v>1</v>
      </c>
      <c r="AE31" s="1">
        <f t="shared" si="15"/>
        <v>10</v>
      </c>
      <c r="AF31" s="36">
        <f t="shared" si="16"/>
        <v>2.4999999999999996</v>
      </c>
    </row>
    <row r="32" spans="3:32" ht="14.25" customHeight="1" x14ac:dyDescent="0.2">
      <c r="D32" s="1">
        <v>9</v>
      </c>
      <c r="E32" s="6">
        <f t="shared" si="9"/>
        <v>29.549108875781251</v>
      </c>
      <c r="F32" s="6">
        <f t="shared" si="2"/>
        <v>1043.0131882939456</v>
      </c>
      <c r="G32" s="6">
        <f t="shared" si="2"/>
        <v>7.3872772189453126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0"/>
        <v>2954.9108875781253</v>
      </c>
      <c r="O32" s="6">
        <f t="shared" si="4"/>
        <v>140845.05612625365</v>
      </c>
      <c r="P32" s="6">
        <f t="shared" si="5"/>
        <v>1108.0915828417969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6"/>
        <v>2.4999999999999996</v>
      </c>
      <c r="X32" s="1">
        <v>9</v>
      </c>
      <c r="Y32" s="6">
        <f t="shared" si="11"/>
        <v>590.98217751562504</v>
      </c>
      <c r="Z32" s="6">
        <f t="shared" si="12"/>
        <v>15649.45068069485</v>
      </c>
      <c r="AA32" s="6">
        <f t="shared" si="13"/>
        <v>1108.0915828417969</v>
      </c>
      <c r="AB32" s="1">
        <f t="shared" si="14"/>
        <v>0.4</v>
      </c>
      <c r="AC32" s="1">
        <f t="shared" si="17"/>
        <v>1.5</v>
      </c>
      <c r="AD32" s="1">
        <f t="shared" si="18"/>
        <v>1</v>
      </c>
      <c r="AE32" s="1">
        <f t="shared" si="15"/>
        <v>10</v>
      </c>
      <c r="AF32" s="36">
        <f t="shared" si="16"/>
        <v>2.4999999999999996</v>
      </c>
    </row>
    <row r="33" spans="4:32" ht="14.25" customHeight="1" x14ac:dyDescent="0.2">
      <c r="D33" s="1">
        <v>10</v>
      </c>
      <c r="E33" s="6">
        <f t="shared" si="9"/>
        <v>31.026564319570316</v>
      </c>
      <c r="F33" s="6">
        <f t="shared" si="2"/>
        <v>1095.1638477086428</v>
      </c>
      <c r="G33" s="6">
        <f t="shared" si="2"/>
        <v>7.7566410798925789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0"/>
        <v>3102.6564319570316</v>
      </c>
      <c r="O33" s="6">
        <f t="shared" si="4"/>
        <v>147153.34226182316</v>
      </c>
      <c r="P33" s="6">
        <f t="shared" si="5"/>
        <v>1163.4961619838869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6"/>
        <v>2.4999999999999996</v>
      </c>
      <c r="X33" s="1">
        <v>10</v>
      </c>
      <c r="Y33" s="6">
        <f t="shared" si="11"/>
        <v>620.5312863914063</v>
      </c>
      <c r="Z33" s="6">
        <f t="shared" si="12"/>
        <v>16350.371362424796</v>
      </c>
      <c r="AA33" s="6">
        <f t="shared" si="13"/>
        <v>1163.4961619838869</v>
      </c>
      <c r="AB33" s="1">
        <f t="shared" si="14"/>
        <v>0.4</v>
      </c>
      <c r="AC33" s="1">
        <f t="shared" si="17"/>
        <v>1.5</v>
      </c>
      <c r="AD33" s="1">
        <f t="shared" si="18"/>
        <v>1</v>
      </c>
      <c r="AE33" s="1">
        <f t="shared" si="15"/>
        <v>10</v>
      </c>
      <c r="AF33" s="36">
        <f t="shared" si="16"/>
        <v>2.4999999999999996</v>
      </c>
    </row>
    <row r="34" spans="4:32" ht="14.25" customHeight="1" x14ac:dyDescent="0.2">
      <c r="D34" s="1">
        <v>11</v>
      </c>
      <c r="E34" s="6">
        <f t="shared" si="9"/>
        <v>32.577892535548834</v>
      </c>
      <c r="F34" s="6">
        <f t="shared" si="2"/>
        <v>1149.9220400940751</v>
      </c>
      <c r="G34" s="6">
        <f t="shared" si="2"/>
        <v>8.1444731338872085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0"/>
        <v>3257.7892535548835</v>
      </c>
      <c r="O34" s="6">
        <f t="shared" si="4"/>
        <v>153710.00136607481</v>
      </c>
      <c r="P34" s="6">
        <f t="shared" si="5"/>
        <v>1221.6709700830813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6"/>
        <v>2.4999999999999991</v>
      </c>
      <c r="X34" s="1">
        <v>11</v>
      </c>
      <c r="Y34" s="6">
        <f t="shared" si="11"/>
        <v>651.55785071097671</v>
      </c>
      <c r="Z34" s="6">
        <f t="shared" si="12"/>
        <v>17078.889040674978</v>
      </c>
      <c r="AA34" s="6">
        <f t="shared" si="13"/>
        <v>1221.6709700830813</v>
      </c>
      <c r="AB34" s="1">
        <f t="shared" si="14"/>
        <v>0.4</v>
      </c>
      <c r="AC34" s="1">
        <f t="shared" si="17"/>
        <v>1.5</v>
      </c>
      <c r="AD34" s="1">
        <f t="shared" si="18"/>
        <v>1</v>
      </c>
      <c r="AE34" s="1">
        <f t="shared" si="15"/>
        <v>10</v>
      </c>
      <c r="AF34" s="36">
        <f t="shared" si="16"/>
        <v>2.4999999999999991</v>
      </c>
    </row>
    <row r="35" spans="4:32" ht="14.25" customHeight="1" x14ac:dyDescent="0.2">
      <c r="D35" s="1">
        <v>12</v>
      </c>
      <c r="E35" s="6">
        <f t="shared" si="9"/>
        <v>34.206787162326279</v>
      </c>
      <c r="F35" s="6">
        <f t="shared" si="2"/>
        <v>1207.4181420987788</v>
      </c>
      <c r="G35" s="6">
        <f t="shared" si="2"/>
        <v>8.5516967905815697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0"/>
        <v>3420.6787162326282</v>
      </c>
      <c r="O35" s="6">
        <f t="shared" si="4"/>
        <v>160521.72456331592</v>
      </c>
      <c r="P35" s="6">
        <f t="shared" si="5"/>
        <v>1282.7545185872355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6"/>
        <v>2.4999999999999996</v>
      </c>
      <c r="X35" s="1">
        <v>12</v>
      </c>
      <c r="Y35" s="6">
        <f t="shared" si="11"/>
        <v>684.13574324652564</v>
      </c>
      <c r="Z35" s="6">
        <f t="shared" si="12"/>
        <v>17835.747173701769</v>
      </c>
      <c r="AA35" s="6">
        <f t="shared" si="13"/>
        <v>1282.7545185872355</v>
      </c>
      <c r="AB35" s="1">
        <f t="shared" si="14"/>
        <v>0.4</v>
      </c>
      <c r="AC35" s="1">
        <f t="shared" si="17"/>
        <v>1.5</v>
      </c>
      <c r="AD35" s="1">
        <f t="shared" si="18"/>
        <v>1</v>
      </c>
      <c r="AE35" s="1">
        <f t="shared" si="15"/>
        <v>10</v>
      </c>
      <c r="AF35" s="36">
        <f t="shared" si="16"/>
        <v>2.4999999999999996</v>
      </c>
    </row>
    <row r="36" spans="4:32" ht="14.25" customHeight="1" x14ac:dyDescent="0.2">
      <c r="D36" s="1">
        <v>13</v>
      </c>
      <c r="E36" s="6">
        <f t="shared" si="9"/>
        <v>35.917126520442586</v>
      </c>
      <c r="F36" s="6">
        <f t="shared" si="2"/>
        <v>1267.7890492037177</v>
      </c>
      <c r="G36" s="6">
        <f t="shared" si="2"/>
        <v>8.9792816301106466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0"/>
        <v>3591.7126520442589</v>
      </c>
      <c r="O36" s="6">
        <f t="shared" si="4"/>
        <v>167595.102943237</v>
      </c>
      <c r="P36" s="6">
        <f t="shared" si="5"/>
        <v>1346.892244516597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6"/>
        <v>2.4999999999999987</v>
      </c>
      <c r="X36" s="1">
        <v>13</v>
      </c>
      <c r="Y36" s="6">
        <f t="shared" si="11"/>
        <v>718.34253040885176</v>
      </c>
      <c r="Z36" s="6">
        <f t="shared" si="12"/>
        <v>18621.678104804112</v>
      </c>
      <c r="AA36" s="6">
        <f t="shared" si="13"/>
        <v>1346.892244516597</v>
      </c>
      <c r="AB36" s="1">
        <f t="shared" si="14"/>
        <v>0.4</v>
      </c>
      <c r="AC36" s="1">
        <f t="shared" si="17"/>
        <v>1.5</v>
      </c>
      <c r="AD36" s="1">
        <f t="shared" si="18"/>
        <v>1</v>
      </c>
      <c r="AE36" s="1">
        <f t="shared" si="15"/>
        <v>10</v>
      </c>
      <c r="AF36" s="36">
        <f t="shared" si="16"/>
        <v>2.4999999999999987</v>
      </c>
    </row>
    <row r="37" spans="4:32" ht="14.25" customHeight="1" x14ac:dyDescent="0.2">
      <c r="D37" s="1">
        <v>14</v>
      </c>
      <c r="E37" s="6">
        <f t="shared" si="9"/>
        <v>37.712982846464719</v>
      </c>
      <c r="F37" s="6">
        <f t="shared" si="2"/>
        <v>1331.1785016639037</v>
      </c>
      <c r="G37" s="6">
        <f t="shared" si="2"/>
        <v>9.4282457116161797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0"/>
        <v>3771.2982846464724</v>
      </c>
      <c r="O37" s="6">
        <f t="shared" si="4"/>
        <v>174936.59694965574</v>
      </c>
      <c r="P37" s="6">
        <f t="shared" si="5"/>
        <v>1414.2368567424269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6"/>
        <v>2.4999999999999987</v>
      </c>
      <c r="X37" s="1">
        <v>14</v>
      </c>
      <c r="Y37" s="6">
        <f t="shared" si="11"/>
        <v>754.25965692929447</v>
      </c>
      <c r="Z37" s="6">
        <f t="shared" si="12"/>
        <v>19437.399661072861</v>
      </c>
      <c r="AA37" s="6">
        <f t="shared" si="13"/>
        <v>1414.2368567424269</v>
      </c>
      <c r="AB37" s="1">
        <f t="shared" si="14"/>
        <v>0.4</v>
      </c>
      <c r="AC37" s="1">
        <f t="shared" si="17"/>
        <v>1.5</v>
      </c>
      <c r="AD37" s="1">
        <f t="shared" si="18"/>
        <v>1</v>
      </c>
      <c r="AE37" s="1">
        <f t="shared" si="15"/>
        <v>10</v>
      </c>
      <c r="AF37" s="36">
        <f t="shared" si="16"/>
        <v>2.4999999999999987</v>
      </c>
    </row>
    <row r="38" spans="4:32" ht="14.25" customHeight="1" x14ac:dyDescent="0.2">
      <c r="D38" s="1">
        <v>15</v>
      </c>
      <c r="E38" s="6">
        <f t="shared" si="9"/>
        <v>39.598631988787943</v>
      </c>
      <c r="F38" s="6">
        <f t="shared" si="2"/>
        <v>1397.7374267470987</v>
      </c>
      <c r="G38" s="6">
        <f t="shared" si="2"/>
        <v>9.8996579971969858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0"/>
        <v>3959.8631988787947</v>
      </c>
      <c r="O38" s="6">
        <f t="shared" si="4"/>
        <v>182552.50371274212</v>
      </c>
      <c r="P38" s="6">
        <f t="shared" si="5"/>
        <v>1484.9486995795478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6"/>
        <v>2.4999999999999987</v>
      </c>
      <c r="X38" s="1">
        <v>15</v>
      </c>
      <c r="Y38" s="6">
        <f t="shared" si="11"/>
        <v>791.97263977575892</v>
      </c>
      <c r="Z38" s="6">
        <f t="shared" si="12"/>
        <v>20283.611523638014</v>
      </c>
      <c r="AA38" s="6">
        <f t="shared" si="13"/>
        <v>1484.9486995795478</v>
      </c>
      <c r="AB38" s="1">
        <f t="shared" si="14"/>
        <v>0.4</v>
      </c>
      <c r="AC38" s="1">
        <f t="shared" si="17"/>
        <v>1.5</v>
      </c>
      <c r="AD38" s="1">
        <f t="shared" si="18"/>
        <v>1</v>
      </c>
      <c r="AE38" s="1">
        <f t="shared" si="15"/>
        <v>10</v>
      </c>
      <c r="AF38" s="36">
        <f t="shared" si="16"/>
        <v>2.4999999999999987</v>
      </c>
    </row>
    <row r="39" spans="4:32" ht="14.25" customHeight="1" x14ac:dyDescent="0.2">
      <c r="D39" s="1">
        <v>16</v>
      </c>
      <c r="E39" s="6">
        <f t="shared" si="9"/>
        <v>41.578563588227354</v>
      </c>
      <c r="F39" s="6">
        <f t="shared" si="2"/>
        <v>1467.624298084454</v>
      </c>
      <c r="G39" s="6">
        <f t="shared" si="2"/>
        <v>10.394640897056838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0"/>
        <v>4157.8563588227362</v>
      </c>
      <c r="O39" s="6">
        <f t="shared" si="4"/>
        <v>190448.92235585893</v>
      </c>
      <c r="P39" s="6">
        <f t="shared" si="5"/>
        <v>1559.1961345585257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6"/>
        <v>2.4999999999999987</v>
      </c>
      <c r="X39" s="1">
        <v>16</v>
      </c>
      <c r="Y39" s="6">
        <f t="shared" si="11"/>
        <v>831.57127176454719</v>
      </c>
      <c r="Z39" s="6">
        <f t="shared" si="12"/>
        <v>21160.991372873214</v>
      </c>
      <c r="AA39" s="6">
        <f t="shared" si="13"/>
        <v>1559.1961345585257</v>
      </c>
      <c r="AB39" s="1">
        <f t="shared" si="14"/>
        <v>0.4</v>
      </c>
      <c r="AC39" s="1">
        <f t="shared" si="17"/>
        <v>1.5</v>
      </c>
      <c r="AD39" s="1">
        <f t="shared" si="18"/>
        <v>1</v>
      </c>
      <c r="AE39" s="1">
        <f t="shared" si="15"/>
        <v>10</v>
      </c>
      <c r="AF39" s="36">
        <f t="shared" si="16"/>
        <v>2.4999999999999987</v>
      </c>
    </row>
    <row r="40" spans="4:32" ht="14.25" customHeight="1" x14ac:dyDescent="0.2">
      <c r="D40" s="1">
        <v>17</v>
      </c>
      <c r="E40" s="6">
        <f t="shared" si="9"/>
        <v>43.657491767638717</v>
      </c>
      <c r="F40" s="6">
        <f t="shared" si="9"/>
        <v>1541.0055129886766</v>
      </c>
      <c r="G40" s="6">
        <f t="shared" si="9"/>
        <v>10.914372941909679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0"/>
        <v>4365.7491767638721</v>
      </c>
      <c r="O40" s="6">
        <f t="shared" si="4"/>
        <v>198631.71733242966</v>
      </c>
      <c r="P40" s="6">
        <f t="shared" si="5"/>
        <v>1637.1559412864519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6"/>
        <v>2.4999999999999991</v>
      </c>
      <c r="X40" s="1">
        <v>17</v>
      </c>
      <c r="Y40" s="6">
        <f t="shared" si="11"/>
        <v>873.1498353527744</v>
      </c>
      <c r="Z40" s="6">
        <f t="shared" si="12"/>
        <v>22070.190814714406</v>
      </c>
      <c r="AA40" s="6">
        <f t="shared" si="13"/>
        <v>1637.1559412864519</v>
      </c>
      <c r="AB40" s="1">
        <f t="shared" si="14"/>
        <v>0.4</v>
      </c>
      <c r="AC40" s="1">
        <f t="shared" si="17"/>
        <v>1.5</v>
      </c>
      <c r="AD40" s="1">
        <f t="shared" si="18"/>
        <v>1</v>
      </c>
      <c r="AE40" s="1">
        <f t="shared" si="15"/>
        <v>10</v>
      </c>
      <c r="AF40" s="36">
        <f t="shared" si="16"/>
        <v>2.4999999999999991</v>
      </c>
    </row>
    <row r="41" spans="4:32" ht="14.25" customHeight="1" x14ac:dyDescent="0.2">
      <c r="D41" s="1">
        <v>18</v>
      </c>
      <c r="E41" s="6">
        <f t="shared" si="9"/>
        <v>45.840366356020667</v>
      </c>
      <c r="F41" s="6">
        <f t="shared" si="9"/>
        <v>1618.0557886381107</v>
      </c>
      <c r="G41" s="6">
        <f t="shared" si="9"/>
        <v>11.460091589005167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0"/>
        <v>4584.0366356020677</v>
      </c>
      <c r="O41" s="6">
        <f t="shared" si="4"/>
        <v>207106.47987504888</v>
      </c>
      <c r="P41" s="6">
        <f t="shared" si="5"/>
        <v>1719.0137383507749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6"/>
        <v>2.4999999999999987</v>
      </c>
      <c r="X41" s="1">
        <v>18</v>
      </c>
      <c r="Y41" s="6">
        <f t="shared" si="11"/>
        <v>916.80732712041356</v>
      </c>
      <c r="Z41" s="6">
        <f t="shared" si="12"/>
        <v>23011.831097227652</v>
      </c>
      <c r="AA41" s="6">
        <f t="shared" si="13"/>
        <v>1719.0137383507749</v>
      </c>
      <c r="AB41" s="1">
        <f t="shared" si="14"/>
        <v>0.4</v>
      </c>
      <c r="AC41" s="1">
        <f t="shared" si="17"/>
        <v>1.5</v>
      </c>
      <c r="AD41" s="1">
        <f t="shared" si="18"/>
        <v>1</v>
      </c>
      <c r="AE41" s="1">
        <f t="shared" si="15"/>
        <v>10</v>
      </c>
      <c r="AF41" s="36">
        <f t="shared" si="16"/>
        <v>2.4999999999999987</v>
      </c>
    </row>
    <row r="42" spans="4:32" ht="14.25" customHeight="1" x14ac:dyDescent="0.2">
      <c r="D42" s="1">
        <v>19</v>
      </c>
      <c r="E42" s="6">
        <f t="shared" si="9"/>
        <v>48.132384673821697</v>
      </c>
      <c r="F42" s="6">
        <f t="shared" si="9"/>
        <v>1698.9585780700161</v>
      </c>
      <c r="G42" s="6">
        <f t="shared" si="9"/>
        <v>12.033096168455424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0"/>
        <v>4813.2384673821707</v>
      </c>
      <c r="O42" s="6">
        <f t="shared" si="4"/>
        <v>215878.48766830153</v>
      </c>
      <c r="P42" s="6">
        <f t="shared" si="5"/>
        <v>1804.9644252683136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6"/>
        <v>2.4999999999999987</v>
      </c>
      <c r="X42" s="1">
        <v>19</v>
      </c>
      <c r="Y42" s="6">
        <f t="shared" si="11"/>
        <v>962.64769347643414</v>
      </c>
      <c r="Z42" s="6">
        <f t="shared" si="12"/>
        <v>23986.498629811282</v>
      </c>
      <c r="AA42" s="6">
        <f t="shared" si="13"/>
        <v>1804.9644252683136</v>
      </c>
      <c r="AB42" s="1">
        <f t="shared" si="14"/>
        <v>0.4</v>
      </c>
      <c r="AC42" s="1">
        <f t="shared" si="17"/>
        <v>1.5</v>
      </c>
      <c r="AD42" s="1">
        <f t="shared" si="18"/>
        <v>1</v>
      </c>
      <c r="AE42" s="1">
        <f t="shared" si="15"/>
        <v>10</v>
      </c>
      <c r="AF42" s="36">
        <f t="shared" si="16"/>
        <v>2.4999999999999987</v>
      </c>
    </row>
    <row r="43" spans="4:32" ht="14.25" customHeight="1" x14ac:dyDescent="0.2">
      <c r="D43" s="1">
        <v>20</v>
      </c>
      <c r="E43" s="6">
        <f t="shared" si="9"/>
        <v>50.539003907512779</v>
      </c>
      <c r="F43" s="6">
        <f t="shared" si="9"/>
        <v>1783.906506973517</v>
      </c>
      <c r="G43" s="6">
        <f t="shared" si="9"/>
        <v>12.634750976878195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0"/>
        <v>5053.9003907512779</v>
      </c>
      <c r="O43" s="6">
        <f t="shared" si="4"/>
        <v>224952.66288833198</v>
      </c>
      <c r="P43" s="6">
        <f t="shared" si="5"/>
        <v>1895.2126465317292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6"/>
        <v>2.4999999999999996</v>
      </c>
      <c r="X43" s="1">
        <v>20</v>
      </c>
      <c r="Y43" s="6">
        <f t="shared" si="11"/>
        <v>1010.7800781502556</v>
      </c>
      <c r="Z43" s="6">
        <f t="shared" si="12"/>
        <v>24994.740320925775</v>
      </c>
      <c r="AA43" s="6">
        <f t="shared" si="13"/>
        <v>1895.2126465317292</v>
      </c>
      <c r="AB43" s="1">
        <f t="shared" si="14"/>
        <v>0.4</v>
      </c>
      <c r="AC43" s="1">
        <f t="shared" si="17"/>
        <v>1.5</v>
      </c>
      <c r="AD43" s="1">
        <f t="shared" si="18"/>
        <v>1</v>
      </c>
      <c r="AE43" s="1">
        <f t="shared" si="15"/>
        <v>10</v>
      </c>
      <c r="AF43" s="36">
        <f t="shared" si="16"/>
        <v>2.4999999999999996</v>
      </c>
    </row>
    <row r="44" spans="4:32" ht="14.25" customHeight="1" x14ac:dyDescent="0.2">
      <c r="D44" s="1">
        <v>21</v>
      </c>
      <c r="E44" s="6">
        <f t="shared" si="9"/>
        <v>53.065954102888419</v>
      </c>
      <c r="F44" s="6">
        <f t="shared" si="9"/>
        <v>1873.1018323221926</v>
      </c>
      <c r="G44" s="6">
        <f t="shared" si="9"/>
        <v>13.266488525722105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0"/>
        <v>5306.5954102888427</v>
      </c>
      <c r="O44" s="6">
        <f t="shared" si="4"/>
        <v>234333.52878588098</v>
      </c>
      <c r="P44" s="6">
        <f t="shared" si="5"/>
        <v>1989.9732788583158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6"/>
        <v>2.4999999999999991</v>
      </c>
      <c r="X44" s="1">
        <v>21</v>
      </c>
      <c r="Y44" s="6">
        <f t="shared" si="11"/>
        <v>1061.3190820577686</v>
      </c>
      <c r="Z44" s="6">
        <f t="shared" si="12"/>
        <v>26037.058753986774</v>
      </c>
      <c r="AA44" s="6">
        <f t="shared" si="13"/>
        <v>1989.9732788583158</v>
      </c>
      <c r="AB44" s="1">
        <f t="shared" si="14"/>
        <v>0.4</v>
      </c>
      <c r="AC44" s="1">
        <f t="shared" si="17"/>
        <v>1.5</v>
      </c>
      <c r="AD44" s="1">
        <f t="shared" si="18"/>
        <v>1</v>
      </c>
      <c r="AE44" s="1">
        <f t="shared" si="15"/>
        <v>10</v>
      </c>
      <c r="AF44" s="36">
        <f t="shared" si="16"/>
        <v>2.4999999999999991</v>
      </c>
    </row>
    <row r="45" spans="4:32" ht="14.25" customHeight="1" x14ac:dyDescent="0.2">
      <c r="D45" s="1">
        <v>22</v>
      </c>
      <c r="E45" s="6">
        <f t="shared" si="9"/>
        <v>55.719251808032837</v>
      </c>
      <c r="F45" s="6">
        <f t="shared" si="9"/>
        <v>1966.7569239383022</v>
      </c>
      <c r="G45" s="6">
        <f t="shared" si="9"/>
        <v>13.929812952008209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0"/>
        <v>5571.9251808032841</v>
      </c>
      <c r="O45" s="6">
        <f t="shared" si="4"/>
        <v>244025.16502502278</v>
      </c>
      <c r="P45" s="6">
        <f t="shared" si="5"/>
        <v>2089.4719428012313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6"/>
        <v>2.4999999999999991</v>
      </c>
      <c r="X45" s="1">
        <v>22</v>
      </c>
      <c r="Y45" s="6">
        <f t="shared" si="11"/>
        <v>1114.3850361606569</v>
      </c>
      <c r="Z45" s="6">
        <f t="shared" si="12"/>
        <v>27113.907225002531</v>
      </c>
      <c r="AA45" s="6">
        <f t="shared" si="13"/>
        <v>2089.4719428012313</v>
      </c>
      <c r="AB45" s="1">
        <f t="shared" si="14"/>
        <v>0.4</v>
      </c>
      <c r="AC45" s="1">
        <f t="shared" si="17"/>
        <v>1.5</v>
      </c>
      <c r="AD45" s="1">
        <f t="shared" si="18"/>
        <v>1</v>
      </c>
      <c r="AE45" s="1">
        <f t="shared" si="15"/>
        <v>10</v>
      </c>
      <c r="AF45" s="36">
        <f t="shared" si="16"/>
        <v>2.4999999999999991</v>
      </c>
    </row>
    <row r="46" spans="4:32" ht="14.25" customHeight="1" x14ac:dyDescent="0.2">
      <c r="D46" s="1">
        <v>23</v>
      </c>
      <c r="E46" s="6">
        <f t="shared" si="9"/>
        <v>58.505214398434475</v>
      </c>
      <c r="F46" s="6">
        <f t="shared" si="9"/>
        <v>2065.0947701352175</v>
      </c>
      <c r="G46" s="6">
        <f t="shared" si="9"/>
        <v>14.626303599608619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0"/>
        <v>5850.5214398434482</v>
      </c>
      <c r="O46" s="6">
        <f t="shared" si="4"/>
        <v>254031.16202680199</v>
      </c>
      <c r="P46" s="6">
        <f t="shared" si="5"/>
        <v>2193.9455399412927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6"/>
        <v>2.4999999999999987</v>
      </c>
      <c r="X46" s="1">
        <v>23</v>
      </c>
      <c r="Y46" s="6">
        <f t="shared" si="11"/>
        <v>1170.1042879686897</v>
      </c>
      <c r="Z46" s="6">
        <f t="shared" si="12"/>
        <v>28225.684669644666</v>
      </c>
      <c r="AA46" s="6">
        <f t="shared" si="13"/>
        <v>2193.9455399412927</v>
      </c>
      <c r="AB46" s="1">
        <f t="shared" si="14"/>
        <v>0.4</v>
      </c>
      <c r="AC46" s="1">
        <f t="shared" si="17"/>
        <v>1.5</v>
      </c>
      <c r="AD46" s="1">
        <f t="shared" si="18"/>
        <v>1</v>
      </c>
      <c r="AE46" s="1">
        <f t="shared" si="15"/>
        <v>10</v>
      </c>
      <c r="AF46" s="36">
        <f t="shared" si="16"/>
        <v>2.4999999999999987</v>
      </c>
    </row>
    <row r="47" spans="4:32" ht="14.25" customHeight="1" x14ac:dyDescent="0.2">
      <c r="D47" s="1">
        <v>24</v>
      </c>
      <c r="E47" s="6">
        <f t="shared" si="9"/>
        <v>61.430475118356213</v>
      </c>
      <c r="F47" s="6">
        <f t="shared" si="9"/>
        <v>2168.3495086419784</v>
      </c>
      <c r="G47" s="6">
        <f t="shared" si="9"/>
        <v>15.357618779589053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0"/>
        <v>6143.0475118356226</v>
      </c>
      <c r="O47" s="6">
        <f t="shared" si="4"/>
        <v>264354.57460494828</v>
      </c>
      <c r="P47" s="6">
        <f t="shared" si="5"/>
        <v>2303.642816938358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6"/>
        <v>2.4999999999999991</v>
      </c>
      <c r="X47" s="1">
        <v>24</v>
      </c>
      <c r="Y47" s="6">
        <f t="shared" si="11"/>
        <v>1228.6095023671246</v>
      </c>
      <c r="Z47" s="6">
        <f t="shared" si="12"/>
        <v>29372.73051166092</v>
      </c>
      <c r="AA47" s="6">
        <f t="shared" si="13"/>
        <v>2303.642816938358</v>
      </c>
      <c r="AB47" s="1">
        <f t="shared" si="14"/>
        <v>0.4</v>
      </c>
      <c r="AC47" s="1">
        <f t="shared" si="17"/>
        <v>1.5</v>
      </c>
      <c r="AD47" s="1">
        <f t="shared" si="18"/>
        <v>1</v>
      </c>
      <c r="AE47" s="1">
        <f t="shared" si="15"/>
        <v>10</v>
      </c>
      <c r="AF47" s="36">
        <f t="shared" si="16"/>
        <v>2.4999999999999991</v>
      </c>
    </row>
    <row r="48" spans="4:32" ht="14.25" customHeight="1" x14ac:dyDescent="0.2">
      <c r="D48" s="1">
        <v>25</v>
      </c>
      <c r="E48" s="6">
        <f t="shared" si="9"/>
        <v>64.501998874274008</v>
      </c>
      <c r="F48" s="6">
        <f t="shared" si="9"/>
        <v>2276.7669840740773</v>
      </c>
      <c r="G48" s="6">
        <f t="shared" si="9"/>
        <v>16.125499718568502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0"/>
        <v>6450.1998874274013</v>
      </c>
      <c r="O48" s="6">
        <f t="shared" si="4"/>
        <v>274997.87521928007</v>
      </c>
      <c r="P48" s="6">
        <f t="shared" si="5"/>
        <v>2418.8249577852753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6"/>
        <v>2.4999999999999991</v>
      </c>
      <c r="X48" s="1">
        <v>25</v>
      </c>
      <c r="Y48" s="6">
        <f t="shared" si="11"/>
        <v>1290.0399774854802</v>
      </c>
      <c r="Z48" s="6">
        <f t="shared" si="12"/>
        <v>30555.319468808899</v>
      </c>
      <c r="AA48" s="6">
        <f t="shared" si="13"/>
        <v>2418.8249577852753</v>
      </c>
      <c r="AB48" s="1">
        <f t="shared" si="14"/>
        <v>0.4</v>
      </c>
      <c r="AC48" s="1">
        <f t="shared" si="17"/>
        <v>1.5</v>
      </c>
      <c r="AD48" s="1">
        <f t="shared" si="18"/>
        <v>1</v>
      </c>
      <c r="AE48" s="1">
        <f t="shared" si="15"/>
        <v>10</v>
      </c>
      <c r="AF48" s="36">
        <f t="shared" si="16"/>
        <v>2.4999999999999991</v>
      </c>
    </row>
    <row r="49" spans="4:32" ht="14.25" customHeight="1" x14ac:dyDescent="0.2">
      <c r="D49" s="1">
        <v>26</v>
      </c>
      <c r="E49" s="6">
        <f t="shared" si="9"/>
        <v>67.727098817987724</v>
      </c>
      <c r="F49" s="6">
        <f t="shared" si="9"/>
        <v>2390.605333277781</v>
      </c>
      <c r="G49" s="6">
        <f t="shared" si="9"/>
        <v>16.931774704496931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0"/>
        <v>6772.7098817987726</v>
      </c>
      <c r="O49" s="6">
        <f t="shared" si="4"/>
        <v>285962.90721065941</v>
      </c>
      <c r="P49" s="6">
        <f t="shared" si="5"/>
        <v>2539.7662056745398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6"/>
        <v>2.4999999999999991</v>
      </c>
      <c r="X49" s="1">
        <v>26</v>
      </c>
      <c r="Y49" s="6">
        <f t="shared" si="11"/>
        <v>1354.5419763597545</v>
      </c>
      <c r="Z49" s="6">
        <f t="shared" si="12"/>
        <v>31773.656356739935</v>
      </c>
      <c r="AA49" s="6">
        <f t="shared" si="13"/>
        <v>2539.7662056745398</v>
      </c>
      <c r="AB49" s="1">
        <f t="shared" si="14"/>
        <v>0.4</v>
      </c>
      <c r="AC49" s="1">
        <f t="shared" si="17"/>
        <v>1.5</v>
      </c>
      <c r="AD49" s="1">
        <f t="shared" si="18"/>
        <v>1</v>
      </c>
      <c r="AE49" s="1">
        <f t="shared" si="15"/>
        <v>10</v>
      </c>
      <c r="AF49" s="36">
        <f t="shared" si="16"/>
        <v>2.4999999999999991</v>
      </c>
    </row>
    <row r="50" spans="4:32" ht="14.25" customHeight="1" x14ac:dyDescent="0.2">
      <c r="D50" s="1">
        <v>27</v>
      </c>
      <c r="E50" s="6">
        <f t="shared" si="9"/>
        <v>71.113453758887104</v>
      </c>
      <c r="F50" s="6">
        <f t="shared" si="9"/>
        <v>2510.1355999416701</v>
      </c>
      <c r="G50" s="6">
        <f t="shared" si="9"/>
        <v>17.778363439721776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0"/>
        <v>7111.3453758887108</v>
      </c>
      <c r="O50" s="6">
        <f t="shared" si="4"/>
        <v>297250.8384187044</v>
      </c>
      <c r="P50" s="6">
        <f t="shared" si="5"/>
        <v>2666.7545159582664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6"/>
        <v>2.4999999999999991</v>
      </c>
      <c r="X50" s="1">
        <v>27</v>
      </c>
      <c r="Y50" s="6">
        <f t="shared" si="11"/>
        <v>1422.2690751777423</v>
      </c>
      <c r="Z50" s="6">
        <f t="shared" si="12"/>
        <v>33027.8709354116</v>
      </c>
      <c r="AA50" s="6">
        <f t="shared" si="13"/>
        <v>2666.7545159582664</v>
      </c>
      <c r="AB50" s="1">
        <f t="shared" si="14"/>
        <v>0.4</v>
      </c>
      <c r="AC50" s="1">
        <f t="shared" si="17"/>
        <v>1.5</v>
      </c>
      <c r="AD50" s="1">
        <f t="shared" si="18"/>
        <v>1</v>
      </c>
      <c r="AE50" s="1">
        <f t="shared" si="15"/>
        <v>10</v>
      </c>
      <c r="AF50" s="36">
        <f t="shared" si="16"/>
        <v>2.4999999999999991</v>
      </c>
    </row>
    <row r="51" spans="4:32" ht="14.25" customHeight="1" x14ac:dyDescent="0.2">
      <c r="D51" s="1">
        <v>28</v>
      </c>
      <c r="E51" s="6">
        <f t="shared" si="9"/>
        <v>74.66912644683147</v>
      </c>
      <c r="F51" s="6">
        <f t="shared" si="9"/>
        <v>2635.6423799387539</v>
      </c>
      <c r="G51" s="6">
        <f t="shared" si="9"/>
        <v>18.667281611707867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0"/>
        <v>7466.9126446831478</v>
      </c>
      <c r="O51" s="6">
        <f t="shared" si="4"/>
        <v>308862.11561907566</v>
      </c>
      <c r="P51" s="6">
        <f t="shared" si="5"/>
        <v>2800.0922417561801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6"/>
        <v>2.4999999999999991</v>
      </c>
      <c r="X51" s="1">
        <v>28</v>
      </c>
      <c r="Y51" s="6">
        <f t="shared" si="11"/>
        <v>1493.3825289366296</v>
      </c>
      <c r="Z51" s="6">
        <f t="shared" si="12"/>
        <v>34318.012846563965</v>
      </c>
      <c r="AA51" s="6">
        <f t="shared" si="13"/>
        <v>2800.0922417561801</v>
      </c>
      <c r="AB51" s="1">
        <f t="shared" si="14"/>
        <v>0.4</v>
      </c>
      <c r="AC51" s="1">
        <f t="shared" si="17"/>
        <v>1.5</v>
      </c>
      <c r="AD51" s="1">
        <f t="shared" si="18"/>
        <v>1</v>
      </c>
      <c r="AE51" s="1">
        <f t="shared" si="15"/>
        <v>10</v>
      </c>
      <c r="AF51" s="36">
        <f t="shared" si="16"/>
        <v>2.4999999999999991</v>
      </c>
    </row>
    <row r="52" spans="4:32" ht="14.25" customHeight="1" x14ac:dyDescent="0.2">
      <c r="D52" s="1">
        <v>29</v>
      </c>
      <c r="E52" s="6">
        <f t="shared" si="9"/>
        <v>78.402582769173023</v>
      </c>
      <c r="F52" s="6">
        <f t="shared" si="9"/>
        <v>2767.4244989356912</v>
      </c>
      <c r="G52" s="6">
        <f t="shared" si="9"/>
        <v>19.600645692293256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0"/>
        <v>7840.2582769173023</v>
      </c>
      <c r="O52" s="6">
        <f t="shared" si="4"/>
        <v>320796.42025016213</v>
      </c>
      <c r="P52" s="6">
        <f t="shared" si="5"/>
        <v>2940.0968538439884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6"/>
        <v>2.4999999999999996</v>
      </c>
      <c r="X52" s="1">
        <v>29</v>
      </c>
      <c r="Y52" s="6">
        <f t="shared" si="11"/>
        <v>1568.0516553834605</v>
      </c>
      <c r="Z52" s="6">
        <f t="shared" si="12"/>
        <v>35644.046694462457</v>
      </c>
      <c r="AA52" s="6">
        <f t="shared" si="13"/>
        <v>2940.0968538439884</v>
      </c>
      <c r="AB52" s="1">
        <f t="shared" si="14"/>
        <v>0.4</v>
      </c>
      <c r="AC52" s="1">
        <f t="shared" si="17"/>
        <v>1.5</v>
      </c>
      <c r="AD52" s="1">
        <f t="shared" si="18"/>
        <v>1</v>
      </c>
      <c r="AE52" s="1">
        <f t="shared" si="15"/>
        <v>10</v>
      </c>
      <c r="AF52" s="36">
        <f t="shared" si="16"/>
        <v>2.4999999999999996</v>
      </c>
    </row>
    <row r="53" spans="4:32" ht="14.25" customHeight="1" x14ac:dyDescent="0.2">
      <c r="D53" s="1">
        <v>30</v>
      </c>
      <c r="E53" s="6">
        <f t="shared" si="9"/>
        <v>82.3227119076317</v>
      </c>
      <c r="F53" s="6">
        <f t="shared" si="9"/>
        <v>2905.7957238824765</v>
      </c>
      <c r="G53" s="6">
        <f t="shared" si="9"/>
        <v>20.580677976907925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0"/>
        <v>8232.2711907631692</v>
      </c>
      <c r="O53" s="6">
        <f t="shared" si="4"/>
        <v>333052.62592842436</v>
      </c>
      <c r="P53" s="6">
        <f t="shared" si="5"/>
        <v>3087.1016965361887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6"/>
        <v>2.4999999999999996</v>
      </c>
      <c r="X53" s="1">
        <v>30</v>
      </c>
      <c r="Y53" s="6">
        <f t="shared" si="11"/>
        <v>1646.4542381526339</v>
      </c>
      <c r="Z53" s="6">
        <f t="shared" si="12"/>
        <v>37005.847325380484</v>
      </c>
      <c r="AA53" s="6">
        <f t="shared" si="13"/>
        <v>3087.1016965361887</v>
      </c>
      <c r="AB53" s="1">
        <f t="shared" si="14"/>
        <v>0.4</v>
      </c>
      <c r="AC53" s="1">
        <f t="shared" si="17"/>
        <v>1.5</v>
      </c>
      <c r="AD53" s="1">
        <f t="shared" si="18"/>
        <v>1</v>
      </c>
      <c r="AE53" s="1">
        <f t="shared" si="15"/>
        <v>10</v>
      </c>
      <c r="AF53" s="36">
        <f t="shared" si="16"/>
        <v>2.4999999999999996</v>
      </c>
    </row>
    <row r="54" spans="4:32" ht="14.25" customHeight="1" x14ac:dyDescent="0.2">
      <c r="D54" s="1">
        <v>31</v>
      </c>
      <c r="E54" s="6">
        <f t="shared" si="9"/>
        <v>86.43884750301325</v>
      </c>
      <c r="F54" s="6">
        <f t="shared" si="9"/>
        <v>3051.0855100765993</v>
      </c>
      <c r="G54" s="6">
        <f t="shared" si="9"/>
        <v>21.609711875753312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0"/>
        <v>8643.8847503013258</v>
      </c>
      <c r="O54" s="6">
        <f t="shared" si="4"/>
        <v>345628.7582765352</v>
      </c>
      <c r="P54" s="6">
        <f t="shared" si="5"/>
        <v>3241.4567813629969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6"/>
        <v>2.4999999999999991</v>
      </c>
      <c r="X54" s="1">
        <v>31</v>
      </c>
      <c r="Y54" s="6">
        <f t="shared" si="11"/>
        <v>1728.7769500602651</v>
      </c>
      <c r="Z54" s="6">
        <f t="shared" si="12"/>
        <v>38403.195364059466</v>
      </c>
      <c r="AA54" s="6">
        <f t="shared" si="13"/>
        <v>3241.4567813629969</v>
      </c>
      <c r="AB54" s="1">
        <f t="shared" si="14"/>
        <v>0.4</v>
      </c>
      <c r="AC54" s="1">
        <f t="shared" si="17"/>
        <v>1.5</v>
      </c>
      <c r="AD54" s="1">
        <f t="shared" si="18"/>
        <v>1</v>
      </c>
      <c r="AE54" s="1">
        <f t="shared" si="15"/>
        <v>10</v>
      </c>
      <c r="AF54" s="36">
        <f t="shared" si="16"/>
        <v>2.4999999999999991</v>
      </c>
    </row>
    <row r="55" spans="4:32" ht="14.25" customHeight="1" x14ac:dyDescent="0.2">
      <c r="D55" s="1">
        <v>32</v>
      </c>
      <c r="E55" s="6">
        <f t="shared" si="9"/>
        <v>90.760789878163948</v>
      </c>
      <c r="F55" s="6">
        <f t="shared" si="9"/>
        <v>3203.6397855804303</v>
      </c>
      <c r="G55" s="6">
        <f t="shared" si="9"/>
        <v>22.690197469540987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0"/>
        <v>9076.078987816396</v>
      </c>
      <c r="O55" s="6">
        <f t="shared" si="4"/>
        <v>358521.95760776551</v>
      </c>
      <c r="P55" s="6">
        <f t="shared" si="5"/>
        <v>3403.529620431148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6"/>
        <v>2.4999999999999987</v>
      </c>
      <c r="X55" s="1">
        <v>32</v>
      </c>
      <c r="Y55" s="6">
        <f t="shared" si="11"/>
        <v>1815.2157975632792</v>
      </c>
      <c r="Z55" s="6">
        <f t="shared" si="12"/>
        <v>39835.773067529502</v>
      </c>
      <c r="AA55" s="6">
        <f t="shared" si="13"/>
        <v>3403.529620431148</v>
      </c>
      <c r="AB55" s="1">
        <f t="shared" si="14"/>
        <v>0.4</v>
      </c>
      <c r="AC55" s="1">
        <f t="shared" si="17"/>
        <v>1.5</v>
      </c>
      <c r="AD55" s="1">
        <f t="shared" si="18"/>
        <v>1</v>
      </c>
      <c r="AE55" s="1">
        <f t="shared" si="15"/>
        <v>10</v>
      </c>
      <c r="AF55" s="36">
        <f t="shared" si="16"/>
        <v>2.4999999999999987</v>
      </c>
    </row>
    <row r="56" spans="4:32" ht="14.25" customHeight="1" x14ac:dyDescent="0.2">
      <c r="D56" s="1">
        <v>33</v>
      </c>
      <c r="E56" s="6">
        <f t="shared" si="9"/>
        <v>95.298829372072134</v>
      </c>
      <c r="F56" s="6">
        <f t="shared" si="9"/>
        <v>3363.8217748594516</v>
      </c>
      <c r="G56" s="6">
        <f t="shared" si="9"/>
        <v>23.824707343018034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0"/>
        <v>9529.8829372072141</v>
      </c>
      <c r="O56" s="6">
        <f t="shared" si="4"/>
        <v>371728.44502277573</v>
      </c>
      <c r="P56" s="6">
        <f t="shared" si="5"/>
        <v>3573.7061014527048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6"/>
        <v>2.4999999999999991</v>
      </c>
      <c r="X56" s="1">
        <v>33</v>
      </c>
      <c r="Y56" s="6">
        <f t="shared" si="11"/>
        <v>1905.9765874414429</v>
      </c>
      <c r="Z56" s="6">
        <f t="shared" si="12"/>
        <v>41303.160558086194</v>
      </c>
      <c r="AA56" s="6">
        <f t="shared" si="13"/>
        <v>3573.7061014527048</v>
      </c>
      <c r="AB56" s="1">
        <f t="shared" si="14"/>
        <v>0.4</v>
      </c>
      <c r="AC56" s="1">
        <f t="shared" si="17"/>
        <v>1.5</v>
      </c>
      <c r="AD56" s="1">
        <f t="shared" si="18"/>
        <v>1</v>
      </c>
      <c r="AE56" s="1">
        <f t="shared" si="15"/>
        <v>10</v>
      </c>
      <c r="AF56" s="36">
        <f t="shared" si="16"/>
        <v>2.4999999999999991</v>
      </c>
    </row>
    <row r="57" spans="4:32" ht="14.25" customHeight="1" x14ac:dyDescent="0.2">
      <c r="D57" s="1">
        <v>34</v>
      </c>
      <c r="E57" s="6">
        <f t="shared" si="9"/>
        <v>100.06377084067574</v>
      </c>
      <c r="F57" s="6">
        <f t="shared" si="9"/>
        <v>3532.0128636024242</v>
      </c>
      <c r="G57" s="6">
        <f t="shared" si="9"/>
        <v>25.015942710168936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0"/>
        <v>10006.377084067575</v>
      </c>
      <c r="O57" s="6">
        <f t="shared" si="4"/>
        <v>385243.49248013634</v>
      </c>
      <c r="P57" s="6">
        <f t="shared" si="5"/>
        <v>3752.3914065253402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6"/>
        <v>2.4999999999999991</v>
      </c>
      <c r="X57" s="1">
        <v>34</v>
      </c>
      <c r="Y57" s="6">
        <f t="shared" si="11"/>
        <v>2001.275416813515</v>
      </c>
      <c r="Z57" s="6">
        <f t="shared" si="12"/>
        <v>42804.83249779293</v>
      </c>
      <c r="AA57" s="6">
        <f t="shared" si="13"/>
        <v>3752.3914065253402</v>
      </c>
      <c r="AB57" s="1">
        <f t="shared" si="14"/>
        <v>0.4</v>
      </c>
      <c r="AC57" s="1">
        <f t="shared" si="17"/>
        <v>1.5</v>
      </c>
      <c r="AD57" s="1">
        <f t="shared" si="18"/>
        <v>1</v>
      </c>
      <c r="AE57" s="1">
        <f t="shared" si="15"/>
        <v>10</v>
      </c>
      <c r="AF57" s="36">
        <f t="shared" si="16"/>
        <v>2.4999999999999991</v>
      </c>
    </row>
    <row r="58" spans="4:32" ht="14.25" customHeight="1" x14ac:dyDescent="0.2">
      <c r="D58" s="1">
        <v>35</v>
      </c>
      <c r="E58" s="6">
        <f t="shared" ref="E58:G89" si="19">E$21*E$22^($D58-1)</f>
        <v>105.06695938270953</v>
      </c>
      <c r="F58" s="6">
        <f t="shared" si="19"/>
        <v>3708.6135067825453</v>
      </c>
      <c r="G58" s="6">
        <f t="shared" si="19"/>
        <v>26.266739845677382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0"/>
        <v>10506.695938270954</v>
      </c>
      <c r="O58" s="6">
        <f t="shared" si="4"/>
        <v>399061.39739857079</v>
      </c>
      <c r="P58" s="6">
        <f t="shared" si="5"/>
        <v>3940.0109768516072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6"/>
        <v>2.4999999999999991</v>
      </c>
      <c r="X58" s="1">
        <v>35</v>
      </c>
      <c r="Y58" s="6">
        <f t="shared" si="11"/>
        <v>2101.3391876541909</v>
      </c>
      <c r="Z58" s="6">
        <f t="shared" si="12"/>
        <v>44340.155266507863</v>
      </c>
      <c r="AA58" s="6">
        <f t="shared" si="13"/>
        <v>3940.0109768516072</v>
      </c>
      <c r="AB58" s="1">
        <f t="shared" si="14"/>
        <v>0.4</v>
      </c>
      <c r="AC58" s="1">
        <f t="shared" si="17"/>
        <v>1.5</v>
      </c>
      <c r="AD58" s="1">
        <f t="shared" si="18"/>
        <v>1</v>
      </c>
      <c r="AE58" s="1">
        <f t="shared" si="15"/>
        <v>10</v>
      </c>
      <c r="AF58" s="36">
        <f t="shared" si="16"/>
        <v>2.4999999999999991</v>
      </c>
    </row>
    <row r="59" spans="4:32" ht="14.25" customHeight="1" x14ac:dyDescent="0.2">
      <c r="D59" s="1">
        <v>36</v>
      </c>
      <c r="E59" s="6">
        <f t="shared" si="19"/>
        <v>110.32030735184503</v>
      </c>
      <c r="F59" s="6">
        <f t="shared" si="19"/>
        <v>3894.0441821216732</v>
      </c>
      <c r="G59" s="6">
        <f t="shared" si="19"/>
        <v>27.580076837961258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0"/>
        <v>11032.030735184506</v>
      </c>
      <c r="O59" s="6">
        <f t="shared" si="4"/>
        <v>413175.4623363149</v>
      </c>
      <c r="P59" s="6">
        <f t="shared" si="5"/>
        <v>4137.011525694189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6"/>
        <v>2.4999999999999991</v>
      </c>
      <c r="X59" s="1">
        <v>36</v>
      </c>
      <c r="Y59" s="6">
        <f t="shared" si="11"/>
        <v>2206.4061470369011</v>
      </c>
      <c r="Z59" s="6">
        <f t="shared" si="12"/>
        <v>45908.384704034986</v>
      </c>
      <c r="AA59" s="6">
        <f t="shared" si="13"/>
        <v>4137.011525694189</v>
      </c>
      <c r="AB59" s="1">
        <f t="shared" si="14"/>
        <v>0.4</v>
      </c>
      <c r="AC59" s="1">
        <f t="shared" si="17"/>
        <v>1.5</v>
      </c>
      <c r="AD59" s="1">
        <f t="shared" si="18"/>
        <v>1</v>
      </c>
      <c r="AE59" s="1">
        <f t="shared" si="15"/>
        <v>10</v>
      </c>
      <c r="AF59" s="36">
        <f t="shared" si="16"/>
        <v>2.4999999999999991</v>
      </c>
    </row>
    <row r="60" spans="4:32" ht="14.25" customHeight="1" x14ac:dyDescent="0.2">
      <c r="D60" s="1">
        <v>37</v>
      </c>
      <c r="E60" s="6">
        <f t="shared" si="19"/>
        <v>115.83632271943726</v>
      </c>
      <c r="F60" s="6">
        <f t="shared" si="19"/>
        <v>4088.7463912277562</v>
      </c>
      <c r="G60" s="6">
        <f t="shared" si="19"/>
        <v>28.959080679859316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0"/>
        <v>11583.632271943728</v>
      </c>
      <c r="O60" s="6">
        <f t="shared" si="4"/>
        <v>427577.98027042532</v>
      </c>
      <c r="P60" s="6">
        <f t="shared" si="5"/>
        <v>4343.862101978897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6"/>
        <v>2.4999999999999987</v>
      </c>
      <c r="X60" s="1">
        <v>37</v>
      </c>
      <c r="Y60" s="6">
        <f t="shared" si="11"/>
        <v>2316.7264543887459</v>
      </c>
      <c r="Z60" s="6">
        <f t="shared" si="12"/>
        <v>47508.664474491699</v>
      </c>
      <c r="AA60" s="6">
        <f t="shared" si="13"/>
        <v>4343.862101978897</v>
      </c>
      <c r="AB60" s="1">
        <f t="shared" si="14"/>
        <v>0.4</v>
      </c>
      <c r="AC60" s="1">
        <f t="shared" si="17"/>
        <v>1.5</v>
      </c>
      <c r="AD60" s="1">
        <f t="shared" si="18"/>
        <v>1</v>
      </c>
      <c r="AE60" s="1">
        <f t="shared" si="15"/>
        <v>10</v>
      </c>
      <c r="AF60" s="36">
        <f t="shared" si="16"/>
        <v>2.4999999999999987</v>
      </c>
    </row>
    <row r="61" spans="4:32" ht="14.25" customHeight="1" x14ac:dyDescent="0.2">
      <c r="D61" s="1">
        <v>38</v>
      </c>
      <c r="E61" s="6">
        <f t="shared" si="19"/>
        <v>121.62813885540913</v>
      </c>
      <c r="F61" s="6">
        <f t="shared" si="19"/>
        <v>4293.1837107891442</v>
      </c>
      <c r="G61" s="6">
        <f t="shared" si="19"/>
        <v>30.407034713852283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0"/>
        <v>12162.813885540914</v>
      </c>
      <c r="O61" s="6">
        <f t="shared" si="4"/>
        <v>442260.2259658674</v>
      </c>
      <c r="P61" s="6">
        <f t="shared" si="5"/>
        <v>4561.0552070778422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6"/>
        <v>2.4999999999999991</v>
      </c>
      <c r="X61" s="1">
        <v>38</v>
      </c>
      <c r="Y61" s="6">
        <f t="shared" si="11"/>
        <v>2432.5627771081827</v>
      </c>
      <c r="Z61" s="6">
        <f t="shared" si="12"/>
        <v>49140.025107318601</v>
      </c>
      <c r="AA61" s="6">
        <f t="shared" si="13"/>
        <v>4561.0552070778422</v>
      </c>
      <c r="AB61" s="1">
        <f t="shared" si="14"/>
        <v>0.4</v>
      </c>
      <c r="AC61" s="1">
        <f t="shared" si="17"/>
        <v>1.5</v>
      </c>
      <c r="AD61" s="1">
        <f t="shared" si="18"/>
        <v>1</v>
      </c>
      <c r="AE61" s="1">
        <f t="shared" si="15"/>
        <v>10</v>
      </c>
      <c r="AF61" s="36">
        <f t="shared" si="16"/>
        <v>2.4999999999999991</v>
      </c>
    </row>
    <row r="62" spans="4:32" ht="14.25" customHeight="1" x14ac:dyDescent="0.2">
      <c r="D62" s="1">
        <v>39</v>
      </c>
      <c r="E62" s="6">
        <f t="shared" si="19"/>
        <v>127.70954579817956</v>
      </c>
      <c r="F62" s="6">
        <f t="shared" si="19"/>
        <v>4507.8428963286015</v>
      </c>
      <c r="G62" s="6">
        <f t="shared" si="19"/>
        <v>31.92738644954489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0"/>
        <v>12770.954579817957</v>
      </c>
      <c r="O62" s="6">
        <f t="shared" si="4"/>
        <v>457212.45388048555</v>
      </c>
      <c r="P62" s="6">
        <f t="shared" si="5"/>
        <v>4789.1079674317334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6"/>
        <v>2.4999999999999991</v>
      </c>
      <c r="X62" s="1">
        <v>39</v>
      </c>
      <c r="Y62" s="6">
        <f t="shared" si="11"/>
        <v>2554.1909159635916</v>
      </c>
      <c r="Z62" s="6">
        <f t="shared" si="12"/>
        <v>50801.383764498394</v>
      </c>
      <c r="AA62" s="6">
        <f t="shared" si="13"/>
        <v>4789.1079674317334</v>
      </c>
      <c r="AB62" s="1">
        <f t="shared" si="14"/>
        <v>0.4</v>
      </c>
      <c r="AC62" s="1">
        <f t="shared" si="17"/>
        <v>1.5</v>
      </c>
      <c r="AD62" s="1">
        <f t="shared" si="18"/>
        <v>1</v>
      </c>
      <c r="AE62" s="1">
        <f t="shared" si="15"/>
        <v>10</v>
      </c>
      <c r="AF62" s="36">
        <f t="shared" si="16"/>
        <v>2.4999999999999991</v>
      </c>
    </row>
    <row r="63" spans="4:32" ht="14.25" customHeight="1" x14ac:dyDescent="0.2">
      <c r="D63" s="1">
        <v>40</v>
      </c>
      <c r="E63" s="6">
        <f t="shared" si="19"/>
        <v>134.09502308808857</v>
      </c>
      <c r="F63" s="6">
        <f t="shared" si="19"/>
        <v>4733.2350411450325</v>
      </c>
      <c r="G63" s="6">
        <f t="shared" si="19"/>
        <v>33.523755772022142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0"/>
        <v>13409.502308808858</v>
      </c>
      <c r="O63" s="6">
        <f t="shared" si="4"/>
        <v>472423.90299746668</v>
      </c>
      <c r="P63" s="6">
        <f t="shared" si="5"/>
        <v>5028.5633658033212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6"/>
        <v>2.4999999999999996</v>
      </c>
      <c r="X63" s="1">
        <v>40</v>
      </c>
      <c r="Y63" s="6">
        <f t="shared" si="11"/>
        <v>2681.9004617617716</v>
      </c>
      <c r="Z63" s="6">
        <f t="shared" si="12"/>
        <v>52491.544777496296</v>
      </c>
      <c r="AA63" s="6">
        <f t="shared" si="13"/>
        <v>5028.5633658033212</v>
      </c>
      <c r="AB63" s="1">
        <f t="shared" si="14"/>
        <v>0.4</v>
      </c>
      <c r="AC63" s="1">
        <f t="shared" si="17"/>
        <v>1.5</v>
      </c>
      <c r="AD63" s="1">
        <f t="shared" si="18"/>
        <v>1</v>
      </c>
      <c r="AE63" s="1">
        <f t="shared" si="15"/>
        <v>10</v>
      </c>
      <c r="AF63" s="36">
        <f t="shared" si="16"/>
        <v>2.4999999999999996</v>
      </c>
    </row>
    <row r="64" spans="4:32" ht="14.25" customHeight="1" x14ac:dyDescent="0.2">
      <c r="D64" s="1">
        <v>41</v>
      </c>
      <c r="E64" s="6">
        <f t="shared" si="19"/>
        <v>140.79977424249299</v>
      </c>
      <c r="F64" s="6">
        <f t="shared" si="19"/>
        <v>4969.8967932022833</v>
      </c>
      <c r="G64" s="6">
        <f t="shared" si="19"/>
        <v>35.199943560623247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0"/>
        <v>14079.9774242493</v>
      </c>
      <c r="O64" s="6">
        <f t="shared" si="4"/>
        <v>487882.80891188973</v>
      </c>
      <c r="P64" s="6">
        <f t="shared" si="5"/>
        <v>5279.9915340934867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6"/>
        <v>2.4999999999999991</v>
      </c>
      <c r="X64" s="1">
        <v>41</v>
      </c>
      <c r="Y64" s="6">
        <f t="shared" si="11"/>
        <v>2815.9954848498601</v>
      </c>
      <c r="Z64" s="6">
        <f t="shared" si="12"/>
        <v>54209.200990209967</v>
      </c>
      <c r="AA64" s="6">
        <f t="shared" si="13"/>
        <v>5279.9915340934867</v>
      </c>
      <c r="AB64" s="1">
        <f t="shared" si="14"/>
        <v>0.4</v>
      </c>
      <c r="AC64" s="1">
        <f t="shared" si="17"/>
        <v>1.5</v>
      </c>
      <c r="AD64" s="1">
        <f t="shared" si="18"/>
        <v>1</v>
      </c>
      <c r="AE64" s="1">
        <f t="shared" si="15"/>
        <v>10</v>
      </c>
      <c r="AF64" s="36">
        <f t="shared" si="16"/>
        <v>2.4999999999999991</v>
      </c>
    </row>
    <row r="65" spans="4:32" ht="14.25" customHeight="1" x14ac:dyDescent="0.2">
      <c r="D65" s="1">
        <v>42</v>
      </c>
      <c r="E65" s="6">
        <f t="shared" si="19"/>
        <v>147.83976295461764</v>
      </c>
      <c r="F65" s="6">
        <f t="shared" si="19"/>
        <v>5218.3916328623973</v>
      </c>
      <c r="G65" s="6">
        <f t="shared" si="19"/>
        <v>36.95994073865441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0"/>
        <v>14783.976295461765</v>
      </c>
      <c r="O65" s="6">
        <f t="shared" si="4"/>
        <v>503576.42342293268</v>
      </c>
      <c r="P65" s="6">
        <f t="shared" si="5"/>
        <v>5543.9911107981616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6"/>
        <v>2.4999999999999996</v>
      </c>
      <c r="X65" s="1">
        <v>42</v>
      </c>
      <c r="Y65" s="6">
        <f t="shared" si="11"/>
        <v>2956.7952590923533</v>
      </c>
      <c r="Z65" s="6">
        <f t="shared" si="12"/>
        <v>55952.935935881411</v>
      </c>
      <c r="AA65" s="6">
        <f t="shared" si="13"/>
        <v>5543.9911107981616</v>
      </c>
      <c r="AB65" s="1">
        <f t="shared" si="14"/>
        <v>0.4</v>
      </c>
      <c r="AC65" s="1">
        <f t="shared" si="17"/>
        <v>1.5</v>
      </c>
      <c r="AD65" s="1">
        <f t="shared" si="18"/>
        <v>1</v>
      </c>
      <c r="AE65" s="1">
        <f t="shared" si="15"/>
        <v>10</v>
      </c>
      <c r="AF65" s="36">
        <f t="shared" si="16"/>
        <v>2.4999999999999996</v>
      </c>
    </row>
    <row r="66" spans="4:32" ht="14.25" customHeight="1" x14ac:dyDescent="0.2">
      <c r="D66" s="1">
        <v>43</v>
      </c>
      <c r="E66" s="6">
        <f t="shared" si="19"/>
        <v>155.23175110234854</v>
      </c>
      <c r="F66" s="6">
        <f t="shared" si="19"/>
        <v>5479.3112145055175</v>
      </c>
      <c r="G66" s="6">
        <f t="shared" si="19"/>
        <v>38.807937775587135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0"/>
        <v>15523.175110234855</v>
      </c>
      <c r="O66" s="6">
        <f t="shared" si="4"/>
        <v>519491.04179910728</v>
      </c>
      <c r="P66" s="6">
        <f t="shared" si="5"/>
        <v>5821.1906663380705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6"/>
        <v>2.4999999999999991</v>
      </c>
      <c r="X66" s="1">
        <v>43</v>
      </c>
      <c r="Y66" s="6">
        <f t="shared" si="11"/>
        <v>3104.6350220469712</v>
      </c>
      <c r="Z66" s="6">
        <f t="shared" si="12"/>
        <v>57721.226866567478</v>
      </c>
      <c r="AA66" s="6">
        <f t="shared" si="13"/>
        <v>5821.1906663380705</v>
      </c>
      <c r="AB66" s="1">
        <f t="shared" si="14"/>
        <v>0.4</v>
      </c>
      <c r="AC66" s="1">
        <f t="shared" si="17"/>
        <v>1.5</v>
      </c>
      <c r="AD66" s="1">
        <f t="shared" si="18"/>
        <v>1</v>
      </c>
      <c r="AE66" s="1">
        <f t="shared" si="15"/>
        <v>10</v>
      </c>
      <c r="AF66" s="36">
        <f t="shared" si="16"/>
        <v>2.4999999999999991</v>
      </c>
    </row>
    <row r="67" spans="4:32" ht="14.25" customHeight="1" x14ac:dyDescent="0.2">
      <c r="D67" s="1">
        <v>44</v>
      </c>
      <c r="E67" s="6">
        <f t="shared" si="19"/>
        <v>162.99333865746598</v>
      </c>
      <c r="F67" s="6">
        <f t="shared" si="19"/>
        <v>5753.2767752307936</v>
      </c>
      <c r="G67" s="6">
        <f t="shared" si="19"/>
        <v>40.748334664366496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0"/>
        <v>16299.333865746601</v>
      </c>
      <c r="O67" s="6">
        <f t="shared" si="4"/>
        <v>535612.03779165435</v>
      </c>
      <c r="P67" s="6">
        <f t="shared" si="5"/>
        <v>6112.2501996549745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6"/>
        <v>2.4999999999999987</v>
      </c>
      <c r="X67" s="1">
        <v>44</v>
      </c>
      <c r="Y67" s="6">
        <f t="shared" si="11"/>
        <v>3259.8667731493201</v>
      </c>
      <c r="Z67" s="6">
        <f t="shared" si="12"/>
        <v>59512.448643517149</v>
      </c>
      <c r="AA67" s="6">
        <f t="shared" si="13"/>
        <v>6112.2501996549745</v>
      </c>
      <c r="AB67" s="1">
        <f t="shared" si="14"/>
        <v>0.4</v>
      </c>
      <c r="AC67" s="1">
        <f t="shared" si="17"/>
        <v>1.5</v>
      </c>
      <c r="AD67" s="1">
        <f t="shared" si="18"/>
        <v>1</v>
      </c>
      <c r="AE67" s="1">
        <f t="shared" si="15"/>
        <v>10</v>
      </c>
      <c r="AF67" s="36">
        <f t="shared" si="16"/>
        <v>2.4999999999999987</v>
      </c>
    </row>
    <row r="68" spans="4:32" ht="14.25" customHeight="1" x14ac:dyDescent="0.2">
      <c r="D68" s="1">
        <v>45</v>
      </c>
      <c r="E68" s="6">
        <f t="shared" si="19"/>
        <v>171.14300559033924</v>
      </c>
      <c r="F68" s="6">
        <f t="shared" si="19"/>
        <v>6040.9406139923331</v>
      </c>
      <c r="G68" s="6">
        <f t="shared" si="19"/>
        <v>42.785751397584811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0"/>
        <v>17114.300559033923</v>
      </c>
      <c r="O68" s="6">
        <f t="shared" si="4"/>
        <v>551923.90637236915</v>
      </c>
      <c r="P68" s="6">
        <f t="shared" si="5"/>
        <v>6417.8627096377213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6"/>
        <v>2.5</v>
      </c>
      <c r="X68" s="1">
        <v>45</v>
      </c>
      <c r="Y68" s="6">
        <f t="shared" si="11"/>
        <v>3422.8601118067845</v>
      </c>
      <c r="Z68" s="6">
        <f t="shared" si="12"/>
        <v>61324.878485818794</v>
      </c>
      <c r="AA68" s="6">
        <f t="shared" si="13"/>
        <v>6417.8627096377213</v>
      </c>
      <c r="AB68" s="1">
        <f t="shared" si="14"/>
        <v>0.4</v>
      </c>
      <c r="AC68" s="1">
        <f t="shared" si="17"/>
        <v>1.5</v>
      </c>
      <c r="AD68" s="1">
        <f t="shared" si="18"/>
        <v>1</v>
      </c>
      <c r="AE68" s="1">
        <f t="shared" si="15"/>
        <v>10</v>
      </c>
      <c r="AF68" s="36">
        <f t="shared" si="16"/>
        <v>2.5</v>
      </c>
    </row>
    <row r="69" spans="4:32" ht="14.25" customHeight="1" x14ac:dyDescent="0.2">
      <c r="D69" s="1">
        <v>46</v>
      </c>
      <c r="E69" s="6">
        <f t="shared" si="19"/>
        <v>179.70015586985625</v>
      </c>
      <c r="F69" s="6">
        <f t="shared" si="19"/>
        <v>6342.9876446919507</v>
      </c>
      <c r="G69" s="6">
        <f t="shared" si="19"/>
        <v>44.925038967464062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0"/>
        <v>17970.015586985624</v>
      </c>
      <c r="O69" s="6">
        <f t="shared" si="4"/>
        <v>568410.31406835362</v>
      </c>
      <c r="P69" s="6">
        <f t="shared" si="5"/>
        <v>6738.7558451196091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6"/>
        <v>2.4999999999999991</v>
      </c>
      <c r="X69" s="1">
        <v>46</v>
      </c>
      <c r="Y69" s="6">
        <f t="shared" si="11"/>
        <v>3594.0031173971247</v>
      </c>
      <c r="Z69" s="6">
        <f t="shared" si="12"/>
        <v>63156.701563150404</v>
      </c>
      <c r="AA69" s="6">
        <f t="shared" si="13"/>
        <v>6738.7558451196091</v>
      </c>
      <c r="AB69" s="1">
        <f t="shared" si="14"/>
        <v>0.4</v>
      </c>
      <c r="AC69" s="1">
        <f t="shared" si="17"/>
        <v>1.5</v>
      </c>
      <c r="AD69" s="1">
        <f t="shared" si="18"/>
        <v>1</v>
      </c>
      <c r="AE69" s="1">
        <f t="shared" si="15"/>
        <v>10</v>
      </c>
      <c r="AF69" s="36">
        <f t="shared" si="16"/>
        <v>2.4999999999999991</v>
      </c>
    </row>
    <row r="70" spans="4:32" ht="14.25" customHeight="1" x14ac:dyDescent="0.2">
      <c r="D70" s="1">
        <v>47</v>
      </c>
      <c r="E70" s="6">
        <f t="shared" si="19"/>
        <v>188.68516366334902</v>
      </c>
      <c r="F70" s="6">
        <f t="shared" si="19"/>
        <v>6660.1370269265472</v>
      </c>
      <c r="G70" s="6">
        <f t="shared" si="19"/>
        <v>47.171290915837254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0"/>
        <v>18868.516366334901</v>
      </c>
      <c r="O70" s="6">
        <f t="shared" si="4"/>
        <v>585054.15665944479</v>
      </c>
      <c r="P70" s="6">
        <f t="shared" si="5"/>
        <v>7075.693637375588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6"/>
        <v>2.4999999999999996</v>
      </c>
      <c r="X70" s="1">
        <v>47</v>
      </c>
      <c r="Y70" s="6">
        <f t="shared" si="11"/>
        <v>3773.7032732669804</v>
      </c>
      <c r="Z70" s="6">
        <f t="shared" si="12"/>
        <v>65006.01740660498</v>
      </c>
      <c r="AA70" s="6">
        <f t="shared" si="13"/>
        <v>7075.693637375588</v>
      </c>
      <c r="AB70" s="1">
        <f t="shared" si="14"/>
        <v>0.4</v>
      </c>
      <c r="AC70" s="1">
        <f t="shared" si="17"/>
        <v>1.5</v>
      </c>
      <c r="AD70" s="1">
        <f t="shared" si="18"/>
        <v>1</v>
      </c>
      <c r="AE70" s="1">
        <f t="shared" si="15"/>
        <v>10</v>
      </c>
      <c r="AF70" s="36">
        <f t="shared" si="16"/>
        <v>2.4999999999999996</v>
      </c>
    </row>
    <row r="71" spans="4:32" ht="14.25" customHeight="1" x14ac:dyDescent="0.2">
      <c r="D71" s="1">
        <v>48</v>
      </c>
      <c r="E71" s="6">
        <f t="shared" si="19"/>
        <v>198.11942184651653</v>
      </c>
      <c r="F71" s="6">
        <f t="shared" si="19"/>
        <v>6993.1438782728765</v>
      </c>
      <c r="G71" s="6">
        <f t="shared" si="19"/>
        <v>49.529855461629133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0"/>
        <v>19811.942184651656</v>
      </c>
      <c r="O71" s="6">
        <f t="shared" si="4"/>
        <v>601837.62389648391</v>
      </c>
      <c r="P71" s="6">
        <f t="shared" si="5"/>
        <v>7429.4783192443701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6"/>
        <v>2.4999999999999991</v>
      </c>
      <c r="X71" s="1">
        <v>48</v>
      </c>
      <c r="Y71" s="6">
        <f t="shared" si="11"/>
        <v>3962.3884369303314</v>
      </c>
      <c r="Z71" s="6">
        <f t="shared" si="12"/>
        <v>66870.847099609324</v>
      </c>
      <c r="AA71" s="6">
        <f t="shared" si="13"/>
        <v>7429.4783192443701</v>
      </c>
      <c r="AB71" s="1">
        <f t="shared" si="14"/>
        <v>0.4</v>
      </c>
      <c r="AC71" s="1">
        <f t="shared" si="17"/>
        <v>1.5</v>
      </c>
      <c r="AD71" s="1">
        <f t="shared" si="18"/>
        <v>1</v>
      </c>
      <c r="AE71" s="1">
        <f t="shared" si="15"/>
        <v>10</v>
      </c>
      <c r="AF71" s="36">
        <f t="shared" si="16"/>
        <v>2.4999999999999991</v>
      </c>
    </row>
    <row r="72" spans="4:32" ht="14.25" customHeight="1" x14ac:dyDescent="0.2">
      <c r="D72" s="1">
        <v>49</v>
      </c>
      <c r="E72" s="6">
        <f t="shared" si="19"/>
        <v>208.02539293884234</v>
      </c>
      <c r="F72" s="6">
        <f t="shared" si="19"/>
        <v>7342.8010721865194</v>
      </c>
      <c r="G72" s="6">
        <f t="shared" si="19"/>
        <v>52.006348234710586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0"/>
        <v>20802.539293884238</v>
      </c>
      <c r="O72" s="6">
        <f t="shared" si="4"/>
        <v>618742.27079245658</v>
      </c>
      <c r="P72" s="6">
        <f t="shared" si="5"/>
        <v>7800.9522352065878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6"/>
        <v>2.4999999999999987</v>
      </c>
      <c r="X72" s="1">
        <v>49</v>
      </c>
      <c r="Y72" s="6">
        <f t="shared" si="11"/>
        <v>4160.5078587768476</v>
      </c>
      <c r="Z72" s="6">
        <f t="shared" si="12"/>
        <v>68749.141199161837</v>
      </c>
      <c r="AA72" s="6">
        <f t="shared" si="13"/>
        <v>7800.9522352065878</v>
      </c>
      <c r="AB72" s="1">
        <f t="shared" si="14"/>
        <v>0.4</v>
      </c>
      <c r="AC72" s="1">
        <f t="shared" si="17"/>
        <v>1.5</v>
      </c>
      <c r="AD72" s="1">
        <f t="shared" si="18"/>
        <v>1</v>
      </c>
      <c r="AE72" s="1">
        <f t="shared" si="15"/>
        <v>10</v>
      </c>
      <c r="AF72" s="36">
        <f t="shared" si="16"/>
        <v>2.4999999999999987</v>
      </c>
    </row>
    <row r="73" spans="4:32" ht="14.25" customHeight="1" x14ac:dyDescent="0.2">
      <c r="D73" s="1">
        <v>50</v>
      </c>
      <c r="E73" s="6">
        <f t="shared" si="19"/>
        <v>218.42666258578447</v>
      </c>
      <c r="F73" s="6">
        <f t="shared" si="19"/>
        <v>7709.9411257958463</v>
      </c>
      <c r="G73" s="6">
        <f t="shared" si="19"/>
        <v>54.606665646446118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0"/>
        <v>21842.666258578447</v>
      </c>
      <c r="O73" s="6">
        <f t="shared" si="4"/>
        <v>635749.09493619995</v>
      </c>
      <c r="P73" s="6">
        <f t="shared" si="5"/>
        <v>8190.9998469669172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6"/>
        <v>2.4999999999999996</v>
      </c>
      <c r="X73" s="1">
        <v>50</v>
      </c>
      <c r="Y73" s="6">
        <f t="shared" si="11"/>
        <v>4368.5332517156894</v>
      </c>
      <c r="Z73" s="6">
        <f t="shared" si="12"/>
        <v>70638.788326244437</v>
      </c>
      <c r="AA73" s="6">
        <f t="shared" si="13"/>
        <v>8190.9998469669172</v>
      </c>
      <c r="AB73" s="1">
        <f t="shared" si="14"/>
        <v>0.4</v>
      </c>
      <c r="AC73" s="1">
        <f t="shared" si="17"/>
        <v>1.5</v>
      </c>
      <c r="AD73" s="1">
        <f t="shared" si="18"/>
        <v>1</v>
      </c>
      <c r="AE73" s="1">
        <f t="shared" si="15"/>
        <v>10</v>
      </c>
      <c r="AF73" s="36">
        <f t="shared" si="16"/>
        <v>2.4999999999999996</v>
      </c>
    </row>
    <row r="74" spans="4:32" ht="14.25" customHeight="1" x14ac:dyDescent="0.2">
      <c r="D74" s="1">
        <v>51</v>
      </c>
      <c r="E74" s="6">
        <f t="shared" si="19"/>
        <v>229.34799571507369</v>
      </c>
      <c r="F74" s="6">
        <f t="shared" si="19"/>
        <v>8095.4381820856388</v>
      </c>
      <c r="G74" s="6">
        <f t="shared" si="19"/>
        <v>57.336998928768423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0"/>
        <v>22934.79957150737</v>
      </c>
      <c r="O74" s="6">
        <f t="shared" si="4"/>
        <v>652838.61918221018</v>
      </c>
      <c r="P74" s="6">
        <f t="shared" si="5"/>
        <v>8600.5498393152629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6"/>
        <v>2.4999999999999987</v>
      </c>
      <c r="X74" s="1">
        <v>51</v>
      </c>
      <c r="Y74" s="6">
        <f t="shared" si="11"/>
        <v>4586.9599143014739</v>
      </c>
      <c r="Z74" s="6">
        <f t="shared" si="12"/>
        <v>72537.624353578911</v>
      </c>
      <c r="AA74" s="6">
        <f t="shared" si="13"/>
        <v>8600.5498393152629</v>
      </c>
      <c r="AB74" s="1">
        <f t="shared" si="14"/>
        <v>0.4</v>
      </c>
      <c r="AC74" s="1">
        <f t="shared" si="17"/>
        <v>1.5</v>
      </c>
      <c r="AD74" s="1">
        <f t="shared" si="18"/>
        <v>1</v>
      </c>
      <c r="AE74" s="1">
        <f t="shared" si="15"/>
        <v>10</v>
      </c>
      <c r="AF74" s="36">
        <f t="shared" si="16"/>
        <v>2.4999999999999987</v>
      </c>
    </row>
    <row r="75" spans="4:32" ht="14.25" customHeight="1" x14ac:dyDescent="0.2">
      <c r="D75" s="1">
        <v>52</v>
      </c>
      <c r="E75" s="6">
        <f t="shared" si="19"/>
        <v>240.81539550082738</v>
      </c>
      <c r="F75" s="6">
        <f t="shared" si="19"/>
        <v>8500.2100911899197</v>
      </c>
      <c r="G75" s="6">
        <f t="shared" si="19"/>
        <v>60.203848875206845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0"/>
        <v>24081.53955008274</v>
      </c>
      <c r="O75" s="6">
        <f t="shared" si="4"/>
        <v>669990.97898238082</v>
      </c>
      <c r="P75" s="6">
        <f t="shared" si="5"/>
        <v>9030.577331281027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6"/>
        <v>2.4999999999999996</v>
      </c>
      <c r="X75" s="1">
        <v>52</v>
      </c>
      <c r="Y75" s="6">
        <f t="shared" si="11"/>
        <v>4816.3079100165478</v>
      </c>
      <c r="Z75" s="6">
        <f t="shared" si="12"/>
        <v>74443.442109153431</v>
      </c>
      <c r="AA75" s="6">
        <f t="shared" si="13"/>
        <v>9030.577331281027</v>
      </c>
      <c r="AB75" s="1">
        <f t="shared" si="14"/>
        <v>0.4</v>
      </c>
      <c r="AC75" s="1">
        <f t="shared" si="17"/>
        <v>1.5</v>
      </c>
      <c r="AD75" s="1">
        <f t="shared" si="18"/>
        <v>1</v>
      </c>
      <c r="AE75" s="1">
        <f t="shared" si="15"/>
        <v>10</v>
      </c>
      <c r="AF75" s="36">
        <f t="shared" si="16"/>
        <v>2.4999999999999996</v>
      </c>
    </row>
    <row r="76" spans="4:32" ht="14.25" customHeight="1" x14ac:dyDescent="0.2">
      <c r="D76" s="1">
        <v>53</v>
      </c>
      <c r="E76" s="6">
        <f t="shared" si="19"/>
        <v>252.85616527586876</v>
      </c>
      <c r="F76" s="6">
        <f t="shared" si="19"/>
        <v>8925.220595749417</v>
      </c>
      <c r="G76" s="6">
        <f t="shared" si="19"/>
        <v>63.21404131896719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0"/>
        <v>25285.616527586877</v>
      </c>
      <c r="O76" s="6">
        <f t="shared" si="4"/>
        <v>687186.01354842004</v>
      </c>
      <c r="P76" s="6">
        <f t="shared" si="5"/>
        <v>9482.106197845078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6"/>
        <v>2.4999999999999991</v>
      </c>
      <c r="X76" s="1">
        <v>53</v>
      </c>
      <c r="Y76" s="6">
        <f t="shared" si="11"/>
        <v>5057.1233055173752</v>
      </c>
      <c r="Z76" s="6">
        <f t="shared" si="12"/>
        <v>76354.001505380002</v>
      </c>
      <c r="AA76" s="6">
        <f t="shared" si="13"/>
        <v>9482.106197845078</v>
      </c>
      <c r="AB76" s="1">
        <f t="shared" si="14"/>
        <v>0.4</v>
      </c>
      <c r="AC76" s="1">
        <f t="shared" si="17"/>
        <v>1.5</v>
      </c>
      <c r="AD76" s="1">
        <f t="shared" si="18"/>
        <v>1</v>
      </c>
      <c r="AE76" s="1">
        <f t="shared" si="15"/>
        <v>10</v>
      </c>
      <c r="AF76" s="36">
        <f t="shared" si="16"/>
        <v>2.4999999999999991</v>
      </c>
    </row>
    <row r="77" spans="4:32" ht="14.25" customHeight="1" x14ac:dyDescent="0.2">
      <c r="D77" s="1">
        <v>54</v>
      </c>
      <c r="E77" s="6">
        <f t="shared" si="19"/>
        <v>265.49897353966219</v>
      </c>
      <c r="F77" s="6">
        <f t="shared" si="19"/>
        <v>9371.481625536886</v>
      </c>
      <c r="G77" s="6">
        <f t="shared" si="19"/>
        <v>66.374743384915547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0"/>
        <v>26549.897353966222</v>
      </c>
      <c r="O77" s="6">
        <f t="shared" si="4"/>
        <v>704403.35996915679</v>
      </c>
      <c r="P77" s="6">
        <f t="shared" si="5"/>
        <v>9956.2115077373328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6"/>
        <v>2.4999999999999991</v>
      </c>
      <c r="X77" s="1">
        <v>54</v>
      </c>
      <c r="Y77" s="6">
        <f t="shared" si="11"/>
        <v>5309.9794707932442</v>
      </c>
      <c r="Z77" s="6">
        <f t="shared" si="12"/>
        <v>78267.039996572974</v>
      </c>
      <c r="AA77" s="6">
        <f t="shared" si="13"/>
        <v>9956.2115077373328</v>
      </c>
      <c r="AB77" s="1">
        <f t="shared" si="14"/>
        <v>0.4</v>
      </c>
      <c r="AC77" s="1">
        <f t="shared" si="17"/>
        <v>1.5</v>
      </c>
      <c r="AD77" s="1">
        <f t="shared" si="18"/>
        <v>1</v>
      </c>
      <c r="AE77" s="1">
        <f t="shared" si="15"/>
        <v>10</v>
      </c>
      <c r="AF77" s="36">
        <f t="shared" si="16"/>
        <v>2.4999999999999991</v>
      </c>
    </row>
    <row r="78" spans="4:32" ht="14.25" customHeight="1" x14ac:dyDescent="0.2">
      <c r="D78" s="1">
        <v>55</v>
      </c>
      <c r="E78" s="6">
        <f t="shared" si="19"/>
        <v>278.77392221664525</v>
      </c>
      <c r="F78" s="6">
        <f t="shared" si="19"/>
        <v>9840.0557068137296</v>
      </c>
      <c r="G78" s="6">
        <f t="shared" si="19"/>
        <v>69.693480554161312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0"/>
        <v>27877.392221664522</v>
      </c>
      <c r="O78" s="6">
        <f t="shared" si="4"/>
        <v>721622.5493566154</v>
      </c>
      <c r="P78" s="6">
        <f t="shared" si="5"/>
        <v>10454.022083124197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6"/>
        <v>2.4999999999999996</v>
      </c>
      <c r="X78" s="1">
        <v>55</v>
      </c>
      <c r="Y78" s="6">
        <f t="shared" si="11"/>
        <v>5575.4784443329045</v>
      </c>
      <c r="Z78" s="6">
        <f t="shared" si="12"/>
        <v>80180.283261846154</v>
      </c>
      <c r="AA78" s="6">
        <f t="shared" si="13"/>
        <v>10454.022083124197</v>
      </c>
      <c r="AB78" s="1">
        <f t="shared" si="14"/>
        <v>0.4</v>
      </c>
      <c r="AC78" s="1">
        <f t="shared" si="17"/>
        <v>1.5</v>
      </c>
      <c r="AD78" s="1">
        <f t="shared" si="18"/>
        <v>1</v>
      </c>
      <c r="AE78" s="1">
        <f t="shared" si="15"/>
        <v>10</v>
      </c>
      <c r="AF78" s="36">
        <f t="shared" si="16"/>
        <v>2.4999999999999996</v>
      </c>
    </row>
    <row r="79" spans="4:32" ht="14.25" customHeight="1" x14ac:dyDescent="0.2">
      <c r="D79" s="1">
        <v>56</v>
      </c>
      <c r="E79" s="6">
        <f t="shared" si="19"/>
        <v>292.71261832747757</v>
      </c>
      <c r="F79" s="6">
        <f t="shared" si="19"/>
        <v>10332.05849215442</v>
      </c>
      <c r="G79" s="6">
        <f t="shared" si="19"/>
        <v>73.178154581869393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0"/>
        <v>29271.261832747758</v>
      </c>
      <c r="O79" s="6">
        <f t="shared" si="4"/>
        <v>738823.10405989224</v>
      </c>
      <c r="P79" s="6">
        <f t="shared" si="5"/>
        <v>10976.72318728041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6"/>
        <v>2.4999999999999991</v>
      </c>
      <c r="X79" s="1">
        <v>56</v>
      </c>
      <c r="Y79" s="6">
        <f t="shared" si="11"/>
        <v>5854.2523665495519</v>
      </c>
      <c r="Z79" s="6">
        <f t="shared" si="12"/>
        <v>82091.456006654698</v>
      </c>
      <c r="AA79" s="6">
        <f t="shared" si="13"/>
        <v>10976.72318728041</v>
      </c>
      <c r="AB79" s="1">
        <f t="shared" si="14"/>
        <v>0.4</v>
      </c>
      <c r="AC79" s="1">
        <f t="shared" si="17"/>
        <v>1.5</v>
      </c>
      <c r="AD79" s="1">
        <f t="shared" si="18"/>
        <v>1</v>
      </c>
      <c r="AE79" s="1">
        <f t="shared" si="15"/>
        <v>10</v>
      </c>
      <c r="AF79" s="36">
        <f t="shared" si="16"/>
        <v>2.4999999999999991</v>
      </c>
    </row>
    <row r="80" spans="4:32" ht="14.25" customHeight="1" x14ac:dyDescent="0.2">
      <c r="D80" s="1">
        <v>57</v>
      </c>
      <c r="E80" s="6">
        <f t="shared" si="19"/>
        <v>307.3482492438514</v>
      </c>
      <c r="F80" s="6">
        <f t="shared" si="19"/>
        <v>10848.661416762137</v>
      </c>
      <c r="G80" s="6">
        <f t="shared" si="19"/>
        <v>76.83706231096285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0"/>
        <v>30734.824924385139</v>
      </c>
      <c r="O80" s="6">
        <f t="shared" si="4"/>
        <v>755984.63496745168</v>
      </c>
      <c r="P80" s="6">
        <f t="shared" si="5"/>
        <v>11525.559346644428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6"/>
        <v>2.4999999999999996</v>
      </c>
      <c r="X80" s="1">
        <v>57</v>
      </c>
      <c r="Y80" s="6">
        <f t="shared" si="11"/>
        <v>6146.9649848770277</v>
      </c>
      <c r="Z80" s="6">
        <f t="shared" si="12"/>
        <v>83998.292774161295</v>
      </c>
      <c r="AA80" s="6">
        <f t="shared" si="13"/>
        <v>11525.559346644428</v>
      </c>
      <c r="AB80" s="1">
        <f t="shared" si="14"/>
        <v>0.4</v>
      </c>
      <c r="AC80" s="1">
        <f t="shared" si="17"/>
        <v>1.5</v>
      </c>
      <c r="AD80" s="1">
        <f t="shared" si="18"/>
        <v>1</v>
      </c>
      <c r="AE80" s="1">
        <f t="shared" si="15"/>
        <v>10</v>
      </c>
      <c r="AF80" s="36">
        <f t="shared" si="16"/>
        <v>2.4999999999999996</v>
      </c>
    </row>
    <row r="81" spans="4:32" ht="14.25" customHeight="1" x14ac:dyDescent="0.2">
      <c r="D81" s="1">
        <v>58</v>
      </c>
      <c r="E81" s="6">
        <f t="shared" si="19"/>
        <v>322.71566170604399</v>
      </c>
      <c r="F81" s="6">
        <f t="shared" si="19"/>
        <v>11391.094487600247</v>
      </c>
      <c r="G81" s="6">
        <f t="shared" si="19"/>
        <v>80.678915426510997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0"/>
        <v>32271.566170604401</v>
      </c>
      <c r="O81" s="6">
        <f t="shared" si="4"/>
        <v>773086.93791693088</v>
      </c>
      <c r="P81" s="6">
        <f t="shared" si="5"/>
        <v>12101.83731397665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6"/>
        <v>2.5</v>
      </c>
      <c r="X81" s="1">
        <v>58</v>
      </c>
      <c r="Y81" s="6">
        <f t="shared" si="11"/>
        <v>6454.3132341208802</v>
      </c>
      <c r="Z81" s="6">
        <f t="shared" si="12"/>
        <v>85898.548657436768</v>
      </c>
      <c r="AA81" s="6">
        <f t="shared" si="13"/>
        <v>12101.83731397665</v>
      </c>
      <c r="AB81" s="1">
        <f t="shared" si="14"/>
        <v>0.4</v>
      </c>
      <c r="AC81" s="1">
        <f t="shared" si="17"/>
        <v>1.5</v>
      </c>
      <c r="AD81" s="1">
        <f t="shared" si="18"/>
        <v>1</v>
      </c>
      <c r="AE81" s="1">
        <f t="shared" si="15"/>
        <v>10</v>
      </c>
      <c r="AF81" s="36">
        <f t="shared" si="16"/>
        <v>2.5</v>
      </c>
    </row>
    <row r="82" spans="4:32" ht="14.25" customHeight="1" x14ac:dyDescent="0.2">
      <c r="D82" s="1">
        <v>59</v>
      </c>
      <c r="E82" s="6">
        <f t="shared" si="19"/>
        <v>338.85144479134624</v>
      </c>
      <c r="F82" s="6">
        <f t="shared" si="19"/>
        <v>11960.649211980259</v>
      </c>
      <c r="G82" s="6">
        <f t="shared" si="19"/>
        <v>84.71286119783656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0"/>
        <v>33885.144479134629</v>
      </c>
      <c r="O82" s="6">
        <f t="shared" si="4"/>
        <v>790110.08824693877</v>
      </c>
      <c r="P82" s="6">
        <f t="shared" si="5"/>
        <v>12706.929179675484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6"/>
        <v>2.4999999999999991</v>
      </c>
      <c r="X82" s="1">
        <v>59</v>
      </c>
      <c r="Y82" s="6">
        <f t="shared" si="11"/>
        <v>6777.0288958269257</v>
      </c>
      <c r="Z82" s="6">
        <f t="shared" si="12"/>
        <v>87790.009805215421</v>
      </c>
      <c r="AA82" s="6">
        <f t="shared" si="13"/>
        <v>12706.929179675484</v>
      </c>
      <c r="AB82" s="1">
        <f t="shared" si="14"/>
        <v>0.4</v>
      </c>
      <c r="AC82" s="1">
        <f t="shared" si="17"/>
        <v>1.5</v>
      </c>
      <c r="AD82" s="1">
        <f t="shared" si="18"/>
        <v>1</v>
      </c>
      <c r="AE82" s="1">
        <f t="shared" si="15"/>
        <v>10</v>
      </c>
      <c r="AF82" s="36">
        <f t="shared" si="16"/>
        <v>2.4999999999999991</v>
      </c>
    </row>
    <row r="83" spans="4:32" ht="14.25" customHeight="1" x14ac:dyDescent="0.2">
      <c r="D83" s="1">
        <v>60</v>
      </c>
      <c r="E83" s="6">
        <f t="shared" si="19"/>
        <v>355.79401703091355</v>
      </c>
      <c r="F83" s="6">
        <f t="shared" si="19"/>
        <v>12558.681672579272</v>
      </c>
      <c r="G83" s="6">
        <f t="shared" si="19"/>
        <v>88.948504257728388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0"/>
        <v>35579.40170309136</v>
      </c>
      <c r="O83" s="6">
        <f t="shared" si="4"/>
        <v>807034.53255729494</v>
      </c>
      <c r="P83" s="6">
        <f t="shared" si="5"/>
        <v>13342.275638659257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6"/>
        <v>2.4999999999999987</v>
      </c>
      <c r="X83" s="1">
        <v>60</v>
      </c>
      <c r="Y83" s="6">
        <f t="shared" si="11"/>
        <v>7115.8803406182724</v>
      </c>
      <c r="Z83" s="6">
        <f t="shared" si="12"/>
        <v>89670.50361747721</v>
      </c>
      <c r="AA83" s="6">
        <f t="shared" si="13"/>
        <v>13342.275638659257</v>
      </c>
      <c r="AB83" s="1">
        <f t="shared" si="14"/>
        <v>0.4</v>
      </c>
      <c r="AC83" s="1">
        <f t="shared" si="17"/>
        <v>1.5</v>
      </c>
      <c r="AD83" s="1">
        <f t="shared" si="18"/>
        <v>1</v>
      </c>
      <c r="AE83" s="1">
        <f t="shared" si="15"/>
        <v>10</v>
      </c>
      <c r="AF83" s="36">
        <f t="shared" si="16"/>
        <v>2.4999999999999987</v>
      </c>
    </row>
    <row r="84" spans="4:32" ht="14.25" customHeight="1" x14ac:dyDescent="0.2">
      <c r="D84" s="1">
        <v>61</v>
      </c>
      <c r="E84" s="6">
        <f t="shared" si="19"/>
        <v>373.58371788245915</v>
      </c>
      <c r="F84" s="6">
        <f t="shared" si="19"/>
        <v>13186.615756208234</v>
      </c>
      <c r="G84" s="6">
        <f t="shared" si="19"/>
        <v>93.395929470614789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0"/>
        <v>37358.371788245924</v>
      </c>
      <c r="O84" s="6">
        <f t="shared" si="4"/>
        <v>823841.17679176107</v>
      </c>
      <c r="P84" s="6">
        <f t="shared" si="5"/>
        <v>14009.389420592219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6"/>
        <v>2.4999999999999991</v>
      </c>
      <c r="X84" s="1">
        <v>61</v>
      </c>
      <c r="Y84" s="6">
        <f t="shared" si="11"/>
        <v>7471.6743576491845</v>
      </c>
      <c r="Z84" s="6">
        <f t="shared" si="12"/>
        <v>91537.908532417903</v>
      </c>
      <c r="AA84" s="6">
        <f t="shared" si="13"/>
        <v>14009.389420592219</v>
      </c>
      <c r="AB84" s="1">
        <f t="shared" si="14"/>
        <v>0.4</v>
      </c>
      <c r="AC84" s="1">
        <f t="shared" si="17"/>
        <v>1.5</v>
      </c>
      <c r="AD84" s="1">
        <f t="shared" si="18"/>
        <v>1</v>
      </c>
      <c r="AE84" s="1">
        <f t="shared" si="15"/>
        <v>10</v>
      </c>
      <c r="AF84" s="36">
        <f t="shared" si="16"/>
        <v>2.4999999999999991</v>
      </c>
    </row>
    <row r="85" spans="4:32" ht="14.25" customHeight="1" x14ac:dyDescent="0.2">
      <c r="D85" s="1">
        <v>62</v>
      </c>
      <c r="E85" s="6">
        <f t="shared" si="19"/>
        <v>392.26290377658222</v>
      </c>
      <c r="F85" s="6">
        <f t="shared" si="19"/>
        <v>13845.946544018649</v>
      </c>
      <c r="G85" s="6">
        <f t="shared" si="19"/>
        <v>98.065725944145555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0"/>
        <v>39226.290377658224</v>
      </c>
      <c r="O85" s="6">
        <f t="shared" si="4"/>
        <v>840511.46981943771</v>
      </c>
      <c r="P85" s="6">
        <f t="shared" si="5"/>
        <v>14709.858891621834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6"/>
        <v>2.4999999999999996</v>
      </c>
      <c r="X85" s="1">
        <v>62</v>
      </c>
      <c r="Y85" s="6">
        <f t="shared" si="11"/>
        <v>7845.2580755316449</v>
      </c>
      <c r="Z85" s="6">
        <f t="shared" si="12"/>
        <v>93390.163313270852</v>
      </c>
      <c r="AA85" s="6">
        <f t="shared" si="13"/>
        <v>14709.858891621834</v>
      </c>
      <c r="AB85" s="1">
        <f t="shared" si="14"/>
        <v>0.4</v>
      </c>
      <c r="AC85" s="1">
        <f t="shared" si="17"/>
        <v>1.5</v>
      </c>
      <c r="AD85" s="1">
        <f t="shared" si="18"/>
        <v>1</v>
      </c>
      <c r="AE85" s="1">
        <f t="shared" si="15"/>
        <v>10</v>
      </c>
      <c r="AF85" s="36">
        <f t="shared" si="16"/>
        <v>2.4999999999999996</v>
      </c>
    </row>
    <row r="86" spans="4:32" ht="14.25" customHeight="1" x14ac:dyDescent="0.2">
      <c r="D86" s="1">
        <v>63</v>
      </c>
      <c r="E86" s="6">
        <f t="shared" si="19"/>
        <v>411.8760489654112</v>
      </c>
      <c r="F86" s="6">
        <f t="shared" si="19"/>
        <v>14538.243871219576</v>
      </c>
      <c r="G86" s="6">
        <f t="shared" si="19"/>
        <v>102.9690122413528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0"/>
        <v>41187.604896541125</v>
      </c>
      <c r="O86" s="6">
        <f t="shared" si="4"/>
        <v>857027.4817659416</v>
      </c>
      <c r="P86" s="6">
        <f t="shared" si="5"/>
        <v>15445.351836202921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6"/>
        <v>2.4999999999999996</v>
      </c>
      <c r="X86" s="1">
        <v>63</v>
      </c>
      <c r="Y86" s="6">
        <f t="shared" si="11"/>
        <v>8237.5209793082249</v>
      </c>
      <c r="Z86" s="6">
        <f t="shared" si="12"/>
        <v>95225.275751771289</v>
      </c>
      <c r="AA86" s="6">
        <f t="shared" si="13"/>
        <v>15445.351836202921</v>
      </c>
      <c r="AB86" s="1">
        <f t="shared" si="14"/>
        <v>0.4</v>
      </c>
      <c r="AC86" s="1">
        <f t="shared" si="17"/>
        <v>1.5</v>
      </c>
      <c r="AD86" s="1">
        <f t="shared" si="18"/>
        <v>1</v>
      </c>
      <c r="AE86" s="1">
        <f t="shared" si="15"/>
        <v>10</v>
      </c>
      <c r="AF86" s="36">
        <f t="shared" si="16"/>
        <v>2.4999999999999996</v>
      </c>
    </row>
    <row r="87" spans="4:32" ht="14.25" customHeight="1" x14ac:dyDescent="0.2">
      <c r="D87" s="1">
        <v>64</v>
      </c>
      <c r="E87" s="6">
        <f t="shared" si="19"/>
        <v>432.46985141368191</v>
      </c>
      <c r="F87" s="6">
        <f t="shared" si="19"/>
        <v>15265.156064780562</v>
      </c>
      <c r="G87" s="6">
        <f t="shared" si="19"/>
        <v>108.11746285342048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0"/>
        <v>43246.985141368197</v>
      </c>
      <c r="O87" s="6">
        <f t="shared" si="4"/>
        <v>873371.97643143043</v>
      </c>
      <c r="P87" s="6">
        <f t="shared" si="5"/>
        <v>16217.619428013071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6"/>
        <v>2.4999999999999991</v>
      </c>
      <c r="X87" s="1">
        <v>64</v>
      </c>
      <c r="Y87" s="6">
        <f t="shared" si="11"/>
        <v>8649.3970282736391</v>
      </c>
      <c r="Z87" s="6">
        <f t="shared" si="12"/>
        <v>97041.330714603377</v>
      </c>
      <c r="AA87" s="6">
        <f t="shared" si="13"/>
        <v>16217.619428013071</v>
      </c>
      <c r="AB87" s="1">
        <f t="shared" si="14"/>
        <v>0.4</v>
      </c>
      <c r="AC87" s="1">
        <f t="shared" si="17"/>
        <v>1.5</v>
      </c>
      <c r="AD87" s="1">
        <f t="shared" si="18"/>
        <v>1</v>
      </c>
      <c r="AE87" s="1">
        <f t="shared" si="15"/>
        <v>10</v>
      </c>
      <c r="AF87" s="36">
        <f t="shared" si="16"/>
        <v>2.4999999999999991</v>
      </c>
    </row>
    <row r="88" spans="4:32" ht="14.25" customHeight="1" x14ac:dyDescent="0.2">
      <c r="D88" s="1">
        <v>65</v>
      </c>
      <c r="E88" s="6">
        <f t="shared" si="19"/>
        <v>454.09334398436602</v>
      </c>
      <c r="F88" s="6">
        <f t="shared" si="19"/>
        <v>16028.413868019588</v>
      </c>
      <c r="G88" s="6">
        <f t="shared" si="19"/>
        <v>113.5233359960915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0"/>
        <v>45409.334398436607</v>
      </c>
      <c r="O88" s="6">
        <f t="shared" si="4"/>
        <v>889528.47722735244</v>
      </c>
      <c r="P88" s="6">
        <f t="shared" si="5"/>
        <v>17028.500399413726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6"/>
        <v>2.4999999999999991</v>
      </c>
      <c r="X88" s="1">
        <v>65</v>
      </c>
      <c r="Y88" s="6">
        <f t="shared" si="11"/>
        <v>9081.8668796873208</v>
      </c>
      <c r="Z88" s="6">
        <f t="shared" si="12"/>
        <v>98836.497469705821</v>
      </c>
      <c r="AA88" s="6">
        <f t="shared" si="13"/>
        <v>17028.500399413726</v>
      </c>
      <c r="AB88" s="1">
        <f t="shared" si="14"/>
        <v>0.4</v>
      </c>
      <c r="AC88" s="1">
        <f t="shared" si="17"/>
        <v>1.5</v>
      </c>
      <c r="AD88" s="1">
        <f t="shared" si="18"/>
        <v>1</v>
      </c>
      <c r="AE88" s="1">
        <f t="shared" si="15"/>
        <v>10</v>
      </c>
      <c r="AF88" s="36">
        <f t="shared" si="16"/>
        <v>2.4999999999999991</v>
      </c>
    </row>
    <row r="89" spans="4:32" ht="14.25" customHeight="1" x14ac:dyDescent="0.2">
      <c r="D89" s="1">
        <v>66</v>
      </c>
      <c r="E89" s="6">
        <f t="shared" si="19"/>
        <v>476.79801118358432</v>
      </c>
      <c r="F89" s="6">
        <f t="shared" si="19"/>
        <v>16829.834561420568</v>
      </c>
      <c r="G89" s="6">
        <f t="shared" si="19"/>
        <v>119.19950279589608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0">E89*T89*$K$21/S89/(1+Q89*(R89-1))</f>
        <v>47679.801118358439</v>
      </c>
      <c r="O89" s="6">
        <f t="shared" ref="O89:O123" si="21">F89*$K$21/(1+P89/$P$22)</f>
        <v>905481.32616519218</v>
      </c>
      <c r="P89" s="6">
        <f t="shared" ref="P89:P123" si="22">G89*$K$21</f>
        <v>17879.925419384414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3">E89*$K$21*(1-T89)/(1/U89)/(1+Q89*(R89-1))/N89</f>
        <v>2.4999999999999996</v>
      </c>
      <c r="X89" s="1">
        <v>66</v>
      </c>
      <c r="Y89" s="6">
        <f t="shared" si="11"/>
        <v>9535.9602236716873</v>
      </c>
      <c r="Z89" s="6">
        <f t="shared" si="12"/>
        <v>100609.03624057691</v>
      </c>
      <c r="AA89" s="6">
        <f t="shared" si="13"/>
        <v>17879.925419384414</v>
      </c>
      <c r="AB89" s="1">
        <f t="shared" si="14"/>
        <v>0.4</v>
      </c>
      <c r="AC89" s="1">
        <f t="shared" si="17"/>
        <v>1.5</v>
      </c>
      <c r="AD89" s="1">
        <f t="shared" si="18"/>
        <v>1</v>
      </c>
      <c r="AE89" s="1">
        <f t="shared" si="15"/>
        <v>10</v>
      </c>
      <c r="AF89" s="36">
        <f t="shared" si="16"/>
        <v>2.4999999999999996</v>
      </c>
    </row>
    <row r="90" spans="4:32" ht="14.25" customHeight="1" x14ac:dyDescent="0.2">
      <c r="D90" s="1">
        <v>67</v>
      </c>
      <c r="E90" s="6">
        <f t="shared" ref="E90:G123" si="24">E$21*E$22^($D90-1)</f>
        <v>500.63791174276355</v>
      </c>
      <c r="F90" s="6">
        <f t="shared" si="24"/>
        <v>17671.326289491597</v>
      </c>
      <c r="G90" s="6">
        <f t="shared" si="24"/>
        <v>125.15947793569089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0"/>
        <v>50063.791174276368</v>
      </c>
      <c r="O90" s="6">
        <f t="shared" si="21"/>
        <v>921215.73553610465</v>
      </c>
      <c r="P90" s="6">
        <f t="shared" si="22"/>
        <v>18773.921690353633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3"/>
        <v>2.4999999999999991</v>
      </c>
      <c r="X90" s="1">
        <v>67</v>
      </c>
      <c r="Y90" s="6">
        <f t="shared" ref="Y90:Y123" si="25">2*N90/(1+$X$22)</f>
        <v>10012.758234855273</v>
      </c>
      <c r="Z90" s="6">
        <f t="shared" ref="Z90:Z123" si="26">O90/$X$22</f>
        <v>102357.30394845607</v>
      </c>
      <c r="AA90" s="6">
        <f t="shared" ref="AA90:AA123" si="27">P90</f>
        <v>18773.921690353633</v>
      </c>
      <c r="AB90" s="1">
        <f t="shared" ref="AB90:AB123" si="28">Q90</f>
        <v>0.4</v>
      </c>
      <c r="AC90" s="1">
        <f t="shared" si="17"/>
        <v>1.5</v>
      </c>
      <c r="AD90" s="1">
        <f t="shared" si="18"/>
        <v>1</v>
      </c>
      <c r="AE90" s="1">
        <f t="shared" ref="AE90:AE123" si="29">U90</f>
        <v>10</v>
      </c>
      <c r="AF90" s="36">
        <f t="shared" ref="AF90:AF123" si="30">V90</f>
        <v>2.4999999999999991</v>
      </c>
    </row>
    <row r="91" spans="4:32" ht="14.25" customHeight="1" x14ac:dyDescent="0.2">
      <c r="D91" s="1">
        <v>68</v>
      </c>
      <c r="E91" s="6">
        <f t="shared" si="24"/>
        <v>525.66980732990169</v>
      </c>
      <c r="F91" s="6">
        <f t="shared" si="24"/>
        <v>18554.892603966178</v>
      </c>
      <c r="G91" s="6">
        <f t="shared" si="24"/>
        <v>131.41745183247542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0"/>
        <v>52566.980732990174</v>
      </c>
      <c r="O91" s="6">
        <f t="shared" si="21"/>
        <v>936717.83202783822</v>
      </c>
      <c r="P91" s="6">
        <f t="shared" si="22"/>
        <v>19712.617774871313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3"/>
        <v>2.4999999999999987</v>
      </c>
      <c r="X91" s="1">
        <v>68</v>
      </c>
      <c r="Y91" s="6">
        <f t="shared" si="25"/>
        <v>10513.396146598036</v>
      </c>
      <c r="Z91" s="6">
        <f t="shared" si="26"/>
        <v>104079.75911420425</v>
      </c>
      <c r="AA91" s="6">
        <f t="shared" si="27"/>
        <v>19712.617774871313</v>
      </c>
      <c r="AB91" s="1">
        <f t="shared" si="28"/>
        <v>0.4</v>
      </c>
      <c r="AC91" s="1">
        <f t="shared" ref="AC91:AC123" si="31">R91</f>
        <v>1.5</v>
      </c>
      <c r="AD91" s="1">
        <f t="shared" ref="AD91:AD123" si="32">S91</f>
        <v>1</v>
      </c>
      <c r="AE91" s="1">
        <f t="shared" si="29"/>
        <v>10</v>
      </c>
      <c r="AF91" s="36">
        <f t="shared" si="30"/>
        <v>2.4999999999999987</v>
      </c>
    </row>
    <row r="92" spans="4:32" ht="14.25" customHeight="1" x14ac:dyDescent="0.2">
      <c r="D92" s="1">
        <v>69</v>
      </c>
      <c r="E92" s="6">
        <f t="shared" si="24"/>
        <v>551.95329769639682</v>
      </c>
      <c r="F92" s="6">
        <f t="shared" si="24"/>
        <v>19482.637234164486</v>
      </c>
      <c r="G92" s="6">
        <f t="shared" si="24"/>
        <v>137.9883244240992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0"/>
        <v>55195.329769639684</v>
      </c>
      <c r="O92" s="6">
        <f t="shared" si="21"/>
        <v>951974.69313239481</v>
      </c>
      <c r="P92" s="6">
        <f t="shared" si="22"/>
        <v>20698.248663614882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3"/>
        <v>2.4999999999999996</v>
      </c>
      <c r="X92" s="1">
        <v>69</v>
      </c>
      <c r="Y92" s="6">
        <f t="shared" si="25"/>
        <v>11039.065953927937</v>
      </c>
      <c r="Z92" s="6">
        <f t="shared" si="26"/>
        <v>105774.96590359943</v>
      </c>
      <c r="AA92" s="6">
        <f t="shared" si="27"/>
        <v>20698.248663614882</v>
      </c>
      <c r="AB92" s="1">
        <f t="shared" si="28"/>
        <v>0.4</v>
      </c>
      <c r="AC92" s="1">
        <f t="shared" si="31"/>
        <v>1.5</v>
      </c>
      <c r="AD92" s="1">
        <f t="shared" si="32"/>
        <v>1</v>
      </c>
      <c r="AE92" s="1">
        <f t="shared" si="29"/>
        <v>10</v>
      </c>
      <c r="AF92" s="36">
        <f t="shared" si="30"/>
        <v>2.4999999999999996</v>
      </c>
    </row>
    <row r="93" spans="4:32" ht="14.25" customHeight="1" x14ac:dyDescent="0.2">
      <c r="D93" s="1">
        <v>70</v>
      </c>
      <c r="E93" s="6">
        <f t="shared" si="24"/>
        <v>579.5509625812166</v>
      </c>
      <c r="F93" s="6">
        <f t="shared" si="24"/>
        <v>20456.769095872711</v>
      </c>
      <c r="G93" s="6">
        <f t="shared" si="24"/>
        <v>144.88774064530415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0"/>
        <v>57955.096258121666</v>
      </c>
      <c r="O93" s="6">
        <f t="shared" si="21"/>
        <v>966974.37580234068</v>
      </c>
      <c r="P93" s="6">
        <f t="shared" si="22"/>
        <v>21733.161096795622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3"/>
        <v>2.4999999999999991</v>
      </c>
      <c r="X93" s="1">
        <v>70</v>
      </c>
      <c r="Y93" s="6">
        <f t="shared" si="25"/>
        <v>11591.019251624333</v>
      </c>
      <c r="Z93" s="6">
        <f t="shared" si="26"/>
        <v>107441.59731137118</v>
      </c>
      <c r="AA93" s="6">
        <f t="shared" si="27"/>
        <v>21733.161096795622</v>
      </c>
      <c r="AB93" s="1">
        <f t="shared" si="28"/>
        <v>0.4</v>
      </c>
      <c r="AC93" s="1">
        <f t="shared" si="31"/>
        <v>1.5</v>
      </c>
      <c r="AD93" s="1">
        <f t="shared" si="32"/>
        <v>1</v>
      </c>
      <c r="AE93" s="1">
        <f t="shared" si="29"/>
        <v>10</v>
      </c>
      <c r="AF93" s="36">
        <f t="shared" si="30"/>
        <v>2.4999999999999991</v>
      </c>
    </row>
    <row r="94" spans="4:32" ht="14.25" customHeight="1" x14ac:dyDescent="0.2">
      <c r="D94" s="1">
        <v>71</v>
      </c>
      <c r="E94" s="6">
        <f t="shared" si="24"/>
        <v>608.52851071027749</v>
      </c>
      <c r="F94" s="6">
        <f t="shared" si="24"/>
        <v>21479.607550666344</v>
      </c>
      <c r="G94" s="6">
        <f t="shared" si="24"/>
        <v>152.13212767756937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0"/>
        <v>60852.851071027755</v>
      </c>
      <c r="O94" s="6">
        <f t="shared" si="21"/>
        <v>981705.93741355301</v>
      </c>
      <c r="P94" s="6">
        <f t="shared" si="22"/>
        <v>22819.819151635405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3"/>
        <v>2.4999999999999991</v>
      </c>
      <c r="X94" s="1">
        <v>71</v>
      </c>
      <c r="Y94" s="6">
        <f t="shared" si="25"/>
        <v>12170.570214205551</v>
      </c>
      <c r="Z94" s="6">
        <f t="shared" si="26"/>
        <v>109078.43749039478</v>
      </c>
      <c r="AA94" s="6">
        <f t="shared" si="27"/>
        <v>22819.819151635405</v>
      </c>
      <c r="AB94" s="1">
        <f t="shared" si="28"/>
        <v>0.4</v>
      </c>
      <c r="AC94" s="1">
        <f t="shared" si="31"/>
        <v>1.5</v>
      </c>
      <c r="AD94" s="1">
        <f t="shared" si="32"/>
        <v>1</v>
      </c>
      <c r="AE94" s="1">
        <f t="shared" si="29"/>
        <v>10</v>
      </c>
      <c r="AF94" s="36">
        <f t="shared" si="30"/>
        <v>2.4999999999999991</v>
      </c>
    </row>
    <row r="95" spans="4:32" ht="14.25" customHeight="1" x14ac:dyDescent="0.2">
      <c r="D95" s="1">
        <v>72</v>
      </c>
      <c r="E95" s="6">
        <f t="shared" si="24"/>
        <v>638.95493624579137</v>
      </c>
      <c r="F95" s="6">
        <f t="shared" si="24"/>
        <v>22553.587928199664</v>
      </c>
      <c r="G95" s="6">
        <f t="shared" si="24"/>
        <v>159.73873406144784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0"/>
        <v>63895.49362457914</v>
      </c>
      <c r="O95" s="6">
        <f t="shared" si="21"/>
        <v>996159.44918574579</v>
      </c>
      <c r="P95" s="6">
        <f t="shared" si="22"/>
        <v>23960.810109217178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3"/>
        <v>2.4999999999999996</v>
      </c>
      <c r="X95" s="1">
        <v>72</v>
      </c>
      <c r="Y95" s="6">
        <f t="shared" si="25"/>
        <v>12779.098724915828</v>
      </c>
      <c r="Z95" s="6">
        <f t="shared" si="26"/>
        <v>110684.38324286064</v>
      </c>
      <c r="AA95" s="6">
        <f t="shared" si="27"/>
        <v>23960.810109217178</v>
      </c>
      <c r="AB95" s="1">
        <f t="shared" si="28"/>
        <v>0.4</v>
      </c>
      <c r="AC95" s="1">
        <f t="shared" si="31"/>
        <v>1.5</v>
      </c>
      <c r="AD95" s="1">
        <f t="shared" si="32"/>
        <v>1</v>
      </c>
      <c r="AE95" s="1">
        <f t="shared" si="29"/>
        <v>10</v>
      </c>
      <c r="AF95" s="36">
        <f t="shared" si="30"/>
        <v>2.4999999999999996</v>
      </c>
    </row>
    <row r="96" spans="4:32" ht="14.25" customHeight="1" x14ac:dyDescent="0.2">
      <c r="D96" s="1">
        <v>73</v>
      </c>
      <c r="E96" s="6">
        <f t="shared" si="24"/>
        <v>670.90268305808092</v>
      </c>
      <c r="F96" s="6">
        <f t="shared" si="24"/>
        <v>23681.267324609646</v>
      </c>
      <c r="G96" s="6">
        <f t="shared" si="24"/>
        <v>167.72567076452023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0"/>
        <v>67090.268305808102</v>
      </c>
      <c r="O96" s="6">
        <f t="shared" si="21"/>
        <v>1010326.0022978358</v>
      </c>
      <c r="P96" s="6">
        <f t="shared" si="22"/>
        <v>25158.850614678035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3"/>
        <v>2.4999999999999996</v>
      </c>
      <c r="X96" s="1">
        <v>73</v>
      </c>
      <c r="Y96" s="6">
        <f t="shared" si="25"/>
        <v>13418.053661161621</v>
      </c>
      <c r="Z96" s="6">
        <f t="shared" si="26"/>
        <v>112258.44469975954</v>
      </c>
      <c r="AA96" s="6">
        <f t="shared" si="27"/>
        <v>25158.850614678035</v>
      </c>
      <c r="AB96" s="1">
        <f t="shared" si="28"/>
        <v>0.4</v>
      </c>
      <c r="AC96" s="1">
        <f t="shared" si="31"/>
        <v>1.5</v>
      </c>
      <c r="AD96" s="1">
        <f t="shared" si="32"/>
        <v>1</v>
      </c>
      <c r="AE96" s="1">
        <f t="shared" si="29"/>
        <v>10</v>
      </c>
      <c r="AF96" s="36">
        <f t="shared" si="30"/>
        <v>2.4999999999999996</v>
      </c>
    </row>
    <row r="97" spans="4:32" ht="14.25" customHeight="1" x14ac:dyDescent="0.2">
      <c r="D97" s="1">
        <v>74</v>
      </c>
      <c r="E97" s="6">
        <f t="shared" si="24"/>
        <v>704.44781721098491</v>
      </c>
      <c r="F97" s="6">
        <f t="shared" si="24"/>
        <v>24865.330690840128</v>
      </c>
      <c r="G97" s="6">
        <f t="shared" si="24"/>
        <v>176.11195430274623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0"/>
        <v>70444.781721098494</v>
      </c>
      <c r="O97" s="6">
        <f t="shared" si="21"/>
        <v>1024197.7070119717</v>
      </c>
      <c r="P97" s="6">
        <f t="shared" si="22"/>
        <v>26416.793145411935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3"/>
        <v>2.4999999999999996</v>
      </c>
      <c r="X97" s="1">
        <v>74</v>
      </c>
      <c r="Y97" s="6">
        <f t="shared" si="25"/>
        <v>14088.9563442197</v>
      </c>
      <c r="Z97" s="6">
        <f t="shared" si="26"/>
        <v>113799.74522355241</v>
      </c>
      <c r="AA97" s="6">
        <f t="shared" si="27"/>
        <v>26416.793145411935</v>
      </c>
      <c r="AB97" s="1">
        <f t="shared" si="28"/>
        <v>0.4</v>
      </c>
      <c r="AC97" s="1">
        <f t="shared" si="31"/>
        <v>1.5</v>
      </c>
      <c r="AD97" s="1">
        <f t="shared" si="32"/>
        <v>1</v>
      </c>
      <c r="AE97" s="1">
        <f t="shared" si="29"/>
        <v>10</v>
      </c>
      <c r="AF97" s="36">
        <f t="shared" si="30"/>
        <v>2.4999999999999996</v>
      </c>
    </row>
    <row r="98" spans="4:32" ht="14.25" customHeight="1" x14ac:dyDescent="0.2">
      <c r="D98" s="1">
        <v>75</v>
      </c>
      <c r="E98" s="6">
        <f t="shared" si="24"/>
        <v>739.67020807153415</v>
      </c>
      <c r="F98" s="6">
        <f t="shared" si="24"/>
        <v>26108.597225382135</v>
      </c>
      <c r="G98" s="6">
        <f t="shared" si="24"/>
        <v>184.91755201788354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0"/>
        <v>73967.020807153429</v>
      </c>
      <c r="O98" s="6">
        <f t="shared" si="21"/>
        <v>1037767.6851869033</v>
      </c>
      <c r="P98" s="6">
        <f t="shared" si="22"/>
        <v>27737.632802682532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3"/>
        <v>2.4999999999999987</v>
      </c>
      <c r="X98" s="1">
        <v>75</v>
      </c>
      <c r="Y98" s="6">
        <f t="shared" si="25"/>
        <v>14793.404161430686</v>
      </c>
      <c r="Z98" s="6">
        <f t="shared" si="26"/>
        <v>115307.5205763226</v>
      </c>
      <c r="AA98" s="6">
        <f t="shared" si="27"/>
        <v>27737.632802682532</v>
      </c>
      <c r="AB98" s="1">
        <f t="shared" si="28"/>
        <v>0.4</v>
      </c>
      <c r="AC98" s="1">
        <f t="shared" si="31"/>
        <v>1.5</v>
      </c>
      <c r="AD98" s="1">
        <f t="shared" si="32"/>
        <v>1</v>
      </c>
      <c r="AE98" s="1">
        <f t="shared" si="29"/>
        <v>10</v>
      </c>
      <c r="AF98" s="36">
        <f t="shared" si="30"/>
        <v>2.4999999999999987</v>
      </c>
    </row>
    <row r="99" spans="4:32" ht="14.25" customHeight="1" x14ac:dyDescent="0.2">
      <c r="D99" s="1">
        <v>76</v>
      </c>
      <c r="E99" s="6">
        <f t="shared" si="24"/>
        <v>776.65371847511096</v>
      </c>
      <c r="F99" s="6">
        <f t="shared" si="24"/>
        <v>27414.027086651244</v>
      </c>
      <c r="G99" s="6">
        <f t="shared" si="24"/>
        <v>194.16342961877774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0"/>
        <v>77665.371847511109</v>
      </c>
      <c r="O99" s="6">
        <f t="shared" si="21"/>
        <v>1051030.0566177831</v>
      </c>
      <c r="P99" s="6">
        <f t="shared" si="22"/>
        <v>29124.51444281666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3"/>
        <v>2.4999999999999991</v>
      </c>
      <c r="X99" s="1">
        <v>76</v>
      </c>
      <c r="Y99" s="6">
        <f t="shared" si="25"/>
        <v>15533.074369502221</v>
      </c>
      <c r="Z99" s="6">
        <f t="shared" si="26"/>
        <v>116781.11740197591</v>
      </c>
      <c r="AA99" s="6">
        <f t="shared" si="27"/>
        <v>29124.51444281666</v>
      </c>
      <c r="AB99" s="1">
        <f t="shared" si="28"/>
        <v>0.4</v>
      </c>
      <c r="AC99" s="1">
        <f t="shared" si="31"/>
        <v>1.5</v>
      </c>
      <c r="AD99" s="1">
        <f t="shared" si="32"/>
        <v>1</v>
      </c>
      <c r="AE99" s="1">
        <f t="shared" si="29"/>
        <v>10</v>
      </c>
      <c r="AF99" s="36">
        <f t="shared" si="30"/>
        <v>2.4999999999999991</v>
      </c>
    </row>
    <row r="100" spans="4:32" ht="14.25" customHeight="1" x14ac:dyDescent="0.2">
      <c r="D100" s="1">
        <v>77</v>
      </c>
      <c r="E100" s="6">
        <f t="shared" si="24"/>
        <v>815.4864043988664</v>
      </c>
      <c r="F100" s="6">
        <f t="shared" si="24"/>
        <v>28784.728440983799</v>
      </c>
      <c r="G100" s="6">
        <f t="shared" si="24"/>
        <v>203.8716010997166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0"/>
        <v>81548.640439886643</v>
      </c>
      <c r="O100" s="6">
        <f t="shared" si="21"/>
        <v>1063979.9196851572</v>
      </c>
      <c r="P100" s="6">
        <f t="shared" si="22"/>
        <v>30580.740164957489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3"/>
        <v>2.4999999999999996</v>
      </c>
      <c r="X100" s="1">
        <v>77</v>
      </c>
      <c r="Y100" s="6">
        <f t="shared" si="25"/>
        <v>16309.728087977328</v>
      </c>
      <c r="Z100" s="6">
        <f t="shared" si="26"/>
        <v>118219.99107612859</v>
      </c>
      <c r="AA100" s="6">
        <f t="shared" si="27"/>
        <v>30580.740164957489</v>
      </c>
      <c r="AB100" s="1">
        <f t="shared" si="28"/>
        <v>0.4</v>
      </c>
      <c r="AC100" s="1">
        <f t="shared" si="31"/>
        <v>1.5</v>
      </c>
      <c r="AD100" s="1">
        <f t="shared" si="32"/>
        <v>1</v>
      </c>
      <c r="AE100" s="1">
        <f t="shared" si="29"/>
        <v>10</v>
      </c>
      <c r="AF100" s="36">
        <f t="shared" si="30"/>
        <v>2.4999999999999996</v>
      </c>
    </row>
    <row r="101" spans="4:32" ht="14.25" customHeight="1" x14ac:dyDescent="0.2">
      <c r="D101" s="1">
        <v>78</v>
      </c>
      <c r="E101" s="6">
        <f t="shared" si="24"/>
        <v>856.26072461880995</v>
      </c>
      <c r="F101" s="6">
        <f t="shared" si="24"/>
        <v>30223.964863032998</v>
      </c>
      <c r="G101" s="6">
        <f t="shared" si="24"/>
        <v>214.06518115470249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0"/>
        <v>85626.072461881005</v>
      </c>
      <c r="O101" s="6">
        <f t="shared" si="21"/>
        <v>1076613.3268308281</v>
      </c>
      <c r="P101" s="6">
        <f t="shared" si="22"/>
        <v>32109.777173205373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3"/>
        <v>2.4999999999999991</v>
      </c>
      <c r="X101" s="1">
        <v>78</v>
      </c>
      <c r="Y101" s="6">
        <f t="shared" si="25"/>
        <v>17125.214492376203</v>
      </c>
      <c r="Z101" s="6">
        <f t="shared" si="26"/>
        <v>119623.70298120313</v>
      </c>
      <c r="AA101" s="6">
        <f t="shared" si="27"/>
        <v>32109.777173205373</v>
      </c>
      <c r="AB101" s="1">
        <f t="shared" si="28"/>
        <v>0.4</v>
      </c>
      <c r="AC101" s="1">
        <f t="shared" si="31"/>
        <v>1.5</v>
      </c>
      <c r="AD101" s="1">
        <f t="shared" si="32"/>
        <v>1</v>
      </c>
      <c r="AE101" s="1">
        <f t="shared" si="29"/>
        <v>10</v>
      </c>
      <c r="AF101" s="36">
        <f t="shared" si="30"/>
        <v>2.4999999999999991</v>
      </c>
    </row>
    <row r="102" spans="4:32" ht="14.25" customHeight="1" x14ac:dyDescent="0.2">
      <c r="D102" s="1">
        <v>79</v>
      </c>
      <c r="E102" s="6">
        <f t="shared" si="24"/>
        <v>899.0737608497501</v>
      </c>
      <c r="F102" s="6">
        <f t="shared" si="24"/>
        <v>31735.163106184638</v>
      </c>
      <c r="G102" s="6">
        <f t="shared" si="24"/>
        <v>224.76844021243753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0"/>
        <v>89907.376084975025</v>
      </c>
      <c r="O102" s="6">
        <f t="shared" si="21"/>
        <v>1088927.2554026688</v>
      </c>
      <c r="P102" s="6">
        <f t="shared" si="22"/>
        <v>33715.266031865627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3"/>
        <v>2.4999999999999991</v>
      </c>
      <c r="X102" s="1">
        <v>79</v>
      </c>
      <c r="Y102" s="6">
        <f t="shared" si="25"/>
        <v>17981.475216995004</v>
      </c>
      <c r="Z102" s="6">
        <f t="shared" si="26"/>
        <v>120991.91726696321</v>
      </c>
      <c r="AA102" s="6">
        <f t="shared" si="27"/>
        <v>33715.266031865627</v>
      </c>
      <c r="AB102" s="1">
        <f t="shared" si="28"/>
        <v>0.4</v>
      </c>
      <c r="AC102" s="1">
        <f t="shared" si="31"/>
        <v>1.5</v>
      </c>
      <c r="AD102" s="1">
        <f t="shared" si="32"/>
        <v>1</v>
      </c>
      <c r="AE102" s="1">
        <f t="shared" si="29"/>
        <v>10</v>
      </c>
      <c r="AF102" s="36">
        <f t="shared" si="30"/>
        <v>2.4999999999999991</v>
      </c>
    </row>
    <row r="103" spans="4:32" ht="14.25" customHeight="1" x14ac:dyDescent="0.2">
      <c r="D103" s="1">
        <v>80</v>
      </c>
      <c r="E103" s="6">
        <f t="shared" si="24"/>
        <v>944.027448892238</v>
      </c>
      <c r="F103" s="6">
        <f t="shared" si="24"/>
        <v>33321.921261493881</v>
      </c>
      <c r="G103" s="6">
        <f t="shared" si="24"/>
        <v>236.0068622230595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0"/>
        <v>94402.744889223817</v>
      </c>
      <c r="O103" s="6">
        <f t="shared" si="21"/>
        <v>1100919.57442483</v>
      </c>
      <c r="P103" s="6">
        <f t="shared" si="22"/>
        <v>35401.029333458922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3"/>
        <v>2.4999999999999987</v>
      </c>
      <c r="X103" s="1">
        <v>80</v>
      </c>
      <c r="Y103" s="6">
        <f t="shared" si="25"/>
        <v>18880.548977844763</v>
      </c>
      <c r="Z103" s="6">
        <f t="shared" si="26"/>
        <v>122324.39715831444</v>
      </c>
      <c r="AA103" s="6">
        <f t="shared" si="27"/>
        <v>35401.029333458922</v>
      </c>
      <c r="AB103" s="1">
        <f t="shared" si="28"/>
        <v>0.4</v>
      </c>
      <c r="AC103" s="1">
        <f t="shared" si="31"/>
        <v>1.5</v>
      </c>
      <c r="AD103" s="1">
        <f t="shared" si="32"/>
        <v>1</v>
      </c>
      <c r="AE103" s="1">
        <f t="shared" si="29"/>
        <v>10</v>
      </c>
      <c r="AF103" s="36">
        <f t="shared" si="30"/>
        <v>2.4999999999999987</v>
      </c>
    </row>
    <row r="104" spans="4:32" ht="14.25" customHeight="1" x14ac:dyDescent="0.2">
      <c r="D104" s="1">
        <v>81</v>
      </c>
      <c r="E104" s="6">
        <f t="shared" si="24"/>
        <v>991.22882133684982</v>
      </c>
      <c r="F104" s="6">
        <f t="shared" si="24"/>
        <v>34988.017324568573</v>
      </c>
      <c r="G104" s="6">
        <f t="shared" si="24"/>
        <v>247.80720533421245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0"/>
        <v>99122.88213368498</v>
      </c>
      <c r="O104" s="6">
        <f t="shared" si="21"/>
        <v>1112589.0078547054</v>
      </c>
      <c r="P104" s="6">
        <f t="shared" si="22"/>
        <v>37171.080800131866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3"/>
        <v>2.4999999999999996</v>
      </c>
      <c r="X104" s="1">
        <v>81</v>
      </c>
      <c r="Y104" s="6">
        <f t="shared" si="25"/>
        <v>19824.576426736996</v>
      </c>
      <c r="Z104" s="6">
        <f t="shared" si="26"/>
        <v>123621.00087274505</v>
      </c>
      <c r="AA104" s="6">
        <f t="shared" si="27"/>
        <v>37171.080800131866</v>
      </c>
      <c r="AB104" s="1">
        <f t="shared" si="28"/>
        <v>0.4</v>
      </c>
      <c r="AC104" s="1">
        <f t="shared" si="31"/>
        <v>1.5</v>
      </c>
      <c r="AD104" s="1">
        <f t="shared" si="32"/>
        <v>1</v>
      </c>
      <c r="AE104" s="1">
        <f t="shared" si="29"/>
        <v>10</v>
      </c>
      <c r="AF104" s="36">
        <f t="shared" si="30"/>
        <v>2.4999999999999996</v>
      </c>
    </row>
    <row r="105" spans="4:32" ht="14.25" customHeight="1" x14ac:dyDescent="0.2">
      <c r="D105" s="1">
        <v>82</v>
      </c>
      <c r="E105" s="6">
        <f t="shared" si="24"/>
        <v>1040.7902624036924</v>
      </c>
      <c r="F105" s="6">
        <f t="shared" si="24"/>
        <v>36737.418190797005</v>
      </c>
      <c r="G105" s="6">
        <f t="shared" si="24"/>
        <v>260.1975656009231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0"/>
        <v>104079.02624036925</v>
      </c>
      <c r="O105" s="6">
        <f t="shared" si="21"/>
        <v>1123935.0948843386</v>
      </c>
      <c r="P105" s="6">
        <f t="shared" si="22"/>
        <v>39029.634840138468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3"/>
        <v>2.4999999999999996</v>
      </c>
      <c r="X105" s="1">
        <v>82</v>
      </c>
      <c r="Y105" s="6">
        <f t="shared" si="25"/>
        <v>20815.805248073848</v>
      </c>
      <c r="Z105" s="6">
        <f t="shared" si="26"/>
        <v>124881.67720937094</v>
      </c>
      <c r="AA105" s="6">
        <f t="shared" si="27"/>
        <v>39029.634840138468</v>
      </c>
      <c r="AB105" s="1">
        <f t="shared" si="28"/>
        <v>0.4</v>
      </c>
      <c r="AC105" s="1">
        <f t="shared" si="31"/>
        <v>1.5</v>
      </c>
      <c r="AD105" s="1">
        <f t="shared" si="32"/>
        <v>1</v>
      </c>
      <c r="AE105" s="1">
        <f t="shared" si="29"/>
        <v>10</v>
      </c>
      <c r="AF105" s="36">
        <f t="shared" si="30"/>
        <v>2.4999999999999996</v>
      </c>
    </row>
    <row r="106" spans="4:32" ht="14.25" customHeight="1" x14ac:dyDescent="0.2">
      <c r="D106" s="1">
        <v>83</v>
      </c>
      <c r="E106" s="6">
        <f t="shared" si="24"/>
        <v>1092.8297755238771</v>
      </c>
      <c r="F106" s="6">
        <f t="shared" si="24"/>
        <v>38574.289100336857</v>
      </c>
      <c r="G106" s="6">
        <f t="shared" si="24"/>
        <v>273.20744388096927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0"/>
        <v>109282.9775523877</v>
      </c>
      <c r="O106" s="6">
        <f t="shared" si="21"/>
        <v>1134958.1478325156</v>
      </c>
      <c r="P106" s="6">
        <f t="shared" si="22"/>
        <v>40981.116582145391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3"/>
        <v>2.4999999999999996</v>
      </c>
      <c r="X106" s="1">
        <v>83</v>
      </c>
      <c r="Y106" s="6">
        <f t="shared" si="25"/>
        <v>21856.595510477542</v>
      </c>
      <c r="Z106" s="6">
        <f t="shared" si="26"/>
        <v>126106.46087027952</v>
      </c>
      <c r="AA106" s="6">
        <f t="shared" si="27"/>
        <v>40981.116582145391</v>
      </c>
      <c r="AB106" s="1">
        <f t="shared" si="28"/>
        <v>0.4</v>
      </c>
      <c r="AC106" s="1">
        <f t="shared" si="31"/>
        <v>1.5</v>
      </c>
      <c r="AD106" s="1">
        <f t="shared" si="32"/>
        <v>1</v>
      </c>
      <c r="AE106" s="1">
        <f t="shared" si="29"/>
        <v>10</v>
      </c>
      <c r="AF106" s="36">
        <f t="shared" si="30"/>
        <v>2.4999999999999996</v>
      </c>
    </row>
    <row r="107" spans="4:32" ht="14.25" customHeight="1" x14ac:dyDescent="0.2">
      <c r="D107" s="1">
        <v>84</v>
      </c>
      <c r="E107" s="6">
        <f t="shared" si="24"/>
        <v>1147.4712643000707</v>
      </c>
      <c r="F107" s="6">
        <f t="shared" si="24"/>
        <v>40503.003555353702</v>
      </c>
      <c r="G107" s="6">
        <f t="shared" si="24"/>
        <v>286.86781607501769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0"/>
        <v>114747.12643000711</v>
      </c>
      <c r="O107" s="6">
        <f t="shared" si="21"/>
        <v>1145659.208155598</v>
      </c>
      <c r="P107" s="6">
        <f t="shared" si="22"/>
        <v>43030.17241125265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3"/>
        <v>2.4999999999999987</v>
      </c>
      <c r="X107" s="1">
        <v>84</v>
      </c>
      <c r="Y107" s="6">
        <f t="shared" si="25"/>
        <v>22949.42528600142</v>
      </c>
      <c r="Z107" s="6">
        <f t="shared" si="26"/>
        <v>127295.46757284422</v>
      </c>
      <c r="AA107" s="6">
        <f t="shared" si="27"/>
        <v>43030.17241125265</v>
      </c>
      <c r="AB107" s="1">
        <f t="shared" si="28"/>
        <v>0.4</v>
      </c>
      <c r="AC107" s="1">
        <f t="shared" si="31"/>
        <v>1.5</v>
      </c>
      <c r="AD107" s="1">
        <f t="shared" si="32"/>
        <v>1</v>
      </c>
      <c r="AE107" s="1">
        <f t="shared" si="29"/>
        <v>10</v>
      </c>
      <c r="AF107" s="36">
        <f t="shared" si="30"/>
        <v>2.4999999999999987</v>
      </c>
    </row>
    <row r="108" spans="4:32" ht="14.25" customHeight="1" x14ac:dyDescent="0.2">
      <c r="D108" s="1">
        <v>85</v>
      </c>
      <c r="E108" s="6">
        <f t="shared" si="24"/>
        <v>1204.8448275150745</v>
      </c>
      <c r="F108" s="6">
        <f t="shared" si="24"/>
        <v>42528.153733121384</v>
      </c>
      <c r="G108" s="6">
        <f t="shared" si="24"/>
        <v>301.21120687876862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0"/>
        <v>120484.48275150746</v>
      </c>
      <c r="O108" s="6">
        <f t="shared" si="21"/>
        <v>1156040.001081198</v>
      </c>
      <c r="P108" s="6">
        <f t="shared" si="22"/>
        <v>45181.681031815293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3"/>
        <v>2.4999999999999991</v>
      </c>
      <c r="X108" s="1">
        <v>85</v>
      </c>
      <c r="Y108" s="6">
        <f t="shared" si="25"/>
        <v>24096.896550301492</v>
      </c>
      <c r="Z108" s="6">
        <f t="shared" si="26"/>
        <v>128448.88900902199</v>
      </c>
      <c r="AA108" s="6">
        <f t="shared" si="27"/>
        <v>45181.681031815293</v>
      </c>
      <c r="AB108" s="1">
        <f t="shared" si="28"/>
        <v>0.4</v>
      </c>
      <c r="AC108" s="1">
        <f t="shared" si="31"/>
        <v>1.5</v>
      </c>
      <c r="AD108" s="1">
        <f t="shared" si="32"/>
        <v>1</v>
      </c>
      <c r="AE108" s="1">
        <f t="shared" si="29"/>
        <v>10</v>
      </c>
      <c r="AF108" s="36">
        <f t="shared" si="30"/>
        <v>2.4999999999999991</v>
      </c>
    </row>
    <row r="109" spans="4:32" ht="14.25" customHeight="1" x14ac:dyDescent="0.2">
      <c r="D109" s="1">
        <v>86</v>
      </c>
      <c r="E109" s="6">
        <f t="shared" si="24"/>
        <v>1265.087068890828</v>
      </c>
      <c r="F109" s="6">
        <f t="shared" si="24"/>
        <v>44654.561419777448</v>
      </c>
      <c r="G109" s="6">
        <f t="shared" si="24"/>
        <v>316.27176722270701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0"/>
        <v>126508.70688908282</v>
      </c>
      <c r="O109" s="6">
        <f t="shared" si="21"/>
        <v>1166102.8893401076</v>
      </c>
      <c r="P109" s="6">
        <f t="shared" si="22"/>
        <v>47440.765083406055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3"/>
        <v>2.4999999999999991</v>
      </c>
      <c r="X109" s="1">
        <v>86</v>
      </c>
      <c r="Y109" s="6">
        <f t="shared" si="25"/>
        <v>25301.741377816565</v>
      </c>
      <c r="Z109" s="6">
        <f t="shared" si="26"/>
        <v>129566.98770445639</v>
      </c>
      <c r="AA109" s="6">
        <f t="shared" si="27"/>
        <v>47440.765083406055</v>
      </c>
      <c r="AB109" s="1">
        <f t="shared" si="28"/>
        <v>0.4</v>
      </c>
      <c r="AC109" s="1">
        <f t="shared" si="31"/>
        <v>1.5</v>
      </c>
      <c r="AD109" s="1">
        <f t="shared" si="32"/>
        <v>1</v>
      </c>
      <c r="AE109" s="1">
        <f t="shared" si="29"/>
        <v>10</v>
      </c>
      <c r="AF109" s="36">
        <f t="shared" si="30"/>
        <v>2.4999999999999991</v>
      </c>
    </row>
    <row r="110" spans="4:32" ht="14.25" customHeight="1" x14ac:dyDescent="0.2">
      <c r="D110" s="1">
        <v>87</v>
      </c>
      <c r="E110" s="6">
        <f t="shared" si="24"/>
        <v>1328.3414223353693</v>
      </c>
      <c r="F110" s="6">
        <f t="shared" si="24"/>
        <v>46887.289490766321</v>
      </c>
      <c r="G110" s="6">
        <f t="shared" si="24"/>
        <v>332.08535558384233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0"/>
        <v>132834.14223353696</v>
      </c>
      <c r="O110" s="6">
        <f t="shared" si="21"/>
        <v>1175850.8264394507</v>
      </c>
      <c r="P110" s="6">
        <f t="shared" si="22"/>
        <v>49812.803337576348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3"/>
        <v>2.4999999999999991</v>
      </c>
      <c r="X110" s="1">
        <v>87</v>
      </c>
      <c r="Y110" s="6">
        <f t="shared" si="25"/>
        <v>26566.82844670739</v>
      </c>
      <c r="Z110" s="6">
        <f t="shared" si="26"/>
        <v>130650.09182660564</v>
      </c>
      <c r="AA110" s="6">
        <f t="shared" si="27"/>
        <v>49812.803337576348</v>
      </c>
      <c r="AB110" s="1">
        <f t="shared" si="28"/>
        <v>0.4</v>
      </c>
      <c r="AC110" s="1">
        <f t="shared" si="31"/>
        <v>1.5</v>
      </c>
      <c r="AD110" s="1">
        <f t="shared" si="32"/>
        <v>1</v>
      </c>
      <c r="AE110" s="1">
        <f t="shared" si="29"/>
        <v>10</v>
      </c>
      <c r="AF110" s="36">
        <f t="shared" si="30"/>
        <v>2.4999999999999991</v>
      </c>
    </row>
    <row r="111" spans="4:32" ht="14.25" customHeight="1" x14ac:dyDescent="0.2">
      <c r="D111" s="1">
        <v>88</v>
      </c>
      <c r="E111" s="6">
        <f t="shared" si="24"/>
        <v>1394.7584934521383</v>
      </c>
      <c r="F111" s="6">
        <f t="shared" si="24"/>
        <v>49231.653965304649</v>
      </c>
      <c r="G111" s="6">
        <f t="shared" si="24"/>
        <v>348.68962336303457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0"/>
        <v>139475.84934521385</v>
      </c>
      <c r="O111" s="6">
        <f t="shared" si="21"/>
        <v>1185287.3098848269</v>
      </c>
      <c r="P111" s="6">
        <f t="shared" si="22"/>
        <v>52303.443504455186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3"/>
        <v>2.4999999999999991</v>
      </c>
      <c r="X111" s="1">
        <v>88</v>
      </c>
      <c r="Y111" s="6">
        <f t="shared" si="25"/>
        <v>27895.169869042769</v>
      </c>
      <c r="Z111" s="6">
        <f t="shared" si="26"/>
        <v>131698.58998720298</v>
      </c>
      <c r="AA111" s="6">
        <f t="shared" si="27"/>
        <v>52303.443504455186</v>
      </c>
      <c r="AB111" s="1">
        <f t="shared" si="28"/>
        <v>0.4</v>
      </c>
      <c r="AC111" s="1">
        <f t="shared" si="31"/>
        <v>1.5</v>
      </c>
      <c r="AD111" s="1">
        <f t="shared" si="32"/>
        <v>1</v>
      </c>
      <c r="AE111" s="1">
        <f t="shared" si="29"/>
        <v>10</v>
      </c>
      <c r="AF111" s="36">
        <f t="shared" si="30"/>
        <v>2.4999999999999991</v>
      </c>
    </row>
    <row r="112" spans="4:32" ht="14.25" customHeight="1" x14ac:dyDescent="0.2">
      <c r="D112" s="1">
        <v>89</v>
      </c>
      <c r="E112" s="6">
        <f t="shared" si="24"/>
        <v>1464.4964181247449</v>
      </c>
      <c r="F112" s="6">
        <f t="shared" si="24"/>
        <v>51693.236663569871</v>
      </c>
      <c r="G112" s="6">
        <f t="shared" si="24"/>
        <v>366.12410453118622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0"/>
        <v>146449.6418124745</v>
      </c>
      <c r="O112" s="6">
        <f t="shared" si="21"/>
        <v>1194416.3347221192</v>
      </c>
      <c r="P112" s="6">
        <f t="shared" si="22"/>
        <v>54918.615679677932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3"/>
        <v>2.4999999999999991</v>
      </c>
      <c r="X112" s="1">
        <v>89</v>
      </c>
      <c r="Y112" s="6">
        <f t="shared" si="25"/>
        <v>29289.928362494898</v>
      </c>
      <c r="Z112" s="6">
        <f t="shared" si="26"/>
        <v>132712.92608023545</v>
      </c>
      <c r="AA112" s="6">
        <f t="shared" si="27"/>
        <v>54918.615679677932</v>
      </c>
      <c r="AB112" s="1">
        <f t="shared" si="28"/>
        <v>0.4</v>
      </c>
      <c r="AC112" s="1">
        <f t="shared" si="31"/>
        <v>1.5</v>
      </c>
      <c r="AD112" s="1">
        <f t="shared" si="32"/>
        <v>1</v>
      </c>
      <c r="AE112" s="1">
        <f t="shared" si="29"/>
        <v>10</v>
      </c>
      <c r="AF112" s="36">
        <f t="shared" si="30"/>
        <v>2.4999999999999991</v>
      </c>
    </row>
    <row r="113" spans="4:32" ht="14.25" customHeight="1" x14ac:dyDescent="0.2">
      <c r="D113" s="1">
        <v>90</v>
      </c>
      <c r="E113" s="6">
        <f t="shared" si="24"/>
        <v>1537.7212390309821</v>
      </c>
      <c r="F113" s="6">
        <f t="shared" si="24"/>
        <v>54277.89849674837</v>
      </c>
      <c r="G113" s="6">
        <f t="shared" si="24"/>
        <v>384.43030975774553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0"/>
        <v>153772.12390309823</v>
      </c>
      <c r="O113" s="6">
        <f t="shared" si="21"/>
        <v>1203242.3477314843</v>
      </c>
      <c r="P113" s="6">
        <f t="shared" si="22"/>
        <v>57664.546463661827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3"/>
        <v>2.4999999999999991</v>
      </c>
      <c r="X113" s="1">
        <v>90</v>
      </c>
      <c r="Y113" s="6">
        <f t="shared" si="25"/>
        <v>30754.424780619644</v>
      </c>
      <c r="Z113" s="6">
        <f t="shared" si="26"/>
        <v>133693.59419238716</v>
      </c>
      <c r="AA113" s="6">
        <f t="shared" si="27"/>
        <v>57664.546463661827</v>
      </c>
      <c r="AB113" s="1">
        <f t="shared" si="28"/>
        <v>0.4</v>
      </c>
      <c r="AC113" s="1">
        <f t="shared" si="31"/>
        <v>1.5</v>
      </c>
      <c r="AD113" s="1">
        <f t="shared" si="32"/>
        <v>1</v>
      </c>
      <c r="AE113" s="1">
        <f t="shared" si="29"/>
        <v>10</v>
      </c>
      <c r="AF113" s="36">
        <f t="shared" si="30"/>
        <v>2.4999999999999991</v>
      </c>
    </row>
    <row r="114" spans="4:32" ht="14.25" customHeight="1" x14ac:dyDescent="0.2">
      <c r="D114" s="1">
        <v>91</v>
      </c>
      <c r="E114" s="6">
        <f t="shared" si="24"/>
        <v>1614.6073009825313</v>
      </c>
      <c r="F114" s="6">
        <f t="shared" si="24"/>
        <v>56991.793421585782</v>
      </c>
      <c r="G114" s="6">
        <f t="shared" si="24"/>
        <v>403.65182524563284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0"/>
        <v>161460.73009825315</v>
      </c>
      <c r="O114" s="6">
        <f t="shared" si="21"/>
        <v>1211770.2025676053</v>
      </c>
      <c r="P114" s="6">
        <f t="shared" si="22"/>
        <v>60547.773786844926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3"/>
        <v>2.4999999999999991</v>
      </c>
      <c r="X114" s="1">
        <v>91</v>
      </c>
      <c r="Y114" s="6">
        <f t="shared" si="25"/>
        <v>32292.14601965063</v>
      </c>
      <c r="Z114" s="6">
        <f t="shared" si="26"/>
        <v>134641.13361862281</v>
      </c>
      <c r="AA114" s="6">
        <f t="shared" si="27"/>
        <v>60547.773786844926</v>
      </c>
      <c r="AB114" s="1">
        <f t="shared" si="28"/>
        <v>0.4</v>
      </c>
      <c r="AC114" s="1">
        <f t="shared" si="31"/>
        <v>1.5</v>
      </c>
      <c r="AD114" s="1">
        <f t="shared" si="32"/>
        <v>1</v>
      </c>
      <c r="AE114" s="1">
        <f t="shared" si="29"/>
        <v>10</v>
      </c>
      <c r="AF114" s="36">
        <f t="shared" si="30"/>
        <v>2.4999999999999991</v>
      </c>
    </row>
    <row r="115" spans="4:32" ht="14.25" customHeight="1" x14ac:dyDescent="0.2">
      <c r="D115" s="1">
        <v>92</v>
      </c>
      <c r="E115" s="6">
        <f t="shared" si="24"/>
        <v>1695.337666031658</v>
      </c>
      <c r="F115" s="6">
        <f t="shared" si="24"/>
        <v>59841.383092665084</v>
      </c>
      <c r="G115" s="6">
        <f t="shared" si="24"/>
        <v>423.83441650791451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0"/>
        <v>169533.76660316583</v>
      </c>
      <c r="O115" s="6">
        <f t="shared" si="21"/>
        <v>1220005.1161021818</v>
      </c>
      <c r="P115" s="6">
        <f t="shared" si="22"/>
        <v>63575.162476187179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3"/>
        <v>2.4999999999999987</v>
      </c>
      <c r="X115" s="1">
        <v>92</v>
      </c>
      <c r="Y115" s="6">
        <f t="shared" si="25"/>
        <v>33906.753320633165</v>
      </c>
      <c r="Z115" s="6">
        <f t="shared" si="26"/>
        <v>135556.12401135353</v>
      </c>
      <c r="AA115" s="6">
        <f t="shared" si="27"/>
        <v>63575.162476187179</v>
      </c>
      <c r="AB115" s="1">
        <f t="shared" si="28"/>
        <v>0.4</v>
      </c>
      <c r="AC115" s="1">
        <f t="shared" si="31"/>
        <v>1.5</v>
      </c>
      <c r="AD115" s="1">
        <f t="shared" si="32"/>
        <v>1</v>
      </c>
      <c r="AE115" s="1">
        <f t="shared" si="29"/>
        <v>10</v>
      </c>
      <c r="AF115" s="36">
        <f t="shared" si="30"/>
        <v>2.4999999999999987</v>
      </c>
    </row>
    <row r="116" spans="4:32" ht="14.25" customHeight="1" x14ac:dyDescent="0.2">
      <c r="D116" s="1">
        <v>93</v>
      </c>
      <c r="E116" s="6">
        <f t="shared" si="24"/>
        <v>1780.1045493332408</v>
      </c>
      <c r="F116" s="6">
        <f t="shared" si="24"/>
        <v>62833.45224729833</v>
      </c>
      <c r="G116" s="6">
        <f t="shared" si="24"/>
        <v>445.0261373333102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0"/>
        <v>178010.4549333241</v>
      </c>
      <c r="O116" s="6">
        <f t="shared" si="21"/>
        <v>1227952.6261874335</v>
      </c>
      <c r="P116" s="6">
        <f t="shared" si="22"/>
        <v>66753.920599996534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3"/>
        <v>2.4999999999999996</v>
      </c>
      <c r="X116" s="1">
        <v>93</v>
      </c>
      <c r="Y116" s="6">
        <f t="shared" si="25"/>
        <v>35602.090986664822</v>
      </c>
      <c r="Z116" s="6">
        <f t="shared" si="26"/>
        <v>136439.1806874926</v>
      </c>
      <c r="AA116" s="6">
        <f t="shared" si="27"/>
        <v>66753.920599996534</v>
      </c>
      <c r="AB116" s="1">
        <f t="shared" si="28"/>
        <v>0.4</v>
      </c>
      <c r="AC116" s="1">
        <f t="shared" si="31"/>
        <v>1.5</v>
      </c>
      <c r="AD116" s="1">
        <f t="shared" si="32"/>
        <v>1</v>
      </c>
      <c r="AE116" s="1">
        <f t="shared" si="29"/>
        <v>10</v>
      </c>
      <c r="AF116" s="36">
        <f t="shared" si="30"/>
        <v>2.4999999999999996</v>
      </c>
    </row>
    <row r="117" spans="4:32" ht="14.25" customHeight="1" x14ac:dyDescent="0.2">
      <c r="D117" s="1">
        <v>94</v>
      </c>
      <c r="E117" s="6">
        <f t="shared" si="24"/>
        <v>1869.1097767999031</v>
      </c>
      <c r="F117" s="6">
        <f t="shared" si="24"/>
        <v>65975.124859663265</v>
      </c>
      <c r="G117" s="6">
        <f t="shared" si="24"/>
        <v>467.27744419997578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0"/>
        <v>186910.97767999032</v>
      </c>
      <c r="O117" s="6">
        <f t="shared" si="21"/>
        <v>1235618.5510236139</v>
      </c>
      <c r="P117" s="6">
        <f t="shared" si="22"/>
        <v>70091.616629996366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3"/>
        <v>2.4999999999999996</v>
      </c>
      <c r="X117" s="1">
        <v>94</v>
      </c>
      <c r="Y117" s="6">
        <f t="shared" si="25"/>
        <v>37382.195535998064</v>
      </c>
      <c r="Z117" s="6">
        <f t="shared" si="26"/>
        <v>137290.95011373487</v>
      </c>
      <c r="AA117" s="6">
        <f t="shared" si="27"/>
        <v>70091.616629996366</v>
      </c>
      <c r="AB117" s="1">
        <f t="shared" si="28"/>
        <v>0.4</v>
      </c>
      <c r="AC117" s="1">
        <f t="shared" si="31"/>
        <v>1.5</v>
      </c>
      <c r="AD117" s="1">
        <f t="shared" si="32"/>
        <v>1</v>
      </c>
      <c r="AE117" s="1">
        <f t="shared" si="29"/>
        <v>10</v>
      </c>
      <c r="AF117" s="36">
        <f t="shared" si="30"/>
        <v>2.4999999999999996</v>
      </c>
    </row>
    <row r="118" spans="4:32" ht="14.25" customHeight="1" x14ac:dyDescent="0.2">
      <c r="D118" s="1">
        <v>95</v>
      </c>
      <c r="E118" s="6">
        <f t="shared" si="24"/>
        <v>1962.5652656398975</v>
      </c>
      <c r="F118" s="6">
        <f t="shared" si="24"/>
        <v>69273.881102646395</v>
      </c>
      <c r="G118" s="6">
        <f t="shared" si="24"/>
        <v>490.64131640997437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0"/>
        <v>196256.52656398976</v>
      </c>
      <c r="O118" s="6">
        <f t="shared" si="21"/>
        <v>1243008.9502794696</v>
      </c>
      <c r="P118" s="6">
        <f t="shared" si="22"/>
        <v>73596.197461496151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3"/>
        <v>2.4999999999999991</v>
      </c>
      <c r="X118" s="1">
        <v>95</v>
      </c>
      <c r="Y118" s="6">
        <f t="shared" si="25"/>
        <v>39251.305312797951</v>
      </c>
      <c r="Z118" s="6">
        <f t="shared" si="26"/>
        <v>138112.10558660774</v>
      </c>
      <c r="AA118" s="6">
        <f t="shared" si="27"/>
        <v>73596.197461496151</v>
      </c>
      <c r="AB118" s="1">
        <f t="shared" si="28"/>
        <v>0.4</v>
      </c>
      <c r="AC118" s="1">
        <f t="shared" si="31"/>
        <v>1.5</v>
      </c>
      <c r="AD118" s="1">
        <f t="shared" si="32"/>
        <v>1</v>
      </c>
      <c r="AE118" s="1">
        <f t="shared" si="29"/>
        <v>10</v>
      </c>
      <c r="AF118" s="36">
        <f t="shared" si="30"/>
        <v>2.4999999999999991</v>
      </c>
    </row>
    <row r="119" spans="4:32" ht="14.25" customHeight="1" x14ac:dyDescent="0.2">
      <c r="D119" s="1">
        <v>96</v>
      </c>
      <c r="E119" s="6">
        <f t="shared" si="24"/>
        <v>2060.6935289218932</v>
      </c>
      <c r="F119" s="6">
        <f t="shared" si="24"/>
        <v>72737.575157778745</v>
      </c>
      <c r="G119" s="6">
        <f t="shared" si="24"/>
        <v>515.17338223047329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0"/>
        <v>206069.35289218932</v>
      </c>
      <c r="O119" s="6">
        <f t="shared" si="21"/>
        <v>1250130.0880826372</v>
      </c>
      <c r="P119" s="6">
        <f t="shared" si="22"/>
        <v>77276.007334570997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3"/>
        <v>2.4999999999999996</v>
      </c>
      <c r="X119" s="1">
        <v>96</v>
      </c>
      <c r="Y119" s="6">
        <f t="shared" si="25"/>
        <v>41213.870578437862</v>
      </c>
      <c r="Z119" s="6">
        <f t="shared" si="26"/>
        <v>138903.34312029302</v>
      </c>
      <c r="AA119" s="6">
        <f t="shared" si="27"/>
        <v>77276.007334570997</v>
      </c>
      <c r="AB119" s="1">
        <f t="shared" si="28"/>
        <v>0.4</v>
      </c>
      <c r="AC119" s="1">
        <f t="shared" si="31"/>
        <v>1.5</v>
      </c>
      <c r="AD119" s="1">
        <f t="shared" si="32"/>
        <v>1</v>
      </c>
      <c r="AE119" s="1">
        <f t="shared" si="29"/>
        <v>10</v>
      </c>
      <c r="AF119" s="36">
        <f t="shared" si="30"/>
        <v>2.4999999999999996</v>
      </c>
    </row>
    <row r="120" spans="4:32" ht="14.25" customHeight="1" x14ac:dyDescent="0.2">
      <c r="D120" s="1">
        <v>97</v>
      </c>
      <c r="E120" s="6">
        <f t="shared" si="24"/>
        <v>2163.7282053679878</v>
      </c>
      <c r="F120" s="6">
        <f t="shared" si="24"/>
        <v>76374.453915667676</v>
      </c>
      <c r="G120" s="6">
        <f t="shared" si="24"/>
        <v>540.93205134199695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0"/>
        <v>216372.8205367988</v>
      </c>
      <c r="O120" s="6">
        <f t="shared" si="21"/>
        <v>1256988.3979672694</v>
      </c>
      <c r="P120" s="6">
        <f t="shared" si="22"/>
        <v>81139.807701299549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3"/>
        <v>2.4999999999999996</v>
      </c>
      <c r="X120" s="1">
        <v>97</v>
      </c>
      <c r="Y120" s="6">
        <f t="shared" si="25"/>
        <v>43274.564107359758</v>
      </c>
      <c r="Z120" s="6">
        <f t="shared" si="26"/>
        <v>139665.37755191882</v>
      </c>
      <c r="AA120" s="6">
        <f t="shared" si="27"/>
        <v>81139.807701299549</v>
      </c>
      <c r="AB120" s="1">
        <f t="shared" si="28"/>
        <v>0.4</v>
      </c>
      <c r="AC120" s="1">
        <f t="shared" si="31"/>
        <v>1.5</v>
      </c>
      <c r="AD120" s="1">
        <f t="shared" si="32"/>
        <v>1</v>
      </c>
      <c r="AE120" s="1">
        <f t="shared" si="29"/>
        <v>10</v>
      </c>
      <c r="AF120" s="36">
        <f t="shared" si="30"/>
        <v>2.4999999999999996</v>
      </c>
    </row>
    <row r="121" spans="4:32" ht="14.25" customHeight="1" x14ac:dyDescent="0.2">
      <c r="D121" s="1">
        <v>98</v>
      </c>
      <c r="E121" s="6">
        <f t="shared" si="24"/>
        <v>2271.9146156363872</v>
      </c>
      <c r="F121" s="6">
        <f t="shared" si="24"/>
        <v>80193.176611451054</v>
      </c>
      <c r="G121" s="6">
        <f t="shared" si="24"/>
        <v>567.97865390909681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0"/>
        <v>227191.46156363873</v>
      </c>
      <c r="O121" s="6">
        <f t="shared" si="21"/>
        <v>1263590.4498389452</v>
      </c>
      <c r="P121" s="6">
        <f t="shared" si="22"/>
        <v>85196.798086364521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3"/>
        <v>2.4999999999999996</v>
      </c>
      <c r="X121" s="1">
        <v>98</v>
      </c>
      <c r="Y121" s="6">
        <f t="shared" si="25"/>
        <v>45438.292312727746</v>
      </c>
      <c r="Z121" s="6">
        <f t="shared" si="26"/>
        <v>140398.93887099391</v>
      </c>
      <c r="AA121" s="6">
        <f t="shared" si="27"/>
        <v>85196.798086364521</v>
      </c>
      <c r="AB121" s="1">
        <f t="shared" si="28"/>
        <v>0.4</v>
      </c>
      <c r="AC121" s="1">
        <f t="shared" si="31"/>
        <v>1.5</v>
      </c>
      <c r="AD121" s="1">
        <f t="shared" si="32"/>
        <v>1</v>
      </c>
      <c r="AE121" s="1">
        <f t="shared" si="29"/>
        <v>10</v>
      </c>
      <c r="AF121" s="36">
        <f t="shared" si="30"/>
        <v>2.4999999999999996</v>
      </c>
    </row>
    <row r="122" spans="4:32" ht="14.25" customHeight="1" x14ac:dyDescent="0.2">
      <c r="D122" s="1">
        <v>99</v>
      </c>
      <c r="E122" s="6">
        <f t="shared" si="24"/>
        <v>2385.5103464182066</v>
      </c>
      <c r="F122" s="6">
        <f t="shared" si="24"/>
        <v>84202.835442023614</v>
      </c>
      <c r="G122" s="6">
        <f t="shared" si="24"/>
        <v>596.37758660455165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0"/>
        <v>238551.0346418207</v>
      </c>
      <c r="O122" s="6">
        <f t="shared" si="21"/>
        <v>1269942.9189921722</v>
      </c>
      <c r="P122" s="6">
        <f t="shared" si="22"/>
        <v>89456.63799068275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3"/>
        <v>2.4999999999999996</v>
      </c>
      <c r="X122" s="1">
        <v>99</v>
      </c>
      <c r="Y122" s="6">
        <f t="shared" si="25"/>
        <v>47710.206928364139</v>
      </c>
      <c r="Z122" s="6">
        <f t="shared" si="26"/>
        <v>141104.76877690802</v>
      </c>
      <c r="AA122" s="6">
        <f t="shared" si="27"/>
        <v>89456.63799068275</v>
      </c>
      <c r="AB122" s="1">
        <f t="shared" si="28"/>
        <v>0.4</v>
      </c>
      <c r="AC122" s="1">
        <f t="shared" si="31"/>
        <v>1.5</v>
      </c>
      <c r="AD122" s="1">
        <f t="shared" si="32"/>
        <v>1</v>
      </c>
      <c r="AE122" s="1">
        <f t="shared" si="29"/>
        <v>10</v>
      </c>
      <c r="AF122" s="36">
        <f t="shared" si="30"/>
        <v>2.4999999999999996</v>
      </c>
    </row>
    <row r="123" spans="4:32" ht="14.25" customHeight="1" x14ac:dyDescent="0.2">
      <c r="D123" s="1">
        <v>100</v>
      </c>
      <c r="E123" s="6">
        <f t="shared" si="24"/>
        <v>2504.7858637391173</v>
      </c>
      <c r="F123" s="6">
        <f t="shared" si="24"/>
        <v>88412.97721412481</v>
      </c>
      <c r="G123" s="6">
        <f t="shared" si="24"/>
        <v>626.19646593477933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0"/>
        <v>250478.58637391179</v>
      </c>
      <c r="O123" s="6">
        <f t="shared" si="21"/>
        <v>1276052.5571936066</v>
      </c>
      <c r="P123" s="6">
        <f t="shared" si="22"/>
        <v>93929.469890216904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3"/>
        <v>2.4999999999999987</v>
      </c>
      <c r="X123" s="1">
        <v>100</v>
      </c>
      <c r="Y123" s="6">
        <f t="shared" si="25"/>
        <v>50095.717274782357</v>
      </c>
      <c r="Z123" s="6">
        <f t="shared" si="26"/>
        <v>141783.61746595628</v>
      </c>
      <c r="AA123" s="6">
        <f t="shared" si="27"/>
        <v>93929.469890216904</v>
      </c>
      <c r="AB123" s="1">
        <f t="shared" si="28"/>
        <v>0.4</v>
      </c>
      <c r="AC123" s="1">
        <f t="shared" si="31"/>
        <v>1.5</v>
      </c>
      <c r="AD123" s="1">
        <f t="shared" si="32"/>
        <v>1</v>
      </c>
      <c r="AE123" s="1">
        <f t="shared" si="29"/>
        <v>10</v>
      </c>
      <c r="AF123" s="36">
        <f t="shared" si="30"/>
        <v>2.4999999999999987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N22" sqref="N22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79" t="s">
        <v>233</v>
      </c>
      <c r="B1" s="80"/>
      <c r="D1" s="72" t="s">
        <v>276</v>
      </c>
      <c r="G1" s="1">
        <v>1000</v>
      </c>
      <c r="J1" s="72" t="s">
        <v>277</v>
      </c>
      <c r="L1" s="6"/>
      <c r="M1" s="6"/>
    </row>
    <row r="2" spans="1:25" ht="14.25" customHeight="1" x14ac:dyDescent="0.2">
      <c r="A2" s="81"/>
      <c r="B2" s="82"/>
      <c r="D2" s="5">
        <f>D3/$G$1</f>
        <v>1.0999999999999999E-2</v>
      </c>
      <c r="G2" s="5">
        <f>G3/$G$1</f>
        <v>0.70499999999999996</v>
      </c>
      <c r="J2" s="5">
        <f>J3/$G$1</f>
        <v>1.0999999999999999E-2</v>
      </c>
      <c r="L2" s="6"/>
      <c r="M2" s="6"/>
    </row>
    <row r="3" spans="1:25" ht="14.25" customHeight="1" thickBot="1" x14ac:dyDescent="0.25">
      <c r="C3" s="3" t="s">
        <v>234</v>
      </c>
      <c r="D3" s="46">
        <v>11</v>
      </c>
      <c r="E3" s="46"/>
      <c r="F3" s="46">
        <v>52</v>
      </c>
      <c r="G3" s="1">
        <v>705</v>
      </c>
      <c r="H3" s="46">
        <f>G1-D3-G3-J3</f>
        <v>273</v>
      </c>
      <c r="I3" s="46"/>
      <c r="J3" s="46">
        <v>11</v>
      </c>
      <c r="L3" s="6"/>
      <c r="M3" s="6"/>
    </row>
    <row r="4" spans="1:25" ht="14.25" customHeight="1" x14ac:dyDescent="0.2">
      <c r="C4" s="49"/>
      <c r="D4" s="101" t="s">
        <v>254</v>
      </c>
      <c r="E4" s="102"/>
      <c r="F4" s="103"/>
      <c r="G4" s="50"/>
      <c r="H4" s="101" t="s">
        <v>255</v>
      </c>
      <c r="I4" s="102"/>
      <c r="J4" s="103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50</v>
      </c>
      <c r="K8" s="53">
        <v>40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250</v>
      </c>
      <c r="W8" s="46" t="s">
        <v>251</v>
      </c>
      <c r="X8" s="46" t="s">
        <v>252</v>
      </c>
    </row>
    <row r="9" spans="1:25" ht="14.25" customHeight="1" x14ac:dyDescent="0.2">
      <c r="A9" s="4">
        <f>B9/(SUM(M10:M18)*$G$1)</f>
        <v>3.7831470369002231E-2</v>
      </c>
      <c r="B9" s="6">
        <v>17166630.347467158</v>
      </c>
      <c r="C9" s="49">
        <f>ROW(D10)</f>
        <v>10</v>
      </c>
      <c r="D9" s="54" t="s">
        <v>256</v>
      </c>
      <c r="E9" s="55" t="s">
        <v>257</v>
      </c>
      <c r="F9" s="55" t="s">
        <v>235</v>
      </c>
      <c r="G9" s="56" t="s">
        <v>157</v>
      </c>
      <c r="H9" s="55" t="s">
        <v>92</v>
      </c>
      <c r="I9" s="55" t="s">
        <v>93</v>
      </c>
      <c r="J9" s="56" t="s">
        <v>244</v>
      </c>
      <c r="K9" s="56" t="s">
        <v>245</v>
      </c>
      <c r="L9" s="55" t="s">
        <v>34</v>
      </c>
      <c r="M9" s="55" t="s">
        <v>213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176</v>
      </c>
      <c r="S9" s="55" t="s">
        <v>206</v>
      </c>
      <c r="T9" s="55" t="s">
        <v>274</v>
      </c>
      <c r="U9" s="55" t="s">
        <v>207</v>
      </c>
      <c r="V9" s="55" t="s">
        <v>208</v>
      </c>
      <c r="W9" s="55" t="s">
        <v>210</v>
      </c>
      <c r="X9" s="57" t="s">
        <v>242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258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50</v>
      </c>
      <c r="K10" s="1">
        <f>IF($G10="","",K$8)</f>
        <v>40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5119.374904354323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129134.98620806873</v>
      </c>
      <c r="N10" s="8">
        <f>IFERROR(VLOOKUP($G10,角色设定!$AB$9:$AJ$21,MATCH(N$9,角色设定!$AB$9:$AJ$9,0),0)*VLOOKUP($J10,角色成长!$D$17:$J$117,MATCH(N$9,角色成长!$D$17:$J$17,0),0)*角色成长!$L$15,"")</f>
        <v>40954.999234834577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3.7199999999999998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0.97587692307692286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270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50</v>
      </c>
      <c r="K12" s="1">
        <f t="shared" si="3"/>
        <v>40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5688.1943381714718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123391.88160545025</v>
      </c>
      <c r="N12" s="8">
        <f>IFERROR(VLOOKUP($G12,角色设定!$AB$9:$AJ$21,MATCH(N$9,角色设定!$AB$9:$AJ$9,0),0)*VLOOKUP($J12,角色成长!$D$17:$J$117,MATCH(N$9,角色成长!$D$17:$J$17,0),0)*角色成长!$L$15,"")</f>
        <v>32763.999387867669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3.7199999999999998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0.97587692307692286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271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50</v>
      </c>
      <c r="K13" s="1">
        <f t="shared" si="3"/>
        <v>40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11467.399785753685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57682.818321234205</v>
      </c>
      <c r="N13" s="8">
        <f>IFERROR(VLOOKUP($G13,角色设定!$AB$9:$AJ$21,MATCH(N$9,角色设定!$AB$9:$AJ$9,0),0)*VLOOKUP($J13,角色成长!$D$17:$J$117,MATCH(N$9,角色成长!$D$17:$J$17,0),0)*角色成长!$L$15,"")</f>
        <v>8190.9998469669172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6.3333333333333304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272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50</v>
      </c>
      <c r="K15" s="1">
        <f t="shared" si="3"/>
        <v>40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9590.916184448537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63090.582538849922</v>
      </c>
      <c r="N15" s="8">
        <f>IFERROR(VLOOKUP($G15,角色设定!$AB$9:$AJ$21,MATCH(N$9,角色设定!$AB$9:$AJ$9,0),0)*VLOOKUP($J15,角色成长!$D$17:$J$117,MATCH(N$9,角色成长!$D$17:$J$17,0),0)*角色成长!$L$15,"")</f>
        <v>8190.9998469669172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6.765175810182174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273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50</v>
      </c>
      <c r="K17" s="1">
        <f t="shared" si="3"/>
        <v>40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4357.6119185864018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80465.608783089367</v>
      </c>
      <c r="N17" s="8">
        <f>IFERROR(VLOOKUP($G17,角色设定!$AB$9:$AJ$21,MATCH(N$9,角色设定!$AB$9:$AJ$9,0),0)*VLOOKUP($J17,角色成长!$D$17:$J$117,MATCH(N$9,角色成长!$D$17:$J$17,0),0)*角色成长!$L$15,"")</f>
        <v>13105.599755147066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2.8831871692542497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1.103589319113375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50</v>
      </c>
      <c r="K19" s="65">
        <v>40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250</v>
      </c>
      <c r="W19" s="47" t="s">
        <v>251</v>
      </c>
      <c r="X19" s="47" t="s">
        <v>252</v>
      </c>
    </row>
    <row r="20" spans="1:25" ht="14.25" customHeight="1" x14ac:dyDescent="0.2">
      <c r="A20" s="4">
        <f>B20/(SUM(M21:M29)*$G$1)</f>
        <v>3.7091792925839417E-2</v>
      </c>
      <c r="B20" s="6">
        <v>16830989.96343546</v>
      </c>
      <c r="C20" s="49">
        <f>ROW(D21)</f>
        <v>21</v>
      </c>
      <c r="D20" s="54" t="s">
        <v>256</v>
      </c>
      <c r="E20" s="55" t="s">
        <v>257</v>
      </c>
      <c r="F20" s="55" t="s">
        <v>236</v>
      </c>
      <c r="G20" s="56" t="s">
        <v>157</v>
      </c>
      <c r="H20" s="55" t="s">
        <v>92</v>
      </c>
      <c r="I20" s="55" t="s">
        <v>93</v>
      </c>
      <c r="J20" s="56" t="s">
        <v>244</v>
      </c>
      <c r="K20" s="56" t="s">
        <v>245</v>
      </c>
      <c r="L20" s="55" t="s">
        <v>34</v>
      </c>
      <c r="M20" s="55" t="s">
        <v>213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176</v>
      </c>
      <c r="S20" s="55" t="s">
        <v>206</v>
      </c>
      <c r="T20" s="55" t="s">
        <v>274</v>
      </c>
      <c r="U20" s="55" t="s">
        <v>207</v>
      </c>
      <c r="V20" s="55" t="s">
        <v>208</v>
      </c>
      <c r="W20" s="55" t="s">
        <v>210</v>
      </c>
      <c r="X20" s="57" t="s">
        <v>242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289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50</v>
      </c>
      <c r="K21" s="1">
        <f>IF($G21="","",K$19)</f>
        <v>40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5119.374904354323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129134.98620806873</v>
      </c>
      <c r="N21" s="8">
        <f>IFERROR(VLOOKUP($G21,角色设定!$AB$9:$AJ$21,MATCH(N$9,角色设定!$AB$9:$AJ$9,0),0)*VLOOKUP($J21,角色成长!$D$17:$J$117,MATCH(N$9,角色成长!$D$17:$J$17,0),0)*角色成长!$L$15,"")</f>
        <v>40954.999234834577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3.7199999999999998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0.97587692307692286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259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50</v>
      </c>
      <c r="K23" s="1">
        <f t="shared" si="7"/>
        <v>40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5688.1943381714718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123391.88160545025</v>
      </c>
      <c r="N23" s="8">
        <f>IFERROR(VLOOKUP($G23,角色设定!$AB$9:$AJ$21,MATCH(N$9,角色设定!$AB$9:$AJ$9,0),0)*VLOOKUP($J23,角色成长!$D$17:$J$117,MATCH(N$9,角色成长!$D$17:$J$17,0),0)*角色成长!$L$15,"")</f>
        <v>32763.999387867669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3.7199999999999998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0.97587692307692286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262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50</v>
      </c>
      <c r="K24" s="1">
        <f t="shared" si="7"/>
        <v>40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11467.399785753685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57682.818321234205</v>
      </c>
      <c r="N24" s="8">
        <f>IFERROR(VLOOKUP($G24,角色设定!$AB$9:$AJ$21,MATCH(N$9,角色设定!$AB$9:$AJ$9,0),0)*VLOOKUP($J24,角色成长!$D$17:$J$117,MATCH(N$9,角色成长!$D$17:$J$17,0),0)*角色成长!$L$15,"")</f>
        <v>8190.9998469669172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6.3333333333333304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264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50</v>
      </c>
      <c r="K26" s="1">
        <f t="shared" si="7"/>
        <v>40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9590.916184448537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63090.582538849922</v>
      </c>
      <c r="N26" s="8">
        <f>IFERROR(VLOOKUP($G26,角色设定!$AB$9:$AJ$21,MATCH(N$9,角色设定!$AB$9:$AJ$9,0),0)*VLOOKUP($J26,角色成长!$D$17:$J$117,MATCH(N$9,角色成长!$D$17:$J$17,0),0)*角色成长!$L$15,"")</f>
        <v>8190.9998469669172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6.765175810182174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268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50</v>
      </c>
      <c r="K28" s="1">
        <f t="shared" si="7"/>
        <v>40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4357.6119185864018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80465.608783089367</v>
      </c>
      <c r="N28" s="8">
        <f>IFERROR(VLOOKUP($G28,角色设定!$AB$9:$AJ$21,MATCH(N$9,角色设定!$AB$9:$AJ$9,0),0)*VLOOKUP($J28,角色成长!$D$17:$J$117,MATCH(N$9,角色成长!$D$17:$J$17,0),0)*角色成长!$L$15,"")</f>
        <v>13105.599755147066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2.8831871692542497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1.103589319113375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276</v>
      </c>
      <c r="G33" s="1">
        <v>1000</v>
      </c>
      <c r="J33" s="72" t="s">
        <v>277</v>
      </c>
    </row>
    <row r="34" spans="1:25" ht="14.25" customHeight="1" x14ac:dyDescent="0.2">
      <c r="D34" s="5">
        <f>D35/$G$1</f>
        <v>0.505</v>
      </c>
      <c r="G34" s="5">
        <f>G35/$G$1</f>
        <v>0</v>
      </c>
      <c r="J34" s="5">
        <f>J35/$G$1</f>
        <v>0.495</v>
      </c>
    </row>
    <row r="35" spans="1:25" ht="14.25" customHeight="1" thickBot="1" x14ac:dyDescent="0.25">
      <c r="C35" s="3" t="s">
        <v>275</v>
      </c>
      <c r="D35" s="73">
        <v>505</v>
      </c>
      <c r="E35" s="73"/>
      <c r="F35" s="73">
        <v>18</v>
      </c>
      <c r="G35" s="1">
        <v>0</v>
      </c>
      <c r="H35" s="73">
        <f>G33-D35-G35-J35</f>
        <v>0</v>
      </c>
      <c r="I35" s="73"/>
      <c r="J35" s="73">
        <v>495</v>
      </c>
      <c r="M35" s="1" t="s">
        <v>253</v>
      </c>
    </row>
    <row r="36" spans="1:25" ht="14.25" customHeight="1" x14ac:dyDescent="0.2">
      <c r="D36" s="101" t="s">
        <v>254</v>
      </c>
      <c r="E36" s="102"/>
      <c r="F36" s="103"/>
      <c r="G36" s="77"/>
      <c r="H36" s="101" t="s">
        <v>255</v>
      </c>
      <c r="I36" s="102"/>
      <c r="J36" s="103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1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250</v>
      </c>
      <c r="W40" s="73" t="s">
        <v>251</v>
      </c>
      <c r="X40" s="73" t="s">
        <v>252</v>
      </c>
    </row>
    <row r="41" spans="1:25" ht="14.25" customHeight="1" x14ac:dyDescent="0.2">
      <c r="A41" s="4">
        <f>B41/(SUM(M42:M50)*$G$1)</f>
        <v>0.12721409203269862</v>
      </c>
      <c r="B41" s="6">
        <v>57725414.096073925</v>
      </c>
      <c r="C41" s="76">
        <f>ROW(D42)</f>
        <v>42</v>
      </c>
      <c r="D41" s="54" t="s">
        <v>256</v>
      </c>
      <c r="E41" s="55" t="s">
        <v>257</v>
      </c>
      <c r="F41" s="55" t="s">
        <v>235</v>
      </c>
      <c r="G41" s="56" t="s">
        <v>157</v>
      </c>
      <c r="H41" s="55" t="s">
        <v>92</v>
      </c>
      <c r="I41" s="55" t="s">
        <v>93</v>
      </c>
      <c r="J41" s="56" t="s">
        <v>244</v>
      </c>
      <c r="K41" s="56" t="s">
        <v>245</v>
      </c>
      <c r="L41" s="55" t="s">
        <v>34</v>
      </c>
      <c r="M41" s="55" t="s">
        <v>36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176</v>
      </c>
      <c r="S41" s="55" t="s">
        <v>206</v>
      </c>
      <c r="T41" s="55" t="s">
        <v>274</v>
      </c>
      <c r="U41" s="55" t="s">
        <v>207</v>
      </c>
      <c r="V41" s="55" t="s">
        <v>208</v>
      </c>
      <c r="W41" s="55" t="s">
        <v>210</v>
      </c>
      <c r="X41" s="57" t="s">
        <v>242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289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5119.374904354323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129134.98620806873</v>
      </c>
      <c r="N42" s="8">
        <f>IFERROR(VLOOKUP($G42,角色设定!$AB$9:$AJ$21,MATCH(N$9,角色设定!$AB$9:$AJ$9,0),0)*VLOOKUP($J42,角色成长!$D$17:$J$117,MATCH(N$9,角色成长!$D$17:$J$17,0),0)*角色成长!$L$15,"")</f>
        <v>40954.999234834577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3.0179999999999998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0.90189692307692304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259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5688.1943381714718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123391.88160545025</v>
      </c>
      <c r="N44" s="8">
        <f>IFERROR(VLOOKUP($G44,角色设定!$AB$9:$AJ$21,MATCH(N$9,角色设定!$AB$9:$AJ$9,0),0)*VLOOKUP($J44,角色成长!$D$17:$J$117,MATCH(N$9,角色成长!$D$17:$J$17,0),0)*角色成长!$L$15,"")</f>
        <v>32763.999387867669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3.0179999999999998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0.90189692307692304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262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11467.399785753685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57682.818321234205</v>
      </c>
      <c r="N45" s="8">
        <f>IFERROR(VLOOKUP($G45,角色设定!$AB$9:$AJ$21,MATCH(N$9,角色设定!$AB$9:$AJ$9,0),0)*VLOOKUP($J45,角色成长!$D$17:$J$117,MATCH(N$9,角色成长!$D$17:$J$17,0),0)*角色成长!$L$15,"")</f>
        <v>8190.9998469669172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5.0333333333333314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264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9590.916184448537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63090.582538849922</v>
      </c>
      <c r="N47" s="8">
        <f>IFERROR(VLOOKUP($G47,角色设定!$AB$9:$AJ$21,MATCH(N$9,角色设定!$AB$9:$AJ$9,0),0)*VLOOKUP($J47,角色成长!$D$17:$J$117,MATCH(N$9,角色成长!$D$17:$J$17,0),0)*角色成长!$L$15,"")</f>
        <v>8190.9998469669172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5.3650921281738073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268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4357.6119185864018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80465.608783089367</v>
      </c>
      <c r="N49" s="8">
        <f>IFERROR(VLOOKUP($G49,角色设定!$AB$9:$AJ$21,MATCH(N$9,角色设定!$AB$9:$AJ$9,0),0)*VLOOKUP($J49,角色成长!$D$17:$J$117,MATCH(N$9,角色成长!$D$17:$J$17,0),0)*角色成长!$L$15,"")</f>
        <v>13105.599755147066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2.2933202807351152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0.87497721357793778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287</v>
      </c>
      <c r="D51" s="74"/>
      <c r="E51" s="74"/>
      <c r="F51" s="74"/>
      <c r="G51" s="74"/>
      <c r="H51" s="74"/>
      <c r="I51" s="74"/>
      <c r="J51" s="65">
        <v>50</v>
      </c>
      <c r="K51" s="65">
        <v>40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250</v>
      </c>
      <c r="W51" s="74" t="s">
        <v>251</v>
      </c>
      <c r="X51" s="74" t="s">
        <v>252</v>
      </c>
    </row>
    <row r="52" spans="1:25" ht="14.25" customHeight="1" x14ac:dyDescent="0.2">
      <c r="A52" s="4">
        <f>B52/(SUM(M53:M61)*$G$1)</f>
        <v>0.1739179893323573</v>
      </c>
      <c r="B52" s="6">
        <v>110568204.31116982</v>
      </c>
      <c r="C52" s="76">
        <f>ROW(D53)</f>
        <v>53</v>
      </c>
      <c r="D52" s="54" t="s">
        <v>256</v>
      </c>
      <c r="E52" s="55" t="s">
        <v>257</v>
      </c>
      <c r="F52" s="55" t="s">
        <v>236</v>
      </c>
      <c r="G52" s="56" t="s">
        <v>157</v>
      </c>
      <c r="H52" s="55" t="s">
        <v>92</v>
      </c>
      <c r="I52" s="55" t="s">
        <v>93</v>
      </c>
      <c r="J52" s="56" t="s">
        <v>244</v>
      </c>
      <c r="K52" s="56" t="s">
        <v>245</v>
      </c>
      <c r="L52" s="55" t="s">
        <v>34</v>
      </c>
      <c r="M52" s="55" t="s">
        <v>36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176</v>
      </c>
      <c r="S52" s="55" t="s">
        <v>206</v>
      </c>
      <c r="T52" s="55" t="s">
        <v>274</v>
      </c>
      <c r="U52" s="55" t="s">
        <v>207</v>
      </c>
      <c r="V52" s="55" t="s">
        <v>208</v>
      </c>
      <c r="W52" s="55" t="s">
        <v>210</v>
      </c>
      <c r="X52" s="57" t="s">
        <v>242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278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40</v>
      </c>
      <c r="L53" s="8">
        <f>VLOOKUP($J$51,怪物模型!$X:$AF,MATCH(L$52,怪物模型!$X$23:$AF$23,0),0)</f>
        <v>4368.5332517156894</v>
      </c>
      <c r="M53" s="8">
        <f>VLOOKUP($J$51,怪物模型!$X:$AF,MATCH(M$52,怪物模型!$X$23:$AF$23,0),0)</f>
        <v>70638.788326244437</v>
      </c>
      <c r="N53" s="8">
        <f>VLOOKUP($J$51,怪物模型!$X:$AF,MATCH(N$52,怪物模型!$X$23:$AF$23,0),0)</f>
        <v>8190.9998469669172</v>
      </c>
      <c r="O53" s="8">
        <f>VLOOKUP($J$51,怪物模型!$X:$AF,MATCH(O$52,怪物模型!$X$23:$AF$23,0),0)</f>
        <v>0.4</v>
      </c>
      <c r="P53" s="8">
        <f>VLOOKUP($J$51,怪物模型!$X:$AF,MATCH(P$52,怪物模型!$X$23:$AF$23,0),0)</f>
        <v>1.5</v>
      </c>
      <c r="Q53" s="8">
        <f>VLOOKUP($J$51,怪物模型!$X:$AF,MATCH(Q$52,怪物模型!$X$23:$AF$23,0),0)</f>
        <v>1</v>
      </c>
      <c r="R53" s="8"/>
      <c r="S53" s="8">
        <f>VLOOKUP($J$51,怪物模型!$X:$AF,MATCH(S$52,怪物模型!$X$23:$AF$23,0),0)</f>
        <v>10</v>
      </c>
      <c r="T53" s="1">
        <v>4.5</v>
      </c>
      <c r="U53" s="8">
        <f>VLOOKUP($J$51,怪物模型!$X:$AF,MATCH(U$52,怪物模型!$X$23:$AF$23,0),0)</f>
        <v>2.4999999999999996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279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40</v>
      </c>
      <c r="L54" s="8">
        <f>VLOOKUP($J$51,怪物模型!$X:$AF,MATCH(L$52,怪物模型!$X$23:$AF$23,0),0)</f>
        <v>4368.5332517156894</v>
      </c>
      <c r="M54" s="8">
        <f>VLOOKUP($J$51,怪物模型!$X:$AF,MATCH(M$52,怪物模型!$X$23:$AF$23,0),0)</f>
        <v>70638.788326244437</v>
      </c>
      <c r="N54" s="8">
        <f>VLOOKUP($J$51,怪物模型!$X:$AF,MATCH(N$52,怪物模型!$X$23:$AF$23,0),0)</f>
        <v>8190.9998469669172</v>
      </c>
      <c r="O54" s="8">
        <f>VLOOKUP($J$51,怪物模型!$X:$AF,MATCH(O$52,怪物模型!$X$23:$AF$23,0),0)</f>
        <v>0.4</v>
      </c>
      <c r="P54" s="8">
        <f>VLOOKUP($J$51,怪物模型!$X:$AF,MATCH(P$52,怪物模型!$X$23:$AF$23,0),0)</f>
        <v>1.5</v>
      </c>
      <c r="Q54" s="8">
        <f>VLOOKUP($J$51,怪物模型!$X:$AF,MATCH(Q$52,怪物模型!$X$23:$AF$23,0),0)</f>
        <v>1</v>
      </c>
      <c r="S54" s="8">
        <f>VLOOKUP($J$51,怪物模型!$X:$AF,MATCH(S$52,怪物模型!$X$23:$AF$23,0),0)</f>
        <v>10</v>
      </c>
      <c r="T54" s="1">
        <v>4.5</v>
      </c>
      <c r="U54" s="8">
        <f>VLOOKUP($J$51,怪物模型!$X:$AF,MATCH(U$52,怪物模型!$X$23:$AF$23,0),0)</f>
        <v>2.4999999999999996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280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40</v>
      </c>
      <c r="L55" s="8">
        <f>VLOOKUP($J$51,怪物模型!$X:$AF,MATCH(L$52,怪物模型!$X$23:$AF$23,0),0)</f>
        <v>4368.5332517156894</v>
      </c>
      <c r="M55" s="8">
        <f>VLOOKUP($J$51,怪物模型!$X:$AF,MATCH(M$52,怪物模型!$X$23:$AF$23,0),0)</f>
        <v>70638.788326244437</v>
      </c>
      <c r="N55" s="8">
        <f>VLOOKUP($J$51,怪物模型!$X:$AF,MATCH(N$52,怪物模型!$X$23:$AF$23,0),0)</f>
        <v>8190.9998469669172</v>
      </c>
      <c r="O55" s="8">
        <f>VLOOKUP($J$51,怪物模型!$X:$AF,MATCH(O$52,怪物模型!$X$23:$AF$23,0),0)</f>
        <v>0.4</v>
      </c>
      <c r="P55" s="8">
        <f>VLOOKUP($J$51,怪物模型!$X:$AF,MATCH(P$52,怪物模型!$X$23:$AF$23,0),0)</f>
        <v>1.5</v>
      </c>
      <c r="Q55" s="8">
        <f>VLOOKUP($J$51,怪物模型!$X:$AF,MATCH(Q$52,怪物模型!$X$23:$AF$23,0),0)</f>
        <v>1</v>
      </c>
      <c r="S55" s="8">
        <f>VLOOKUP($J$51,怪物模型!$X:$AF,MATCH(S$52,怪物模型!$X$23:$AF$23,0),0)</f>
        <v>10</v>
      </c>
      <c r="T55" s="1">
        <v>4.5</v>
      </c>
      <c r="U55" s="8">
        <f>VLOOKUP($J$51,怪物模型!$X:$AF,MATCH(U$52,怪物模型!$X$23:$AF$23,0),0)</f>
        <v>2.4999999999999996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281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40</v>
      </c>
      <c r="L56" s="8">
        <f>VLOOKUP($J$51,怪物模型!$X:$AF,MATCH(L$52,怪物模型!$X$23:$AF$23,0),0)</f>
        <v>4368.5332517156894</v>
      </c>
      <c r="M56" s="8">
        <f>VLOOKUP($J$51,怪物模型!$X:$AF,MATCH(M$52,怪物模型!$X$23:$AF$23,0),0)</f>
        <v>70638.788326244437</v>
      </c>
      <c r="N56" s="8">
        <f>VLOOKUP($J$51,怪物模型!$X:$AF,MATCH(N$52,怪物模型!$X$23:$AF$23,0),0)</f>
        <v>8190.9998469669172</v>
      </c>
      <c r="O56" s="8">
        <f>VLOOKUP($J$51,怪物模型!$X:$AF,MATCH(O$52,怪物模型!$X$23:$AF$23,0),0)</f>
        <v>0.4</v>
      </c>
      <c r="P56" s="8">
        <f>VLOOKUP($J$51,怪物模型!$X:$AF,MATCH(P$52,怪物模型!$X$23:$AF$23,0),0)</f>
        <v>1.5</v>
      </c>
      <c r="Q56" s="8">
        <f>VLOOKUP($J$51,怪物模型!$X:$AF,MATCH(Q$52,怪物模型!$X$23:$AF$23,0),0)</f>
        <v>1</v>
      </c>
      <c r="S56" s="8">
        <f>VLOOKUP($J$51,怪物模型!$X:$AF,MATCH(S$52,怪物模型!$X$23:$AF$23,0),0)</f>
        <v>10</v>
      </c>
      <c r="T56" s="1">
        <v>4.5</v>
      </c>
      <c r="U56" s="8">
        <f>VLOOKUP($J$51,怪物模型!$X:$AF,MATCH(U$52,怪物模型!$X$23:$AF$23,0),0)</f>
        <v>2.4999999999999996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282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40</v>
      </c>
      <c r="L57" s="8">
        <f>VLOOKUP($J$51,怪物模型!$X:$AF,MATCH(L$52,怪物模型!$X$23:$AF$23,0),0)</f>
        <v>4368.5332517156894</v>
      </c>
      <c r="M57" s="8">
        <f>VLOOKUP($J$51,怪物模型!$X:$AF,MATCH(M$52,怪物模型!$X$23:$AF$23,0),0)</f>
        <v>70638.788326244437</v>
      </c>
      <c r="N57" s="8">
        <f>VLOOKUP($J$51,怪物模型!$X:$AF,MATCH(N$52,怪物模型!$X$23:$AF$23,0),0)</f>
        <v>8190.9998469669172</v>
      </c>
      <c r="O57" s="8">
        <f>VLOOKUP($J$51,怪物模型!$X:$AF,MATCH(O$52,怪物模型!$X$23:$AF$23,0),0)</f>
        <v>0.4</v>
      </c>
      <c r="P57" s="8">
        <f>VLOOKUP($J$51,怪物模型!$X:$AF,MATCH(P$52,怪物模型!$X$23:$AF$23,0),0)</f>
        <v>1.5</v>
      </c>
      <c r="Q57" s="8">
        <f>VLOOKUP($J$51,怪物模型!$X:$AF,MATCH(Q$52,怪物模型!$X$23:$AF$23,0),0)</f>
        <v>1</v>
      </c>
      <c r="S57" s="8">
        <f>VLOOKUP($J$51,怪物模型!$X:$AF,MATCH(S$52,怪物模型!$X$23:$AF$23,0),0)</f>
        <v>10</v>
      </c>
      <c r="T57" s="1">
        <v>5</v>
      </c>
      <c r="U57" s="8">
        <f>VLOOKUP($J$51,怪物模型!$X:$AF,MATCH(U$52,怪物模型!$X$23:$AF$23,0),0)</f>
        <v>2.4999999999999996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283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40</v>
      </c>
      <c r="L58" s="8">
        <f>VLOOKUP($J$51,怪物模型!$X:$AF,MATCH(L$52,怪物模型!$X$23:$AF$23,0),0)</f>
        <v>4368.5332517156894</v>
      </c>
      <c r="M58" s="8">
        <f>VLOOKUP($J$51,怪物模型!$X:$AF,MATCH(M$52,怪物模型!$X$23:$AF$23,0),0)</f>
        <v>70638.788326244437</v>
      </c>
      <c r="N58" s="8">
        <f>VLOOKUP($J$51,怪物模型!$X:$AF,MATCH(N$52,怪物模型!$X$23:$AF$23,0),0)</f>
        <v>8190.9998469669172</v>
      </c>
      <c r="O58" s="8">
        <f>VLOOKUP($J$51,怪物模型!$X:$AF,MATCH(O$52,怪物模型!$X$23:$AF$23,0),0)</f>
        <v>0.4</v>
      </c>
      <c r="P58" s="8">
        <f>VLOOKUP($J$51,怪物模型!$X:$AF,MATCH(P$52,怪物模型!$X$23:$AF$23,0),0)</f>
        <v>1.5</v>
      </c>
      <c r="Q58" s="8">
        <f>VLOOKUP($J$51,怪物模型!$X:$AF,MATCH(Q$52,怪物模型!$X$23:$AF$23,0),0)</f>
        <v>1</v>
      </c>
      <c r="S58" s="8">
        <f>VLOOKUP($J$51,怪物模型!$X:$AF,MATCH(S$52,怪物模型!$X$23:$AF$23,0),0)</f>
        <v>10</v>
      </c>
      <c r="T58" s="1">
        <v>5</v>
      </c>
      <c r="U58" s="8">
        <f>VLOOKUP($J$51,怪物模型!$X:$AF,MATCH(U$52,怪物模型!$X$23:$AF$23,0),0)</f>
        <v>2.4999999999999996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284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40</v>
      </c>
      <c r="L59" s="8">
        <f>VLOOKUP($J$51,怪物模型!$X:$AF,MATCH(L$52,怪物模型!$X$23:$AF$23,0),0)</f>
        <v>4368.5332517156894</v>
      </c>
      <c r="M59" s="8">
        <f>VLOOKUP($J$51,怪物模型!$X:$AF,MATCH(M$52,怪物模型!$X$23:$AF$23,0),0)</f>
        <v>70638.788326244437</v>
      </c>
      <c r="N59" s="8">
        <f>VLOOKUP($J$51,怪物模型!$X:$AF,MATCH(N$52,怪物模型!$X$23:$AF$23,0),0)</f>
        <v>8190.9998469669172</v>
      </c>
      <c r="O59" s="8">
        <f>VLOOKUP($J$51,怪物模型!$X:$AF,MATCH(O$52,怪物模型!$X$23:$AF$23,0),0)</f>
        <v>0.4</v>
      </c>
      <c r="P59" s="8">
        <f>VLOOKUP($J$51,怪物模型!$X:$AF,MATCH(P$52,怪物模型!$X$23:$AF$23,0),0)</f>
        <v>1.5</v>
      </c>
      <c r="Q59" s="8">
        <f>VLOOKUP($J$51,怪物模型!$X:$AF,MATCH(Q$52,怪物模型!$X$23:$AF$23,0),0)</f>
        <v>1</v>
      </c>
      <c r="S59" s="8">
        <f>VLOOKUP($J$51,怪物模型!$X:$AF,MATCH(S$52,怪物模型!$X$23:$AF$23,0),0)</f>
        <v>10</v>
      </c>
      <c r="T59" s="1">
        <v>5</v>
      </c>
      <c r="U59" s="8">
        <f>VLOOKUP($J$51,怪物模型!$X:$AF,MATCH(U$52,怪物模型!$X$23:$AF$23,0),0)</f>
        <v>2.4999999999999996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285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40</v>
      </c>
      <c r="L60" s="8">
        <f>VLOOKUP($J$51,怪物模型!$X:$AF,MATCH(L$52,怪物模型!$X$23:$AF$23,0),0)</f>
        <v>4368.5332517156894</v>
      </c>
      <c r="M60" s="8">
        <f>VLOOKUP($J$51,怪物模型!$X:$AF,MATCH(M$52,怪物模型!$X$23:$AF$23,0),0)</f>
        <v>70638.788326244437</v>
      </c>
      <c r="N60" s="8">
        <f>VLOOKUP($J$51,怪物模型!$X:$AF,MATCH(N$52,怪物模型!$X$23:$AF$23,0),0)</f>
        <v>8190.9998469669172</v>
      </c>
      <c r="O60" s="8">
        <f>VLOOKUP($J$51,怪物模型!$X:$AF,MATCH(O$52,怪物模型!$X$23:$AF$23,0),0)</f>
        <v>0.4</v>
      </c>
      <c r="P60" s="8">
        <f>VLOOKUP($J$51,怪物模型!$X:$AF,MATCH(P$52,怪物模型!$X$23:$AF$23,0),0)</f>
        <v>1.5</v>
      </c>
      <c r="Q60" s="8">
        <f>VLOOKUP($J$51,怪物模型!$X:$AF,MATCH(Q$52,怪物模型!$X$23:$AF$23,0),0)</f>
        <v>1</v>
      </c>
      <c r="S60" s="8">
        <f>VLOOKUP($J$51,怪物模型!$X:$AF,MATCH(S$52,怪物模型!$X$23:$AF$23,0),0)</f>
        <v>10</v>
      </c>
      <c r="T60" s="1">
        <v>5</v>
      </c>
      <c r="U60" s="8">
        <f>VLOOKUP($J$51,怪物模型!$X:$AF,MATCH(U$52,怪物模型!$X$23:$AF$23,0),0)</f>
        <v>2.4999999999999996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286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40</v>
      </c>
      <c r="L61" s="62">
        <f>VLOOKUP($J$51,怪物模型!$X:$AF,MATCH(L$52,怪物模型!$X$23:$AF$23,0),0)</f>
        <v>4368.5332517156894</v>
      </c>
      <c r="M61" s="62">
        <f>VLOOKUP($J$51,怪物模型!$X:$AF,MATCH(M$52,怪物模型!$X$23:$AF$23,0),0)</f>
        <v>70638.788326244437</v>
      </c>
      <c r="N61" s="62">
        <f>VLOOKUP($J$51,怪物模型!$X:$AF,MATCH(N$52,怪物模型!$X$23:$AF$23,0),0)</f>
        <v>8190.9998469669172</v>
      </c>
      <c r="O61" s="62">
        <f>VLOOKUP($J$51,怪物模型!$X:$AF,MATCH(O$52,怪物模型!$X$23:$AF$23,0),0)</f>
        <v>0.4</v>
      </c>
      <c r="P61" s="62">
        <f>VLOOKUP($J$51,怪物模型!$X:$AF,MATCH(P$52,怪物模型!$X$23:$AF$23,0),0)</f>
        <v>1.5</v>
      </c>
      <c r="Q61" s="62">
        <f>VLOOKUP($J$51,怪物模型!$X:$AF,MATCH(Q$52,怪物模型!$X$23:$AF$23,0),0)</f>
        <v>1</v>
      </c>
      <c r="R61" s="61"/>
      <c r="S61" s="62">
        <f>VLOOKUP($J$51,怪物模型!$X:$AF,MATCH(S$52,怪物模型!$X$23:$AF$23,0),0)</f>
        <v>10</v>
      </c>
      <c r="T61" s="61">
        <v>5</v>
      </c>
      <c r="U61" s="62">
        <f>VLOOKUP($J$51,怪物模型!$X:$AF,MATCH(U$52,怪物模型!$X$23:$AF$23,0),0)</f>
        <v>2.4999999999999996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怪物模型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2023-01-03T09:18:41Z</dcterms:modified>
</cp:coreProperties>
</file>